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HFC\Stress Testing\FY25-FY27\30052024\DPD stage\"/>
    </mc:Choice>
  </mc:AlternateContent>
  <bookViews>
    <workbookView xWindow="-110" yWindow="-110" windowWidth="19420" windowHeight="10420" tabRatio="772" firstSheet="1" activeTab="2"/>
  </bookViews>
  <sheets>
    <sheet name="Index" sheetId="18" state="hidden" r:id="rId1"/>
    <sheet name="Assumptions" sheetId="32" r:id="rId2"/>
    <sheet name="Summary-S" sheetId="34" r:id="rId3"/>
    <sheet name="Summary" sheetId="27" state="hidden" r:id="rId4"/>
    <sheet name="MOM Summary" sheetId="31" r:id="rId5"/>
    <sheet name="Output - CoC" sheetId="24" state="hidden" r:id="rId6"/>
    <sheet name="Input-Stress Parameters" sheetId="13" state="hidden" r:id="rId7"/>
    <sheet name="Input - Disbursals" sheetId="2" r:id="rId8"/>
    <sheet name="Input - ANR" sheetId="20" r:id="rId9"/>
    <sheet name="Input - FInancials" sheetId="22" state="hidden" r:id="rId10"/>
    <sheet name="Calculation - Stage dist" sheetId="10" r:id="rId11"/>
    <sheet name="Input - PDLGD" sheetId="1" state="hidden" r:id="rId12"/>
    <sheet name="Calculations - Parameters" sheetId="8" state="hidden" r:id="rId13"/>
    <sheet name="Input - NCL" sheetId="15" r:id="rId14"/>
    <sheet name="Calculation - NCL and ECL" sheetId="4" r:id="rId15"/>
    <sheet name="Input - GNPA" sheetId="25" r:id="rId16"/>
    <sheet name="Calculation - Stagewise ECL" sheetId="23" r:id="rId17"/>
    <sheet name="ECL BS" sheetId="29" r:id="rId18"/>
    <sheet name="ECL BS stagewise" sheetId="33" r:id="rId19"/>
    <sheet name="Calculation - GNPA" sheetId="26" state="hidden" r:id="rId20"/>
    <sheet name="Input - ENR" sheetId="11" r:id="rId21"/>
    <sheet name="Plan - CoC" sheetId="6" r:id="rId22"/>
    <sheet name="NCL ECL Formula" sheetId="16" state="hidden" r:id="rId23"/>
    <sheet name="Summary Output" sheetId="9" state="hidden" r:id="rId24"/>
  </sheets>
  <definedNames>
    <definedName name="_xlnm._FilterDatabase" localSheetId="14" hidden="1">'Calculation - NCL and ECL'!$B$3:$AN$24</definedName>
    <definedName name="_xlnm._FilterDatabase" localSheetId="5" hidden="1">'Output - CoC'!$B$2:$C$17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8" i="27" l="1"/>
  <c r="AA28" i="27"/>
  <c r="Z28" i="27"/>
  <c r="E28" i="27"/>
  <c r="F28" i="27"/>
  <c r="AC10" i="27"/>
  <c r="G15" i="34" l="1"/>
  <c r="F15" i="34"/>
  <c r="E15" i="34"/>
  <c r="G14" i="34"/>
  <c r="F14" i="34"/>
  <c r="E14" i="34"/>
  <c r="G13" i="34"/>
  <c r="F13" i="34"/>
  <c r="E13" i="34"/>
  <c r="G12" i="34"/>
  <c r="F12" i="34"/>
  <c r="E12" i="34"/>
  <c r="G11" i="34"/>
  <c r="F11" i="34"/>
  <c r="E11" i="34"/>
  <c r="G10" i="34"/>
  <c r="F10" i="34"/>
  <c r="E10" i="34"/>
  <c r="G9" i="34"/>
  <c r="F9" i="34"/>
  <c r="E9" i="34"/>
  <c r="G8" i="34"/>
  <c r="F8" i="34"/>
  <c r="E8" i="34"/>
  <c r="G7" i="34"/>
  <c r="F7" i="34"/>
  <c r="E7" i="34"/>
  <c r="I6" i="34"/>
  <c r="G6" i="34"/>
  <c r="F6" i="34"/>
  <c r="E6" i="34"/>
  <c r="K5" i="34"/>
  <c r="J5" i="34"/>
  <c r="I5" i="34"/>
  <c r="G5" i="34"/>
  <c r="F5" i="34"/>
  <c r="E5" i="34"/>
  <c r="I4" i="34"/>
  <c r="G4" i="34"/>
  <c r="F4" i="34"/>
  <c r="E4" i="34"/>
  <c r="U15" i="34"/>
  <c r="M13" i="34"/>
  <c r="N12" i="34"/>
  <c r="N13" i="34" s="1"/>
  <c r="AH8" i="34"/>
  <c r="Q8" i="34"/>
  <c r="Q9" i="34" s="1"/>
  <c r="P8" i="34"/>
  <c r="P9" i="34" s="1"/>
  <c r="O8" i="34"/>
  <c r="O9" i="34" s="1"/>
  <c r="N8" i="34"/>
  <c r="N9" i="34" s="1"/>
  <c r="M8" i="34"/>
  <c r="M9" i="34" s="1"/>
  <c r="Q7" i="34"/>
  <c r="P7" i="34"/>
  <c r="O7" i="34"/>
  <c r="N7" i="34"/>
  <c r="M7" i="34"/>
  <c r="Q6" i="34"/>
  <c r="P6" i="34"/>
  <c r="O6" i="34"/>
  <c r="N6" i="34"/>
  <c r="M6" i="34"/>
  <c r="O12" i="34" l="1"/>
  <c r="O13" i="34" l="1"/>
  <c r="P12" i="34"/>
  <c r="Q12" i="34" l="1"/>
  <c r="Q13" i="34" s="1"/>
  <c r="P13" i="34"/>
  <c r="G12" i="27" l="1"/>
  <c r="F12" i="27"/>
  <c r="E12" i="27"/>
  <c r="AM3" i="2" l="1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J12" i="27" s="1"/>
  <c r="O3" i="2"/>
  <c r="N3" i="2"/>
  <c r="M3" i="2"/>
  <c r="L3" i="2"/>
  <c r="K3" i="2"/>
  <c r="J3" i="2"/>
  <c r="I3" i="2"/>
  <c r="H3" i="2"/>
  <c r="G3" i="2"/>
  <c r="F3" i="2"/>
  <c r="E3" i="2"/>
  <c r="D3" i="2"/>
  <c r="K12" i="27" l="1"/>
  <c r="I12" i="27"/>
  <c r="AH10" i="27"/>
  <c r="AM6" i="20" l="1"/>
  <c r="AL6" i="20"/>
  <c r="AK6" i="20"/>
  <c r="AJ6" i="20"/>
  <c r="AI6" i="20"/>
  <c r="AH6" i="20"/>
  <c r="AG6" i="20"/>
  <c r="AF6" i="20"/>
  <c r="AE6" i="20"/>
  <c r="AD6" i="20"/>
  <c r="AC6" i="20"/>
  <c r="AB6" i="20"/>
  <c r="AA6" i="20"/>
  <c r="Z6" i="20"/>
  <c r="Y6" i="20"/>
  <c r="X6" i="20"/>
  <c r="W6" i="20"/>
  <c r="V6" i="20"/>
  <c r="U6" i="20"/>
  <c r="T6" i="20"/>
  <c r="S6" i="20"/>
  <c r="R6" i="20"/>
  <c r="Q6" i="20"/>
  <c r="P6" i="20"/>
  <c r="O6" i="20"/>
  <c r="N6" i="20"/>
  <c r="M6" i="20"/>
  <c r="L6" i="20"/>
  <c r="K6" i="20"/>
  <c r="J6" i="20"/>
  <c r="I6" i="20"/>
  <c r="H6" i="20"/>
  <c r="G6" i="20"/>
  <c r="F6" i="20"/>
  <c r="E6" i="20"/>
  <c r="D6" i="20"/>
  <c r="C6" i="20"/>
  <c r="AM5" i="20"/>
  <c r="AL5" i="20"/>
  <c r="AK5" i="20"/>
  <c r="AJ5" i="20"/>
  <c r="AI5" i="20"/>
  <c r="AH5" i="20"/>
  <c r="AG5" i="20"/>
  <c r="AF5" i="20"/>
  <c r="AE5" i="20"/>
  <c r="AD5" i="20"/>
  <c r="AC5" i="20"/>
  <c r="AB5" i="20"/>
  <c r="AA5" i="20"/>
  <c r="Z5" i="20"/>
  <c r="Y5" i="20"/>
  <c r="X5" i="20"/>
  <c r="W5" i="20"/>
  <c r="V5" i="20"/>
  <c r="U5" i="20"/>
  <c r="T5" i="20"/>
  <c r="S5" i="20"/>
  <c r="R5" i="20"/>
  <c r="Q5" i="20"/>
  <c r="P5" i="20"/>
  <c r="O5" i="20"/>
  <c r="N5" i="20"/>
  <c r="M5" i="20"/>
  <c r="L5" i="20"/>
  <c r="K5" i="20"/>
  <c r="J5" i="20"/>
  <c r="I5" i="20"/>
  <c r="H5" i="20"/>
  <c r="G5" i="20"/>
  <c r="F5" i="20"/>
  <c r="E5" i="20"/>
  <c r="D5" i="20"/>
  <c r="C5" i="20"/>
  <c r="AM4" i="20"/>
  <c r="AL4" i="20"/>
  <c r="AK4" i="20"/>
  <c r="AJ4" i="20"/>
  <c r="AI4" i="20"/>
  <c r="AH4" i="20"/>
  <c r="AG4" i="20"/>
  <c r="AF4" i="20"/>
  <c r="AE4" i="20"/>
  <c r="AD4" i="20"/>
  <c r="AC4" i="20"/>
  <c r="AB4" i="20"/>
  <c r="AA4" i="20"/>
  <c r="Z4" i="20"/>
  <c r="Y4" i="20"/>
  <c r="X4" i="20"/>
  <c r="W4" i="20"/>
  <c r="V4" i="20"/>
  <c r="U4" i="20"/>
  <c r="T4" i="20"/>
  <c r="S4" i="20"/>
  <c r="R4" i="20"/>
  <c r="Q4" i="20"/>
  <c r="P4" i="20"/>
  <c r="O4" i="20"/>
  <c r="N4" i="20"/>
  <c r="M4" i="20"/>
  <c r="L4" i="20"/>
  <c r="K4" i="20"/>
  <c r="J4" i="20"/>
  <c r="I4" i="20"/>
  <c r="H4" i="20"/>
  <c r="G4" i="20"/>
  <c r="F4" i="20"/>
  <c r="E4" i="20"/>
  <c r="D4" i="20"/>
  <c r="C4" i="20"/>
  <c r="AM18" i="11" l="1"/>
  <c r="AL18" i="11"/>
  <c r="AK18" i="11"/>
  <c r="AJ18" i="11"/>
  <c r="AI18" i="11"/>
  <c r="AH18" i="11"/>
  <c r="AG18" i="11"/>
  <c r="AF18" i="11"/>
  <c r="AE18" i="11"/>
  <c r="AD18" i="11"/>
  <c r="AC18" i="11"/>
  <c r="AB18" i="11"/>
  <c r="AA18" i="11"/>
  <c r="Z18" i="11"/>
  <c r="Y18" i="11"/>
  <c r="X18" i="11"/>
  <c r="W18" i="11"/>
  <c r="V18" i="11"/>
  <c r="U18" i="11"/>
  <c r="T18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AM17" i="11"/>
  <c r="AL17" i="11"/>
  <c r="AK17" i="11"/>
  <c r="AJ17" i="11"/>
  <c r="AI17" i="11"/>
  <c r="AH17" i="11"/>
  <c r="AG17" i="11"/>
  <c r="AF17" i="11"/>
  <c r="AE17" i="11"/>
  <c r="AD17" i="11"/>
  <c r="AC17" i="11"/>
  <c r="AB17" i="11"/>
  <c r="AA17" i="11"/>
  <c r="Z17" i="11"/>
  <c r="Y17" i="11"/>
  <c r="X17" i="11"/>
  <c r="W17" i="11"/>
  <c r="V17" i="11"/>
  <c r="U17" i="11"/>
  <c r="T17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AM16" i="11"/>
  <c r="AL16" i="11"/>
  <c r="AK16" i="11"/>
  <c r="AJ16" i="11"/>
  <c r="AI16" i="11"/>
  <c r="AH16" i="11"/>
  <c r="AG16" i="11"/>
  <c r="AF16" i="11"/>
  <c r="AE16" i="11"/>
  <c r="AD16" i="11"/>
  <c r="AC16" i="11"/>
  <c r="AB16" i="11"/>
  <c r="AA16" i="11"/>
  <c r="Z16" i="11"/>
  <c r="Y16" i="11"/>
  <c r="X16" i="1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D16" i="11"/>
  <c r="AP32" i="10" l="1"/>
  <c r="AO32" i="10"/>
  <c r="AN32" i="10"/>
  <c r="AM32" i="10"/>
  <c r="AL32" i="10"/>
  <c r="AK32" i="10"/>
  <c r="AJ32" i="10"/>
  <c r="AI32" i="10"/>
  <c r="AH32" i="10"/>
  <c r="AG32" i="10"/>
  <c r="AF32" i="10"/>
  <c r="AE32" i="10"/>
  <c r="AD32" i="10"/>
  <c r="AC32" i="10"/>
  <c r="AB32" i="10"/>
  <c r="AA32" i="10"/>
  <c r="Z32" i="10"/>
  <c r="Y32" i="10"/>
  <c r="X3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AP31" i="10"/>
  <c r="AO31" i="10"/>
  <c r="AN31" i="10"/>
  <c r="AN30" i="10" s="1"/>
  <c r="AM31" i="10"/>
  <c r="AM30" i="10" s="1"/>
  <c r="AL31" i="10"/>
  <c r="AK31" i="10"/>
  <c r="AJ31" i="10"/>
  <c r="AI31" i="10"/>
  <c r="AH31" i="10"/>
  <c r="AG31" i="10"/>
  <c r="AF31" i="10"/>
  <c r="AF30" i="10" s="1"/>
  <c r="AE31" i="10"/>
  <c r="AE30" i="10" s="1"/>
  <c r="AD31" i="10"/>
  <c r="AC31" i="10"/>
  <c r="AB31" i="10"/>
  <c r="AA31" i="10"/>
  <c r="Z31" i="10"/>
  <c r="Y31" i="10"/>
  <c r="X31" i="10"/>
  <c r="X30" i="10" s="1"/>
  <c r="W31" i="10"/>
  <c r="W30" i="10" s="1"/>
  <c r="V31" i="10"/>
  <c r="U31" i="10"/>
  <c r="T31" i="10"/>
  <c r="S31" i="10"/>
  <c r="R31" i="10"/>
  <c r="Q31" i="10"/>
  <c r="P31" i="10"/>
  <c r="P30" i="10" s="1"/>
  <c r="O31" i="10"/>
  <c r="O30" i="10" s="1"/>
  <c r="N31" i="10"/>
  <c r="M31" i="10"/>
  <c r="L31" i="10"/>
  <c r="K31" i="10"/>
  <c r="J31" i="10"/>
  <c r="I31" i="10"/>
  <c r="H31" i="10"/>
  <c r="H30" i="10" s="1"/>
  <c r="G31" i="10"/>
  <c r="G30" i="10" s="1"/>
  <c r="AP30" i="10"/>
  <c r="AO30" i="10"/>
  <c r="AL30" i="10"/>
  <c r="AK30" i="10"/>
  <c r="AJ30" i="10"/>
  <c r="AI30" i="10"/>
  <c r="AH30" i="10"/>
  <c r="AG30" i="10"/>
  <c r="AD30" i="10"/>
  <c r="AC30" i="10"/>
  <c r="AB30" i="10"/>
  <c r="AA30" i="10"/>
  <c r="Z30" i="10"/>
  <c r="Y30" i="10"/>
  <c r="V30" i="10"/>
  <c r="U30" i="10"/>
  <c r="T30" i="10"/>
  <c r="S30" i="10"/>
  <c r="R30" i="10"/>
  <c r="Q30" i="10"/>
  <c r="N30" i="10"/>
  <c r="M30" i="10"/>
  <c r="L30" i="10"/>
  <c r="K30" i="10"/>
  <c r="J30" i="10"/>
  <c r="I30" i="10"/>
  <c r="F32" i="10"/>
  <c r="F31" i="10"/>
  <c r="BR4" i="10" l="1"/>
  <c r="BS4" i="10" s="1"/>
  <c r="BT4" i="10" s="1"/>
  <c r="F41" i="23" l="1"/>
  <c r="E41" i="23"/>
  <c r="D41" i="23"/>
  <c r="F40" i="23"/>
  <c r="E40" i="23"/>
  <c r="D40" i="23"/>
  <c r="F39" i="23"/>
  <c r="E39" i="23"/>
  <c r="D39" i="23"/>
  <c r="C17" i="33"/>
  <c r="C72" i="33"/>
  <c r="D72" i="33"/>
  <c r="E72" i="33"/>
  <c r="F72" i="33"/>
  <c r="G72" i="33"/>
  <c r="H72" i="33"/>
  <c r="I72" i="33"/>
  <c r="AM96" i="33" l="1"/>
  <c r="AL96" i="33"/>
  <c r="AK96" i="33"/>
  <c r="AK94" i="33" s="1"/>
  <c r="AJ96" i="33"/>
  <c r="AI96" i="33"/>
  <c r="AI94" i="33" s="1"/>
  <c r="AH96" i="33"/>
  <c r="AG96" i="33"/>
  <c r="AG94" i="33" s="1"/>
  <c r="AF96" i="33"/>
  <c r="AE96" i="33"/>
  <c r="AD96" i="33"/>
  <c r="AC96" i="33"/>
  <c r="AB96" i="33"/>
  <c r="AA96" i="33"/>
  <c r="AA94" i="33" s="1"/>
  <c r="Z96" i="33"/>
  <c r="Z94" i="33" s="1"/>
  <c r="Y96" i="33"/>
  <c r="X96" i="33"/>
  <c r="W96" i="33"/>
  <c r="V96" i="33"/>
  <c r="U96" i="33"/>
  <c r="T96" i="33"/>
  <c r="S96" i="33"/>
  <c r="S94" i="33" s="1"/>
  <c r="R96" i="33"/>
  <c r="R94" i="33" s="1"/>
  <c r="Q96" i="33"/>
  <c r="P96" i="33"/>
  <c r="O96" i="33"/>
  <c r="N96" i="33"/>
  <c r="M96" i="33"/>
  <c r="M94" i="33" s="1"/>
  <c r="L96" i="33"/>
  <c r="K96" i="33"/>
  <c r="J96" i="33"/>
  <c r="I96" i="33"/>
  <c r="H96" i="33"/>
  <c r="G96" i="33"/>
  <c r="F96" i="33"/>
  <c r="E96" i="33"/>
  <c r="E94" i="33" s="1"/>
  <c r="D96" i="33"/>
  <c r="C96" i="33"/>
  <c r="C23" i="33"/>
  <c r="I48" i="33"/>
  <c r="I46" i="33" s="1"/>
  <c r="H48" i="33"/>
  <c r="G48" i="33"/>
  <c r="F48" i="33"/>
  <c r="E48" i="33"/>
  <c r="D48" i="33"/>
  <c r="C48" i="33"/>
  <c r="C24" i="33" s="1"/>
  <c r="I70" i="33"/>
  <c r="F70" i="33"/>
  <c r="AM25" i="33"/>
  <c r="AL25" i="33"/>
  <c r="AK25" i="33"/>
  <c r="AJ25" i="33"/>
  <c r="AI25" i="33"/>
  <c r="AH25" i="33"/>
  <c r="AG25" i="33"/>
  <c r="AF25" i="33"/>
  <c r="AE25" i="33"/>
  <c r="AD25" i="33"/>
  <c r="AC25" i="33"/>
  <c r="AB25" i="33"/>
  <c r="AA25" i="33"/>
  <c r="Z25" i="33"/>
  <c r="Y25" i="33"/>
  <c r="X25" i="33"/>
  <c r="W25" i="33"/>
  <c r="V25" i="33"/>
  <c r="U25" i="33"/>
  <c r="T25" i="33"/>
  <c r="S25" i="33"/>
  <c r="R25" i="33"/>
  <c r="Q25" i="33"/>
  <c r="P25" i="33"/>
  <c r="O25" i="33"/>
  <c r="N25" i="33"/>
  <c r="M25" i="33"/>
  <c r="L25" i="33"/>
  <c r="K25" i="33"/>
  <c r="J25" i="33"/>
  <c r="I25" i="33"/>
  <c r="H25" i="33"/>
  <c r="G25" i="33"/>
  <c r="F25" i="33"/>
  <c r="E25" i="33"/>
  <c r="D25" i="33"/>
  <c r="C25" i="33"/>
  <c r="G24" i="33"/>
  <c r="F24" i="33"/>
  <c r="D24" i="33"/>
  <c r="AM23" i="33"/>
  <c r="AL23" i="33"/>
  <c r="AK23" i="33"/>
  <c r="AJ23" i="33"/>
  <c r="AI23" i="33"/>
  <c r="AH23" i="33"/>
  <c r="AG23" i="33"/>
  <c r="AF23" i="33"/>
  <c r="AE23" i="33"/>
  <c r="AD23" i="33"/>
  <c r="AC23" i="33"/>
  <c r="AB23" i="33"/>
  <c r="AA23" i="33"/>
  <c r="Z23" i="33"/>
  <c r="Y23" i="33"/>
  <c r="X23" i="33"/>
  <c r="W23" i="33"/>
  <c r="V23" i="33"/>
  <c r="U23" i="33"/>
  <c r="T23" i="33"/>
  <c r="S23" i="33"/>
  <c r="R23" i="33"/>
  <c r="Q23" i="33"/>
  <c r="P23" i="33"/>
  <c r="O23" i="33"/>
  <c r="N23" i="33"/>
  <c r="M23" i="33"/>
  <c r="L23" i="33"/>
  <c r="K23" i="33"/>
  <c r="J23" i="33"/>
  <c r="I23" i="33"/>
  <c r="H23" i="33"/>
  <c r="G23" i="33"/>
  <c r="F23" i="33"/>
  <c r="E23" i="33"/>
  <c r="D23" i="33"/>
  <c r="AM19" i="33"/>
  <c r="AL19" i="33"/>
  <c r="AK19" i="33"/>
  <c r="AJ19" i="33"/>
  <c r="AI19" i="33"/>
  <c r="AH19" i="33"/>
  <c r="AG19" i="33"/>
  <c r="AF19" i="33"/>
  <c r="AE19" i="33"/>
  <c r="AD19" i="33"/>
  <c r="AC19" i="33"/>
  <c r="AB19" i="33"/>
  <c r="AA19" i="33"/>
  <c r="Z19" i="33"/>
  <c r="Y19" i="33"/>
  <c r="X19" i="33"/>
  <c r="W19" i="33"/>
  <c r="V19" i="33"/>
  <c r="U19" i="33"/>
  <c r="T19" i="33"/>
  <c r="S19" i="33"/>
  <c r="R19" i="33"/>
  <c r="Q19" i="33"/>
  <c r="P19" i="33"/>
  <c r="O19" i="33"/>
  <c r="N19" i="33"/>
  <c r="M19" i="33"/>
  <c r="L19" i="33"/>
  <c r="K19" i="33"/>
  <c r="J19" i="33"/>
  <c r="I19" i="33"/>
  <c r="H19" i="33"/>
  <c r="G19" i="33"/>
  <c r="F19" i="33"/>
  <c r="E19" i="33"/>
  <c r="D19" i="33"/>
  <c r="C19" i="33"/>
  <c r="AM18" i="33"/>
  <c r="AL18" i="33"/>
  <c r="AK18" i="33"/>
  <c r="AJ18" i="33"/>
  <c r="AI18" i="33"/>
  <c r="AH18" i="33"/>
  <c r="AG18" i="33"/>
  <c r="AF18" i="33"/>
  <c r="AE18" i="33"/>
  <c r="AD18" i="33"/>
  <c r="AC18" i="33"/>
  <c r="AB18" i="33"/>
  <c r="AA18" i="33"/>
  <c r="Z18" i="33"/>
  <c r="Y18" i="33"/>
  <c r="X18" i="33"/>
  <c r="W18" i="33"/>
  <c r="V18" i="33"/>
  <c r="U18" i="33"/>
  <c r="T18" i="33"/>
  <c r="S18" i="33"/>
  <c r="R18" i="33"/>
  <c r="Q18" i="33"/>
  <c r="P18" i="33"/>
  <c r="O18" i="33"/>
  <c r="N18" i="33"/>
  <c r="M18" i="33"/>
  <c r="L18" i="33"/>
  <c r="K18" i="33"/>
  <c r="J18" i="33"/>
  <c r="I18" i="33"/>
  <c r="H18" i="33"/>
  <c r="G18" i="33"/>
  <c r="F18" i="33"/>
  <c r="E18" i="33"/>
  <c r="D18" i="33"/>
  <c r="C18" i="33"/>
  <c r="AM17" i="33"/>
  <c r="AL17" i="33"/>
  <c r="AK17" i="33"/>
  <c r="AJ17" i="33"/>
  <c r="AI17" i="33"/>
  <c r="AH17" i="33"/>
  <c r="AG17" i="33"/>
  <c r="AF17" i="33"/>
  <c r="AE17" i="33"/>
  <c r="AD17" i="33"/>
  <c r="AC17" i="33"/>
  <c r="AB17" i="33"/>
  <c r="AA17" i="33"/>
  <c r="Z17" i="33"/>
  <c r="Y17" i="33"/>
  <c r="X17" i="33"/>
  <c r="W17" i="33"/>
  <c r="V17" i="33"/>
  <c r="U17" i="33"/>
  <c r="T17" i="33"/>
  <c r="S17" i="33"/>
  <c r="R17" i="33"/>
  <c r="Q17" i="33"/>
  <c r="P17" i="33"/>
  <c r="O17" i="33"/>
  <c r="N17" i="33"/>
  <c r="M17" i="33"/>
  <c r="L17" i="33"/>
  <c r="K17" i="33"/>
  <c r="J17" i="33"/>
  <c r="I17" i="33"/>
  <c r="H17" i="33"/>
  <c r="G17" i="33"/>
  <c r="F17" i="33"/>
  <c r="E17" i="33"/>
  <c r="D17" i="33"/>
  <c r="AC94" i="33"/>
  <c r="U94" i="33"/>
  <c r="AL94" i="33"/>
  <c r="AJ94" i="33"/>
  <c r="AH94" i="33"/>
  <c r="AD94" i="33"/>
  <c r="AB94" i="33"/>
  <c r="V94" i="33"/>
  <c r="T94" i="33"/>
  <c r="N94" i="33"/>
  <c r="L94" i="33"/>
  <c r="J94" i="33"/>
  <c r="F94" i="33"/>
  <c r="D94" i="33"/>
  <c r="AM94" i="33"/>
  <c r="AE94" i="33"/>
  <c r="W94" i="33"/>
  <c r="O94" i="33"/>
  <c r="K94" i="33"/>
  <c r="I94" i="33"/>
  <c r="G94" i="33"/>
  <c r="C94" i="33"/>
  <c r="AL88" i="33"/>
  <c r="AD88" i="33"/>
  <c r="V88" i="33"/>
  <c r="N88" i="33"/>
  <c r="F88" i="33"/>
  <c r="AM88" i="33"/>
  <c r="AK88" i="33"/>
  <c r="AI88" i="33"/>
  <c r="AG88" i="33"/>
  <c r="AE88" i="33"/>
  <c r="AC88" i="33"/>
  <c r="AA88" i="33"/>
  <c r="Y88" i="33"/>
  <c r="W88" i="33"/>
  <c r="U88" i="33"/>
  <c r="S88" i="33"/>
  <c r="Q88" i="33"/>
  <c r="O88" i="33"/>
  <c r="M88" i="33"/>
  <c r="K88" i="33"/>
  <c r="I88" i="33"/>
  <c r="G88" i="33"/>
  <c r="E88" i="33"/>
  <c r="C88" i="33"/>
  <c r="AJ88" i="33"/>
  <c r="AH88" i="33"/>
  <c r="AF88" i="33"/>
  <c r="AB88" i="33"/>
  <c r="Z88" i="33"/>
  <c r="X88" i="33"/>
  <c r="T88" i="33"/>
  <c r="R88" i="33"/>
  <c r="P88" i="33"/>
  <c r="L88" i="33"/>
  <c r="J88" i="33"/>
  <c r="H88" i="33"/>
  <c r="D88" i="33"/>
  <c r="BJ85" i="33"/>
  <c r="BJ79" i="33" s="1"/>
  <c r="BI85" i="33"/>
  <c r="BH85" i="33"/>
  <c r="BG85" i="33"/>
  <c r="BG79" i="33" s="1"/>
  <c r="BF85" i="33"/>
  <c r="BE85" i="33"/>
  <c r="BE79" i="33" s="1"/>
  <c r="BD85" i="33"/>
  <c r="BC85" i="33"/>
  <c r="BC79" i="33" s="1"/>
  <c r="BB85" i="33"/>
  <c r="BB79" i="33" s="1"/>
  <c r="BA85" i="33"/>
  <c r="AZ85" i="33"/>
  <c r="AY85" i="33"/>
  <c r="AY79" i="33" s="1"/>
  <c r="AX85" i="33"/>
  <c r="AX79" i="33" s="1"/>
  <c r="AW85" i="33"/>
  <c r="AW79" i="33" s="1"/>
  <c r="AV85" i="33"/>
  <c r="AU85" i="33"/>
  <c r="AU79" i="33" s="1"/>
  <c r="AT85" i="33"/>
  <c r="AT79" i="33" s="1"/>
  <c r="AS85" i="33"/>
  <c r="AR85" i="33"/>
  <c r="AQ85" i="33"/>
  <c r="AQ79" i="33" s="1"/>
  <c r="AP85" i="33"/>
  <c r="AO85" i="33"/>
  <c r="AO79" i="33" s="1"/>
  <c r="AN85" i="33"/>
  <c r="BJ84" i="33"/>
  <c r="BJ78" i="33" s="1"/>
  <c r="BI84" i="33"/>
  <c r="BI78" i="33" s="1"/>
  <c r="BH84" i="33"/>
  <c r="BH78" i="33" s="1"/>
  <c r="BG84" i="33"/>
  <c r="BF84" i="33"/>
  <c r="BF78" i="33" s="1"/>
  <c r="BE84" i="33"/>
  <c r="BE78" i="33" s="1"/>
  <c r="BD84" i="33"/>
  <c r="BD78" i="33" s="1"/>
  <c r="BC84" i="33"/>
  <c r="BB84" i="33"/>
  <c r="BB78" i="33" s="1"/>
  <c r="BA84" i="33"/>
  <c r="BA78" i="33" s="1"/>
  <c r="AZ84" i="33"/>
  <c r="AZ78" i="33" s="1"/>
  <c r="AY84" i="33"/>
  <c r="AX84" i="33"/>
  <c r="AX78" i="33" s="1"/>
  <c r="AW84" i="33"/>
  <c r="AV84" i="33"/>
  <c r="AV78" i="33" s="1"/>
  <c r="AU84" i="33"/>
  <c r="AT84" i="33"/>
  <c r="AT78" i="33" s="1"/>
  <c r="AS84" i="33"/>
  <c r="AS78" i="33" s="1"/>
  <c r="AR84" i="33"/>
  <c r="AR78" i="33" s="1"/>
  <c r="AQ84" i="33"/>
  <c r="AP84" i="33"/>
  <c r="AP78" i="33" s="1"/>
  <c r="AO84" i="33"/>
  <c r="AO78" i="33" s="1"/>
  <c r="AN84" i="33"/>
  <c r="AN82" i="33" s="1"/>
  <c r="BJ83" i="33"/>
  <c r="BI83" i="33"/>
  <c r="BI77" i="33" s="1"/>
  <c r="BI76" i="33" s="1"/>
  <c r="BH83" i="33"/>
  <c r="BH77" i="33" s="1"/>
  <c r="BH76" i="33" s="1"/>
  <c r="BG83" i="33"/>
  <c r="BG77" i="33" s="1"/>
  <c r="BG76" i="33" s="1"/>
  <c r="BF83" i="33"/>
  <c r="BE83" i="33"/>
  <c r="BE77" i="33" s="1"/>
  <c r="BE76" i="33" s="1"/>
  <c r="BD83" i="33"/>
  <c r="BC83" i="33"/>
  <c r="BC77" i="33" s="1"/>
  <c r="BC76" i="33" s="1"/>
  <c r="BB83" i="33"/>
  <c r="BA83" i="33"/>
  <c r="BA77" i="33" s="1"/>
  <c r="BA76" i="33" s="1"/>
  <c r="AZ83" i="33"/>
  <c r="AZ77" i="33" s="1"/>
  <c r="AZ76" i="33" s="1"/>
  <c r="AY83" i="33"/>
  <c r="AY77" i="33" s="1"/>
  <c r="AY76" i="33" s="1"/>
  <c r="AX83" i="33"/>
  <c r="AW83" i="33"/>
  <c r="AW77" i="33" s="1"/>
  <c r="AW76" i="33" s="1"/>
  <c r="AV83" i="33"/>
  <c r="AV77" i="33" s="1"/>
  <c r="AV76" i="33" s="1"/>
  <c r="AU83" i="33"/>
  <c r="AU77" i="33" s="1"/>
  <c r="AU76" i="33" s="1"/>
  <c r="AT83" i="33"/>
  <c r="AS83" i="33"/>
  <c r="AS77" i="33" s="1"/>
  <c r="AS76" i="33" s="1"/>
  <c r="AR83" i="33"/>
  <c r="AR77" i="33" s="1"/>
  <c r="AR76" i="33" s="1"/>
  <c r="AQ83" i="33"/>
  <c r="AQ77" i="33" s="1"/>
  <c r="AQ76" i="33" s="1"/>
  <c r="AP83" i="33"/>
  <c r="AO83" i="33"/>
  <c r="AO77" i="33" s="1"/>
  <c r="AO76" i="33" s="1"/>
  <c r="AN83" i="33"/>
  <c r="BJ82" i="33"/>
  <c r="AT82" i="33"/>
  <c r="BH79" i="33"/>
  <c r="BF79" i="33"/>
  <c r="BD79" i="33"/>
  <c r="AZ79" i="33"/>
  <c r="AV79" i="33"/>
  <c r="AR79" i="33"/>
  <c r="AP79" i="33"/>
  <c r="AN79" i="33"/>
  <c r="BG78" i="33"/>
  <c r="BC78" i="33"/>
  <c r="AY78" i="33"/>
  <c r="AW78" i="33"/>
  <c r="AU78" i="33"/>
  <c r="AQ78" i="33"/>
  <c r="BJ77" i="33"/>
  <c r="BJ76" i="33" s="1"/>
  <c r="BF77" i="33"/>
  <c r="BF76" i="33" s="1"/>
  <c r="BD77" i="33"/>
  <c r="BD76" i="33" s="1"/>
  <c r="BB77" i="33"/>
  <c r="BB76" i="33" s="1"/>
  <c r="AX77" i="33"/>
  <c r="AX76" i="33" s="1"/>
  <c r="AT77" i="33"/>
  <c r="AT76" i="33" s="1"/>
  <c r="AP77" i="33"/>
  <c r="AP76" i="33" s="1"/>
  <c r="AN77" i="33"/>
  <c r="AN76" i="33" s="1"/>
  <c r="AJ64" i="33"/>
  <c r="AI64" i="33"/>
  <c r="AB64" i="33"/>
  <c r="AA64" i="33"/>
  <c r="T64" i="33"/>
  <c r="S64" i="33"/>
  <c r="K64" i="33"/>
  <c r="AG64" i="33"/>
  <c r="Y64" i="33"/>
  <c r="Q64" i="33"/>
  <c r="I64" i="33"/>
  <c r="AM64" i="33"/>
  <c r="AL64" i="33"/>
  <c r="AK64" i="33"/>
  <c r="AE64" i="33"/>
  <c r="AD64" i="33"/>
  <c r="AC64" i="33"/>
  <c r="W64" i="33"/>
  <c r="V64" i="33"/>
  <c r="U64" i="33"/>
  <c r="O64" i="33"/>
  <c r="N64" i="33"/>
  <c r="M64" i="33"/>
  <c r="G64" i="33"/>
  <c r="F64" i="33"/>
  <c r="E64" i="33"/>
  <c r="AH64" i="33"/>
  <c r="Z64" i="33"/>
  <c r="R64" i="33"/>
  <c r="L64" i="33"/>
  <c r="J64" i="33"/>
  <c r="D64" i="33"/>
  <c r="C64" i="33"/>
  <c r="BJ61" i="33"/>
  <c r="BJ55" i="33" s="1"/>
  <c r="BI61" i="33"/>
  <c r="BI55" i="33" s="1"/>
  <c r="BH61" i="33"/>
  <c r="BH55" i="33" s="1"/>
  <c r="BG61" i="33"/>
  <c r="BG55" i="33" s="1"/>
  <c r="BF61" i="33"/>
  <c r="BE61" i="33"/>
  <c r="BD61" i="33"/>
  <c r="BC61" i="33"/>
  <c r="BB61" i="33"/>
  <c r="BB55" i="33" s="1"/>
  <c r="BA61" i="33"/>
  <c r="BA55" i="33" s="1"/>
  <c r="AZ61" i="33"/>
  <c r="AZ55" i="33" s="1"/>
  <c r="AY61" i="33"/>
  <c r="AY55" i="33" s="1"/>
  <c r="AX61" i="33"/>
  <c r="AW61" i="33"/>
  <c r="AV61" i="33"/>
  <c r="AU61" i="33"/>
  <c r="AT61" i="33"/>
  <c r="AT55" i="33" s="1"/>
  <c r="AS61" i="33"/>
  <c r="AS55" i="33" s="1"/>
  <c r="AR61" i="33"/>
  <c r="AR55" i="33" s="1"/>
  <c r="AQ61" i="33"/>
  <c r="AQ55" i="33" s="1"/>
  <c r="AP61" i="33"/>
  <c r="AO61" i="33"/>
  <c r="AN61" i="33"/>
  <c r="BJ60" i="33"/>
  <c r="BI60" i="33"/>
  <c r="BH60" i="33"/>
  <c r="BH54" i="33" s="1"/>
  <c r="BG60" i="33"/>
  <c r="BG54" i="33" s="1"/>
  <c r="BF60" i="33"/>
  <c r="BF54" i="33" s="1"/>
  <c r="BE60" i="33"/>
  <c r="BD60" i="33"/>
  <c r="BC60" i="33"/>
  <c r="BB60" i="33"/>
  <c r="BA60" i="33"/>
  <c r="AZ60" i="33"/>
  <c r="AZ54" i="33" s="1"/>
  <c r="AY60" i="33"/>
  <c r="AY54" i="33" s="1"/>
  <c r="AX60" i="33"/>
  <c r="AX54" i="33" s="1"/>
  <c r="AW60" i="33"/>
  <c r="AV60" i="33"/>
  <c r="AU60" i="33"/>
  <c r="AT60" i="33"/>
  <c r="AS60" i="33"/>
  <c r="AR60" i="33"/>
  <c r="AR54" i="33" s="1"/>
  <c r="AQ60" i="33"/>
  <c r="AQ54" i="33" s="1"/>
  <c r="AP60" i="33"/>
  <c r="AP54" i="33" s="1"/>
  <c r="AO60" i="33"/>
  <c r="AN60" i="33"/>
  <c r="BJ59" i="33"/>
  <c r="BJ58" i="33" s="1"/>
  <c r="BI59" i="33"/>
  <c r="BH59" i="33"/>
  <c r="BG59" i="33"/>
  <c r="BF59" i="33"/>
  <c r="BF53" i="33" s="1"/>
  <c r="BF52" i="33" s="1"/>
  <c r="BE59" i="33"/>
  <c r="BE53" i="33" s="1"/>
  <c r="BE52" i="33" s="1"/>
  <c r="BD59" i="33"/>
  <c r="BC59" i="33"/>
  <c r="BB59" i="33"/>
  <c r="BB58" i="33" s="1"/>
  <c r="BA59" i="33"/>
  <c r="AZ59" i="33"/>
  <c r="AY59" i="33"/>
  <c r="AX59" i="33"/>
  <c r="AX53" i="33" s="1"/>
  <c r="AX52" i="33" s="1"/>
  <c r="AW59" i="33"/>
  <c r="AW53" i="33" s="1"/>
  <c r="AW52" i="33" s="1"/>
  <c r="AV59" i="33"/>
  <c r="AU59" i="33"/>
  <c r="AT59" i="33"/>
  <c r="AT58" i="33" s="1"/>
  <c r="AS59" i="33"/>
  <c r="AR59" i="33"/>
  <c r="AQ59" i="33"/>
  <c r="AP59" i="33"/>
  <c r="AP53" i="33" s="1"/>
  <c r="AP52" i="33" s="1"/>
  <c r="AO59" i="33"/>
  <c r="AO53" i="33" s="1"/>
  <c r="AO52" i="33" s="1"/>
  <c r="AN59" i="33"/>
  <c r="BD58" i="33"/>
  <c r="AV58" i="33"/>
  <c r="AN58" i="33"/>
  <c r="BF55" i="33"/>
  <c r="BE55" i="33"/>
  <c r="BD55" i="33"/>
  <c r="BC55" i="33"/>
  <c r="AX55" i="33"/>
  <c r="AW55" i="33"/>
  <c r="AV55" i="33"/>
  <c r="AU55" i="33"/>
  <c r="AP55" i="33"/>
  <c r="AO55" i="33"/>
  <c r="AN55" i="33"/>
  <c r="BJ54" i="33"/>
  <c r="BE54" i="33"/>
  <c r="BD54" i="33"/>
  <c r="BC54" i="33"/>
  <c r="BB54" i="33"/>
  <c r="AW54" i="33"/>
  <c r="AV54" i="33"/>
  <c r="AU54" i="33"/>
  <c r="AT54" i="33"/>
  <c r="AO54" i="33"/>
  <c r="AN54" i="33"/>
  <c r="BJ53" i="33"/>
  <c r="BJ52" i="33" s="1"/>
  <c r="BI53" i="33"/>
  <c r="BI52" i="33" s="1"/>
  <c r="BD53" i="33"/>
  <c r="BD52" i="33" s="1"/>
  <c r="BC53" i="33"/>
  <c r="BB53" i="33"/>
  <c r="BB52" i="33" s="1"/>
  <c r="BA53" i="33"/>
  <c r="AV53" i="33"/>
  <c r="AV52" i="33" s="1"/>
  <c r="AU53" i="33"/>
  <c r="AU52" i="33" s="1"/>
  <c r="AT53" i="33"/>
  <c r="AT52" i="33" s="1"/>
  <c r="AS53" i="33"/>
  <c r="AS52" i="33" s="1"/>
  <c r="AN53" i="33"/>
  <c r="AN52" i="33" s="1"/>
  <c r="BC52" i="33"/>
  <c r="BA52" i="33"/>
  <c r="H46" i="33"/>
  <c r="G46" i="33"/>
  <c r="F46" i="33"/>
  <c r="D46" i="33"/>
  <c r="C46" i="33"/>
  <c r="AK40" i="33"/>
  <c r="AC40" i="33"/>
  <c r="U40" i="33"/>
  <c r="M40" i="33"/>
  <c r="E40" i="33"/>
  <c r="AG40" i="33"/>
  <c r="Y40" i="33"/>
  <c r="Q40" i="33"/>
  <c r="I40" i="33"/>
  <c r="AM40" i="33"/>
  <c r="AL40" i="33"/>
  <c r="AH40" i="33"/>
  <c r="AF40" i="33"/>
  <c r="AE40" i="33"/>
  <c r="AD40" i="33"/>
  <c r="Z40" i="33"/>
  <c r="X40" i="33"/>
  <c r="W40" i="33"/>
  <c r="V40" i="33"/>
  <c r="R40" i="33"/>
  <c r="P40" i="33"/>
  <c r="O40" i="33"/>
  <c r="N40" i="33"/>
  <c r="J40" i="33"/>
  <c r="H40" i="33"/>
  <c r="G40" i="33"/>
  <c r="F40" i="33"/>
  <c r="AJ40" i="33"/>
  <c r="AI40" i="33"/>
  <c r="AB40" i="33"/>
  <c r="AA40" i="33"/>
  <c r="T40" i="33"/>
  <c r="S40" i="33"/>
  <c r="L40" i="33"/>
  <c r="K40" i="33"/>
  <c r="D40" i="33"/>
  <c r="C40" i="33"/>
  <c r="BJ37" i="33"/>
  <c r="BI37" i="33"/>
  <c r="BH37" i="33"/>
  <c r="BH31" i="33" s="1"/>
  <c r="BG37" i="33"/>
  <c r="BF37" i="33"/>
  <c r="BE37" i="33"/>
  <c r="BD37" i="33"/>
  <c r="BC37" i="33"/>
  <c r="BB37" i="33"/>
  <c r="BA37" i="33"/>
  <c r="BA34" i="33" s="1"/>
  <c r="AZ37" i="33"/>
  <c r="AZ31" i="33" s="1"/>
  <c r="AY37" i="33"/>
  <c r="AX37" i="33"/>
  <c r="AX31" i="33" s="1"/>
  <c r="AW37" i="33"/>
  <c r="AV37" i="33"/>
  <c r="AU37" i="33"/>
  <c r="AT37" i="33"/>
  <c r="AT31" i="33" s="1"/>
  <c r="AS37" i="33"/>
  <c r="AS31" i="33" s="1"/>
  <c r="AR37" i="33"/>
  <c r="AR31" i="33" s="1"/>
  <c r="AQ37" i="33"/>
  <c r="AP37" i="33"/>
  <c r="AO37" i="33"/>
  <c r="AO31" i="33" s="1"/>
  <c r="AN37" i="33"/>
  <c r="BJ36" i="33"/>
  <c r="BI36" i="33"/>
  <c r="BI34" i="33" s="1"/>
  <c r="BH36" i="33"/>
  <c r="BH30" i="33" s="1"/>
  <c r="BG36" i="33"/>
  <c r="BG30" i="33" s="1"/>
  <c r="BF36" i="33"/>
  <c r="BE36" i="33"/>
  <c r="BE34" i="33" s="1"/>
  <c r="BD36" i="33"/>
  <c r="BC36" i="33"/>
  <c r="BC30" i="33" s="1"/>
  <c r="BB36" i="33"/>
  <c r="BA36" i="33"/>
  <c r="BA30" i="33" s="1"/>
  <c r="AZ36" i="33"/>
  <c r="AZ30" i="33" s="1"/>
  <c r="AY36" i="33"/>
  <c r="AY30" i="33" s="1"/>
  <c r="AX36" i="33"/>
  <c r="AW36" i="33"/>
  <c r="AV36" i="33"/>
  <c r="AU36" i="33"/>
  <c r="AT36" i="33"/>
  <c r="AS36" i="33"/>
  <c r="AS34" i="33" s="1"/>
  <c r="AR36" i="33"/>
  <c r="AR30" i="33" s="1"/>
  <c r="AQ36" i="33"/>
  <c r="AQ30" i="33" s="1"/>
  <c r="AP36" i="33"/>
  <c r="AO36" i="33"/>
  <c r="AO30" i="33" s="1"/>
  <c r="AN36" i="33"/>
  <c r="BJ35" i="33"/>
  <c r="BI35" i="33"/>
  <c r="BH35" i="33"/>
  <c r="BG35" i="33"/>
  <c r="BF35" i="33"/>
  <c r="BF29" i="33" s="1"/>
  <c r="BF28" i="33" s="1"/>
  <c r="BE35" i="33"/>
  <c r="BD35" i="33"/>
  <c r="BC35" i="33"/>
  <c r="BC34" i="33" s="1"/>
  <c r="BB35" i="33"/>
  <c r="BA35" i="33"/>
  <c r="AZ35" i="33"/>
  <c r="AY35" i="33"/>
  <c r="AX35" i="33"/>
  <c r="AX29" i="33" s="1"/>
  <c r="AX28" i="33" s="1"/>
  <c r="AW35" i="33"/>
  <c r="AV35" i="33"/>
  <c r="AU35" i="33"/>
  <c r="AT35" i="33"/>
  <c r="AS35" i="33"/>
  <c r="AR35" i="33"/>
  <c r="AQ35" i="33"/>
  <c r="AP35" i="33"/>
  <c r="AP29" i="33" s="1"/>
  <c r="AP28" i="33" s="1"/>
  <c r="AO35" i="33"/>
  <c r="AN35" i="33"/>
  <c r="AW34" i="33"/>
  <c r="AO34" i="33"/>
  <c r="BJ31" i="33"/>
  <c r="BI31" i="33"/>
  <c r="BG31" i="33"/>
  <c r="BF31" i="33"/>
  <c r="BE31" i="33"/>
  <c r="BD31" i="33"/>
  <c r="BC31" i="33"/>
  <c r="BB31" i="33"/>
  <c r="BA31" i="33"/>
  <c r="AY31" i="33"/>
  <c r="AW31" i="33"/>
  <c r="AV31" i="33"/>
  <c r="AU31" i="33"/>
  <c r="AQ31" i="33"/>
  <c r="AP31" i="33"/>
  <c r="AN31" i="33"/>
  <c r="BJ30" i="33"/>
  <c r="BF30" i="33"/>
  <c r="BE30" i="33"/>
  <c r="BD30" i="33"/>
  <c r="BB30" i="33"/>
  <c r="AX30" i="33"/>
  <c r="AW30" i="33"/>
  <c r="AV30" i="33"/>
  <c r="AU30" i="33"/>
  <c r="AT30" i="33"/>
  <c r="AP30" i="33"/>
  <c r="AN30" i="33"/>
  <c r="BJ29" i="33"/>
  <c r="BJ28" i="33" s="1"/>
  <c r="BI29" i="33"/>
  <c r="BI28" i="33" s="1"/>
  <c r="BE29" i="33"/>
  <c r="BE28" i="33" s="1"/>
  <c r="BD29" i="33"/>
  <c r="BD28" i="33" s="1"/>
  <c r="BC29" i="33"/>
  <c r="BC28" i="33" s="1"/>
  <c r="BB29" i="33"/>
  <c r="BB28" i="33" s="1"/>
  <c r="BA29" i="33"/>
  <c r="BA28" i="33" s="1"/>
  <c r="AZ29" i="33"/>
  <c r="AZ28" i="33" s="1"/>
  <c r="AW29" i="33"/>
  <c r="AW28" i="33" s="1"/>
  <c r="AV29" i="33"/>
  <c r="AV28" i="33" s="1"/>
  <c r="AU29" i="33"/>
  <c r="AU28" i="33" s="1"/>
  <c r="AT29" i="33"/>
  <c r="AS29" i="33"/>
  <c r="AS28" i="33" s="1"/>
  <c r="AR29" i="33"/>
  <c r="AR28" i="33" s="1"/>
  <c r="AQ29" i="33"/>
  <c r="AQ28" i="33" s="1"/>
  <c r="AO29" i="33"/>
  <c r="AO28" i="33" s="1"/>
  <c r="AN29" i="33"/>
  <c r="AN28" i="33" s="1"/>
  <c r="AT28" i="33"/>
  <c r="BJ13" i="33"/>
  <c r="BI13" i="33"/>
  <c r="BI7" i="33" s="1"/>
  <c r="BH13" i="33"/>
  <c r="BH7" i="33" s="1"/>
  <c r="BG13" i="33"/>
  <c r="BG7" i="33" s="1"/>
  <c r="BF13" i="33"/>
  <c r="BE13" i="33"/>
  <c r="BD13" i="33"/>
  <c r="BC13" i="33"/>
  <c r="BC7" i="33" s="1"/>
  <c r="BB13" i="33"/>
  <c r="BB7" i="33" s="1"/>
  <c r="BA13" i="33"/>
  <c r="BA7" i="33" s="1"/>
  <c r="AZ13" i="33"/>
  <c r="AZ7" i="33" s="1"/>
  <c r="AY13" i="33"/>
  <c r="AX13" i="33"/>
  <c r="AW13" i="33"/>
  <c r="AV13" i="33"/>
  <c r="AV7" i="33" s="1"/>
  <c r="AU13" i="33"/>
  <c r="AU7" i="33" s="1"/>
  <c r="AT13" i="33"/>
  <c r="AT7" i="33" s="1"/>
  <c r="AS13" i="33"/>
  <c r="AS7" i="33" s="1"/>
  <c r="AR13" i="33"/>
  <c r="AR7" i="33" s="1"/>
  <c r="AQ13" i="33"/>
  <c r="AQ7" i="33" s="1"/>
  <c r="AP13" i="33"/>
  <c r="AP7" i="33" s="1"/>
  <c r="AO13" i="33"/>
  <c r="AN13" i="33"/>
  <c r="AN7" i="33" s="1"/>
  <c r="BJ12" i="33"/>
  <c r="BI12" i="33"/>
  <c r="BH12" i="33"/>
  <c r="BG12" i="33"/>
  <c r="BF12" i="33"/>
  <c r="BE12" i="33"/>
  <c r="BD12" i="33"/>
  <c r="BC12" i="33"/>
  <c r="BB12" i="33"/>
  <c r="BB10" i="33" s="1"/>
  <c r="BA12" i="33"/>
  <c r="AZ12" i="33"/>
  <c r="AY12" i="33"/>
  <c r="AX12" i="33"/>
  <c r="AW12" i="33"/>
  <c r="AV12" i="33"/>
  <c r="AU12" i="33"/>
  <c r="AT12" i="33"/>
  <c r="AS12" i="33"/>
  <c r="AR12" i="33"/>
  <c r="AQ12" i="33"/>
  <c r="AP12" i="33"/>
  <c r="AO12" i="33"/>
  <c r="AN12" i="33"/>
  <c r="BJ11" i="33"/>
  <c r="BI11" i="33"/>
  <c r="BH11" i="33"/>
  <c r="BG11" i="33"/>
  <c r="BF11" i="33"/>
  <c r="BE11" i="33"/>
  <c r="BD11" i="33"/>
  <c r="BC11" i="33"/>
  <c r="BB11" i="33"/>
  <c r="BA11" i="33"/>
  <c r="AZ11" i="33"/>
  <c r="AY11" i="33"/>
  <c r="AX11" i="33"/>
  <c r="AW11" i="33"/>
  <c r="AW10" i="33" s="1"/>
  <c r="AV11" i="33"/>
  <c r="AU11" i="33"/>
  <c r="AT11" i="33"/>
  <c r="AS11" i="33"/>
  <c r="AR11" i="33"/>
  <c r="AQ11" i="33"/>
  <c r="AP11" i="33"/>
  <c r="AO11" i="33"/>
  <c r="AO10" i="33" s="1"/>
  <c r="AN11" i="33"/>
  <c r="BJ7" i="33"/>
  <c r="BF7" i="33"/>
  <c r="BE7" i="33"/>
  <c r="BD7" i="33"/>
  <c r="AY7" i="33"/>
  <c r="AX7" i="33"/>
  <c r="AW7" i="33"/>
  <c r="AO7" i="33"/>
  <c r="C3" i="33"/>
  <c r="C69" i="33" s="1"/>
  <c r="D69" i="33" s="1"/>
  <c r="E69" i="33" s="1"/>
  <c r="F69" i="33" s="1"/>
  <c r="G69" i="33" s="1"/>
  <c r="H69" i="33" s="1"/>
  <c r="I69" i="33" s="1"/>
  <c r="J69" i="33" s="1"/>
  <c r="K69" i="33" s="1"/>
  <c r="L69" i="33" s="1"/>
  <c r="M69" i="33" s="1"/>
  <c r="N69" i="33" s="1"/>
  <c r="O69" i="33" s="1"/>
  <c r="P69" i="33" s="1"/>
  <c r="Q69" i="33" s="1"/>
  <c r="R69" i="33" s="1"/>
  <c r="S69" i="33" s="1"/>
  <c r="T69" i="33" s="1"/>
  <c r="U69" i="33" s="1"/>
  <c r="V69" i="33" s="1"/>
  <c r="W69" i="33" s="1"/>
  <c r="X69" i="33" s="1"/>
  <c r="Y69" i="33" s="1"/>
  <c r="Z69" i="33" s="1"/>
  <c r="AA69" i="33" s="1"/>
  <c r="AB69" i="33" s="1"/>
  <c r="AC69" i="33" s="1"/>
  <c r="AD69" i="33" s="1"/>
  <c r="AE69" i="33" s="1"/>
  <c r="AF69" i="33" s="1"/>
  <c r="AG69" i="33" s="1"/>
  <c r="AH69" i="33" s="1"/>
  <c r="AI69" i="33" s="1"/>
  <c r="AJ69" i="33" s="1"/>
  <c r="AK69" i="33" s="1"/>
  <c r="AL69" i="33" s="1"/>
  <c r="AM69" i="33" s="1"/>
  <c r="BF10" i="33" l="1"/>
  <c r="AQ34" i="33"/>
  <c r="AT10" i="33"/>
  <c r="C33" i="33"/>
  <c r="D33" i="33" s="1"/>
  <c r="E33" i="33" s="1"/>
  <c r="F33" i="33" s="1"/>
  <c r="G33" i="33" s="1"/>
  <c r="H33" i="33" s="1"/>
  <c r="I33" i="33" s="1"/>
  <c r="J33" i="33" s="1"/>
  <c r="K33" i="33" s="1"/>
  <c r="L33" i="33" s="1"/>
  <c r="M33" i="33" s="1"/>
  <c r="N33" i="33" s="1"/>
  <c r="O33" i="33" s="1"/>
  <c r="P33" i="33" s="1"/>
  <c r="Q33" i="33" s="1"/>
  <c r="R33" i="33" s="1"/>
  <c r="S33" i="33" s="1"/>
  <c r="T33" i="33" s="1"/>
  <c r="U33" i="33" s="1"/>
  <c r="V33" i="33" s="1"/>
  <c r="W33" i="33" s="1"/>
  <c r="X33" i="33" s="1"/>
  <c r="Y33" i="33" s="1"/>
  <c r="Z33" i="33" s="1"/>
  <c r="AA33" i="33" s="1"/>
  <c r="AB33" i="33" s="1"/>
  <c r="AC33" i="33" s="1"/>
  <c r="AD33" i="33" s="1"/>
  <c r="AE33" i="33" s="1"/>
  <c r="AF33" i="33" s="1"/>
  <c r="AG33" i="33" s="1"/>
  <c r="AH33" i="33" s="1"/>
  <c r="AI33" i="33" s="1"/>
  <c r="AJ33" i="33" s="1"/>
  <c r="AK33" i="33" s="1"/>
  <c r="AL33" i="33" s="1"/>
  <c r="AM33" i="33" s="1"/>
  <c r="AN33" i="33" s="1"/>
  <c r="AO33" i="33" s="1"/>
  <c r="AP33" i="33" s="1"/>
  <c r="AQ33" i="33" s="1"/>
  <c r="AR33" i="33" s="1"/>
  <c r="AS33" i="33" s="1"/>
  <c r="AT33" i="33" s="1"/>
  <c r="AU33" i="33" s="1"/>
  <c r="AV33" i="33" s="1"/>
  <c r="AW33" i="33" s="1"/>
  <c r="AX33" i="33" s="1"/>
  <c r="AY33" i="33" s="1"/>
  <c r="AZ33" i="33" s="1"/>
  <c r="BA33" i="33" s="1"/>
  <c r="BB33" i="33" s="1"/>
  <c r="BC33" i="33" s="1"/>
  <c r="BD33" i="33" s="1"/>
  <c r="BE33" i="33" s="1"/>
  <c r="BF33" i="33" s="1"/>
  <c r="BG33" i="33" s="1"/>
  <c r="BH33" i="33" s="1"/>
  <c r="BI33" i="33" s="1"/>
  <c r="BJ33" i="33" s="1"/>
  <c r="BH34" i="33"/>
  <c r="C39" i="33"/>
  <c r="D39" i="33" s="1"/>
  <c r="E39" i="33" s="1"/>
  <c r="F39" i="33" s="1"/>
  <c r="G39" i="33" s="1"/>
  <c r="H39" i="33" s="1"/>
  <c r="I39" i="33" s="1"/>
  <c r="J39" i="33" s="1"/>
  <c r="K39" i="33" s="1"/>
  <c r="L39" i="33" s="1"/>
  <c r="M39" i="33" s="1"/>
  <c r="N39" i="33" s="1"/>
  <c r="O39" i="33" s="1"/>
  <c r="P39" i="33" s="1"/>
  <c r="Q39" i="33" s="1"/>
  <c r="R39" i="33" s="1"/>
  <c r="S39" i="33" s="1"/>
  <c r="T39" i="33" s="1"/>
  <c r="U39" i="33" s="1"/>
  <c r="V39" i="33" s="1"/>
  <c r="W39" i="33" s="1"/>
  <c r="X39" i="33" s="1"/>
  <c r="Y39" i="33" s="1"/>
  <c r="Z39" i="33" s="1"/>
  <c r="AA39" i="33" s="1"/>
  <c r="AB39" i="33" s="1"/>
  <c r="AC39" i="33" s="1"/>
  <c r="AD39" i="33" s="1"/>
  <c r="AE39" i="33" s="1"/>
  <c r="AF39" i="33" s="1"/>
  <c r="AG39" i="33" s="1"/>
  <c r="AH39" i="33" s="1"/>
  <c r="AI39" i="33" s="1"/>
  <c r="AJ39" i="33" s="1"/>
  <c r="AK39" i="33" s="1"/>
  <c r="AL39" i="33" s="1"/>
  <c r="AM39" i="33" s="1"/>
  <c r="AO58" i="33"/>
  <c r="AR58" i="33"/>
  <c r="AZ58" i="33"/>
  <c r="BH58" i="33"/>
  <c r="AS58" i="33"/>
  <c r="BA58" i="33"/>
  <c r="BI58" i="33"/>
  <c r="C57" i="33"/>
  <c r="D57" i="33" s="1"/>
  <c r="E57" i="33" s="1"/>
  <c r="F57" i="33" s="1"/>
  <c r="G57" i="33" s="1"/>
  <c r="H57" i="33" s="1"/>
  <c r="I57" i="33" s="1"/>
  <c r="J57" i="33" s="1"/>
  <c r="K57" i="33" s="1"/>
  <c r="L57" i="33" s="1"/>
  <c r="M57" i="33" s="1"/>
  <c r="N57" i="33" s="1"/>
  <c r="O57" i="33" s="1"/>
  <c r="P57" i="33" s="1"/>
  <c r="Q57" i="33" s="1"/>
  <c r="R57" i="33" s="1"/>
  <c r="S57" i="33" s="1"/>
  <c r="T57" i="33" s="1"/>
  <c r="U57" i="33" s="1"/>
  <c r="V57" i="33" s="1"/>
  <c r="W57" i="33" s="1"/>
  <c r="X57" i="33" s="1"/>
  <c r="Y57" i="33" s="1"/>
  <c r="Z57" i="33" s="1"/>
  <c r="AA57" i="33" s="1"/>
  <c r="AB57" i="33" s="1"/>
  <c r="AC57" i="33" s="1"/>
  <c r="AD57" i="33" s="1"/>
  <c r="AE57" i="33" s="1"/>
  <c r="AF57" i="33" s="1"/>
  <c r="AG57" i="33" s="1"/>
  <c r="AH57" i="33" s="1"/>
  <c r="AI57" i="33" s="1"/>
  <c r="AJ57" i="33" s="1"/>
  <c r="AK57" i="33" s="1"/>
  <c r="AL57" i="33" s="1"/>
  <c r="AM57" i="33" s="1"/>
  <c r="AN57" i="33" s="1"/>
  <c r="AO57" i="33" s="1"/>
  <c r="AP57" i="33" s="1"/>
  <c r="AQ57" i="33" s="1"/>
  <c r="AR57" i="33" s="1"/>
  <c r="AS57" i="33" s="1"/>
  <c r="AT57" i="33" s="1"/>
  <c r="AU57" i="33" s="1"/>
  <c r="AV57" i="33" s="1"/>
  <c r="AW57" i="33" s="1"/>
  <c r="AX57" i="33" s="1"/>
  <c r="AY57" i="33" s="1"/>
  <c r="AZ57" i="33" s="1"/>
  <c r="BA57" i="33" s="1"/>
  <c r="BB57" i="33" s="1"/>
  <c r="BC57" i="33" s="1"/>
  <c r="BD57" i="33" s="1"/>
  <c r="BE57" i="33" s="1"/>
  <c r="BF57" i="33" s="1"/>
  <c r="BG57" i="33" s="1"/>
  <c r="BH57" i="33" s="1"/>
  <c r="BI57" i="33" s="1"/>
  <c r="BJ57" i="33" s="1"/>
  <c r="AX34" i="33"/>
  <c r="AY34" i="33"/>
  <c r="C51" i="33"/>
  <c r="D51" i="33" s="1"/>
  <c r="E51" i="33" s="1"/>
  <c r="F51" i="33" s="1"/>
  <c r="G51" i="33" s="1"/>
  <c r="H51" i="33" s="1"/>
  <c r="I51" i="33" s="1"/>
  <c r="J51" i="33" s="1"/>
  <c r="K51" i="33" s="1"/>
  <c r="L51" i="33" s="1"/>
  <c r="M51" i="33" s="1"/>
  <c r="N51" i="33" s="1"/>
  <c r="O51" i="33" s="1"/>
  <c r="P51" i="33" s="1"/>
  <c r="Q51" i="33" s="1"/>
  <c r="R51" i="33" s="1"/>
  <c r="S51" i="33" s="1"/>
  <c r="T51" i="33" s="1"/>
  <c r="U51" i="33" s="1"/>
  <c r="V51" i="33" s="1"/>
  <c r="W51" i="33" s="1"/>
  <c r="X51" i="33" s="1"/>
  <c r="Y51" i="33" s="1"/>
  <c r="Z51" i="33" s="1"/>
  <c r="AA51" i="33" s="1"/>
  <c r="AB51" i="33" s="1"/>
  <c r="AC51" i="33" s="1"/>
  <c r="AD51" i="33" s="1"/>
  <c r="AE51" i="33" s="1"/>
  <c r="AF51" i="33" s="1"/>
  <c r="AG51" i="33" s="1"/>
  <c r="AH51" i="33" s="1"/>
  <c r="AI51" i="33" s="1"/>
  <c r="AJ51" i="33" s="1"/>
  <c r="AK51" i="33" s="1"/>
  <c r="AL51" i="33" s="1"/>
  <c r="AM51" i="33" s="1"/>
  <c r="AN51" i="33" s="1"/>
  <c r="AO51" i="33" s="1"/>
  <c r="AP51" i="33" s="1"/>
  <c r="AQ51" i="33" s="1"/>
  <c r="AR51" i="33" s="1"/>
  <c r="AS51" i="33" s="1"/>
  <c r="AT51" i="33" s="1"/>
  <c r="AU51" i="33" s="1"/>
  <c r="AV51" i="33" s="1"/>
  <c r="AW51" i="33" s="1"/>
  <c r="AX51" i="33" s="1"/>
  <c r="AY51" i="33" s="1"/>
  <c r="AZ51" i="33" s="1"/>
  <c r="BA51" i="33" s="1"/>
  <c r="BB51" i="33" s="1"/>
  <c r="BC51" i="33" s="1"/>
  <c r="BD51" i="33" s="1"/>
  <c r="BE51" i="33" s="1"/>
  <c r="BF51" i="33" s="1"/>
  <c r="BG51" i="33" s="1"/>
  <c r="BH51" i="33" s="1"/>
  <c r="BI51" i="33" s="1"/>
  <c r="BJ51" i="33" s="1"/>
  <c r="BI30" i="33"/>
  <c r="BF34" i="33"/>
  <c r="AT34" i="33"/>
  <c r="BB34" i="33"/>
  <c r="BJ34" i="33"/>
  <c r="AU34" i="33"/>
  <c r="AN34" i="33"/>
  <c r="AV34" i="33"/>
  <c r="BD34" i="33"/>
  <c r="C63" i="33"/>
  <c r="D63" i="33" s="1"/>
  <c r="E63" i="33" s="1"/>
  <c r="F63" i="33" s="1"/>
  <c r="G63" i="33" s="1"/>
  <c r="H63" i="33" s="1"/>
  <c r="I63" i="33" s="1"/>
  <c r="J63" i="33" s="1"/>
  <c r="K63" i="33" s="1"/>
  <c r="L63" i="33" s="1"/>
  <c r="M63" i="33" s="1"/>
  <c r="N63" i="33" s="1"/>
  <c r="O63" i="33" s="1"/>
  <c r="P63" i="33" s="1"/>
  <c r="Q63" i="33" s="1"/>
  <c r="R63" i="33" s="1"/>
  <c r="S63" i="33" s="1"/>
  <c r="T63" i="33" s="1"/>
  <c r="U63" i="33" s="1"/>
  <c r="V63" i="33" s="1"/>
  <c r="W63" i="33" s="1"/>
  <c r="X63" i="33" s="1"/>
  <c r="Y63" i="33" s="1"/>
  <c r="Z63" i="33" s="1"/>
  <c r="AA63" i="33" s="1"/>
  <c r="AB63" i="33" s="1"/>
  <c r="AC63" i="33" s="1"/>
  <c r="AD63" i="33" s="1"/>
  <c r="AE63" i="33" s="1"/>
  <c r="AF63" i="33" s="1"/>
  <c r="AG63" i="33" s="1"/>
  <c r="AH63" i="33" s="1"/>
  <c r="AI63" i="33" s="1"/>
  <c r="AJ63" i="33" s="1"/>
  <c r="AK63" i="33" s="1"/>
  <c r="AL63" i="33" s="1"/>
  <c r="AM63" i="33" s="1"/>
  <c r="C81" i="33"/>
  <c r="D81" i="33" s="1"/>
  <c r="E81" i="33" s="1"/>
  <c r="F81" i="33" s="1"/>
  <c r="G81" i="33" s="1"/>
  <c r="H81" i="33" s="1"/>
  <c r="I81" i="33" s="1"/>
  <c r="J81" i="33" s="1"/>
  <c r="K81" i="33" s="1"/>
  <c r="L81" i="33" s="1"/>
  <c r="M81" i="33" s="1"/>
  <c r="N81" i="33" s="1"/>
  <c r="O81" i="33" s="1"/>
  <c r="P81" i="33" s="1"/>
  <c r="Q81" i="33" s="1"/>
  <c r="R81" i="33" s="1"/>
  <c r="S81" i="33" s="1"/>
  <c r="T81" i="33" s="1"/>
  <c r="U81" i="33" s="1"/>
  <c r="V81" i="33" s="1"/>
  <c r="W81" i="33" s="1"/>
  <c r="X81" i="33" s="1"/>
  <c r="Y81" i="33" s="1"/>
  <c r="Z81" i="33" s="1"/>
  <c r="AA81" i="33" s="1"/>
  <c r="AB81" i="33" s="1"/>
  <c r="AC81" i="33" s="1"/>
  <c r="AD81" i="33" s="1"/>
  <c r="AE81" i="33" s="1"/>
  <c r="AF81" i="33" s="1"/>
  <c r="AG81" i="33" s="1"/>
  <c r="AH81" i="33" s="1"/>
  <c r="AI81" i="33" s="1"/>
  <c r="AJ81" i="33" s="1"/>
  <c r="AK81" i="33" s="1"/>
  <c r="AL81" i="33" s="1"/>
  <c r="AM81" i="33" s="1"/>
  <c r="AN81" i="33" s="1"/>
  <c r="AO81" i="33" s="1"/>
  <c r="AP81" i="33" s="1"/>
  <c r="AQ81" i="33" s="1"/>
  <c r="AR81" i="33" s="1"/>
  <c r="AS81" i="33" s="1"/>
  <c r="AT81" i="33" s="1"/>
  <c r="AU81" i="33" s="1"/>
  <c r="AV81" i="33" s="1"/>
  <c r="AW81" i="33" s="1"/>
  <c r="AX81" i="33" s="1"/>
  <c r="AY81" i="33" s="1"/>
  <c r="AZ81" i="33" s="1"/>
  <c r="BA81" i="33" s="1"/>
  <c r="BB81" i="33" s="1"/>
  <c r="BC81" i="33" s="1"/>
  <c r="BD81" i="33" s="1"/>
  <c r="BE81" i="33" s="1"/>
  <c r="BF81" i="33" s="1"/>
  <c r="BG81" i="33" s="1"/>
  <c r="BH81" i="33" s="1"/>
  <c r="BI81" i="33" s="1"/>
  <c r="BJ81" i="33" s="1"/>
  <c r="AS82" i="33"/>
  <c r="BA82" i="33"/>
  <c r="BI82" i="33"/>
  <c r="C93" i="33"/>
  <c r="D93" i="33" s="1"/>
  <c r="E93" i="33" s="1"/>
  <c r="F93" i="33" s="1"/>
  <c r="G93" i="33" s="1"/>
  <c r="H93" i="33" s="1"/>
  <c r="I93" i="33" s="1"/>
  <c r="J93" i="33" s="1"/>
  <c r="K93" i="33" s="1"/>
  <c r="L93" i="33" s="1"/>
  <c r="M93" i="33" s="1"/>
  <c r="N93" i="33" s="1"/>
  <c r="O93" i="33" s="1"/>
  <c r="P93" i="33" s="1"/>
  <c r="Q93" i="33" s="1"/>
  <c r="R93" i="33" s="1"/>
  <c r="S93" i="33" s="1"/>
  <c r="T93" i="33" s="1"/>
  <c r="U93" i="33" s="1"/>
  <c r="V93" i="33" s="1"/>
  <c r="W93" i="33" s="1"/>
  <c r="X93" i="33" s="1"/>
  <c r="Y93" i="33" s="1"/>
  <c r="Z93" i="33" s="1"/>
  <c r="AA93" i="33" s="1"/>
  <c r="AB93" i="33" s="1"/>
  <c r="AC93" i="33" s="1"/>
  <c r="AD93" i="33" s="1"/>
  <c r="AE93" i="33" s="1"/>
  <c r="AF93" i="33" s="1"/>
  <c r="AG93" i="33" s="1"/>
  <c r="AH93" i="33" s="1"/>
  <c r="AI93" i="33" s="1"/>
  <c r="AJ93" i="33" s="1"/>
  <c r="AK93" i="33" s="1"/>
  <c r="AL93" i="33" s="1"/>
  <c r="AM93" i="33" s="1"/>
  <c r="BG34" i="33"/>
  <c r="C27" i="33"/>
  <c r="D27" i="33" s="1"/>
  <c r="E27" i="33" s="1"/>
  <c r="F27" i="33" s="1"/>
  <c r="G27" i="33" s="1"/>
  <c r="H27" i="33" s="1"/>
  <c r="I27" i="33" s="1"/>
  <c r="J27" i="33" s="1"/>
  <c r="K27" i="33" s="1"/>
  <c r="L27" i="33" s="1"/>
  <c r="M27" i="33" s="1"/>
  <c r="N27" i="33" s="1"/>
  <c r="O27" i="33" s="1"/>
  <c r="P27" i="33" s="1"/>
  <c r="Q27" i="33" s="1"/>
  <c r="R27" i="33" s="1"/>
  <c r="S27" i="33" s="1"/>
  <c r="T27" i="33" s="1"/>
  <c r="U27" i="33" s="1"/>
  <c r="V27" i="33" s="1"/>
  <c r="W27" i="33" s="1"/>
  <c r="X27" i="33" s="1"/>
  <c r="Y27" i="33" s="1"/>
  <c r="Z27" i="33" s="1"/>
  <c r="AA27" i="33" s="1"/>
  <c r="AB27" i="33" s="1"/>
  <c r="AC27" i="33" s="1"/>
  <c r="AD27" i="33" s="1"/>
  <c r="AE27" i="33" s="1"/>
  <c r="AF27" i="33" s="1"/>
  <c r="AG27" i="33" s="1"/>
  <c r="AH27" i="33" s="1"/>
  <c r="AI27" i="33" s="1"/>
  <c r="AJ27" i="33" s="1"/>
  <c r="AK27" i="33" s="1"/>
  <c r="AL27" i="33" s="1"/>
  <c r="AM27" i="33" s="1"/>
  <c r="AN27" i="33" s="1"/>
  <c r="AO27" i="33" s="1"/>
  <c r="AP27" i="33" s="1"/>
  <c r="AQ27" i="33" s="1"/>
  <c r="AR27" i="33" s="1"/>
  <c r="AS27" i="33" s="1"/>
  <c r="AT27" i="33" s="1"/>
  <c r="AU27" i="33" s="1"/>
  <c r="AV27" i="33" s="1"/>
  <c r="AW27" i="33" s="1"/>
  <c r="AX27" i="33" s="1"/>
  <c r="AY27" i="33" s="1"/>
  <c r="AZ27" i="33" s="1"/>
  <c r="BA27" i="33" s="1"/>
  <c r="BB27" i="33" s="1"/>
  <c r="BC27" i="33" s="1"/>
  <c r="BD27" i="33" s="1"/>
  <c r="BE27" i="33" s="1"/>
  <c r="BF27" i="33" s="1"/>
  <c r="BG27" i="33" s="1"/>
  <c r="BH27" i="33" s="1"/>
  <c r="BI27" i="33" s="1"/>
  <c r="BJ27" i="33" s="1"/>
  <c r="AR34" i="33"/>
  <c r="C45" i="33"/>
  <c r="D45" i="33" s="1"/>
  <c r="E45" i="33" s="1"/>
  <c r="F45" i="33" s="1"/>
  <c r="G45" i="33" s="1"/>
  <c r="H45" i="33" s="1"/>
  <c r="I45" i="33" s="1"/>
  <c r="J45" i="33" s="1"/>
  <c r="K45" i="33" s="1"/>
  <c r="L45" i="33" s="1"/>
  <c r="M45" i="33" s="1"/>
  <c r="N45" i="33" s="1"/>
  <c r="O45" i="33" s="1"/>
  <c r="P45" i="33" s="1"/>
  <c r="Q45" i="33" s="1"/>
  <c r="R45" i="33" s="1"/>
  <c r="S45" i="33" s="1"/>
  <c r="T45" i="33" s="1"/>
  <c r="U45" i="33" s="1"/>
  <c r="V45" i="33" s="1"/>
  <c r="W45" i="33" s="1"/>
  <c r="X45" i="33" s="1"/>
  <c r="Y45" i="33" s="1"/>
  <c r="Z45" i="33" s="1"/>
  <c r="AA45" i="33" s="1"/>
  <c r="AB45" i="33" s="1"/>
  <c r="AC45" i="33" s="1"/>
  <c r="AD45" i="33" s="1"/>
  <c r="AE45" i="33" s="1"/>
  <c r="AF45" i="33" s="1"/>
  <c r="AG45" i="33" s="1"/>
  <c r="AH45" i="33" s="1"/>
  <c r="AI45" i="33" s="1"/>
  <c r="AJ45" i="33" s="1"/>
  <c r="AK45" i="33" s="1"/>
  <c r="AL45" i="33" s="1"/>
  <c r="AM45" i="33" s="1"/>
  <c r="BE10" i="33"/>
  <c r="AX58" i="33"/>
  <c r="AU58" i="33"/>
  <c r="BC58" i="33"/>
  <c r="C75" i="33"/>
  <c r="D75" i="33" s="1"/>
  <c r="E75" i="33" s="1"/>
  <c r="F75" i="33" s="1"/>
  <c r="G75" i="33" s="1"/>
  <c r="H75" i="33" s="1"/>
  <c r="I75" i="33" s="1"/>
  <c r="J75" i="33" s="1"/>
  <c r="K75" i="33" s="1"/>
  <c r="L75" i="33" s="1"/>
  <c r="M75" i="33" s="1"/>
  <c r="N75" i="33" s="1"/>
  <c r="O75" i="33" s="1"/>
  <c r="P75" i="33" s="1"/>
  <c r="Q75" i="33" s="1"/>
  <c r="R75" i="33" s="1"/>
  <c r="S75" i="33" s="1"/>
  <c r="T75" i="33" s="1"/>
  <c r="U75" i="33" s="1"/>
  <c r="V75" i="33" s="1"/>
  <c r="W75" i="33" s="1"/>
  <c r="X75" i="33" s="1"/>
  <c r="Y75" i="33" s="1"/>
  <c r="Z75" i="33" s="1"/>
  <c r="AA75" i="33" s="1"/>
  <c r="AB75" i="33" s="1"/>
  <c r="AC75" i="33" s="1"/>
  <c r="AD75" i="33" s="1"/>
  <c r="AE75" i="33" s="1"/>
  <c r="AF75" i="33" s="1"/>
  <c r="AG75" i="33" s="1"/>
  <c r="AH75" i="33" s="1"/>
  <c r="AI75" i="33" s="1"/>
  <c r="AJ75" i="33" s="1"/>
  <c r="AK75" i="33" s="1"/>
  <c r="AL75" i="33" s="1"/>
  <c r="AM75" i="33" s="1"/>
  <c r="AN75" i="33" s="1"/>
  <c r="AO75" i="33" s="1"/>
  <c r="AP75" i="33" s="1"/>
  <c r="AQ75" i="33" s="1"/>
  <c r="AR75" i="33" s="1"/>
  <c r="AS75" i="33" s="1"/>
  <c r="AT75" i="33" s="1"/>
  <c r="AU75" i="33" s="1"/>
  <c r="AV75" i="33" s="1"/>
  <c r="AW75" i="33" s="1"/>
  <c r="AX75" i="33" s="1"/>
  <c r="AY75" i="33" s="1"/>
  <c r="AZ75" i="33" s="1"/>
  <c r="BA75" i="33" s="1"/>
  <c r="BB75" i="33" s="1"/>
  <c r="BC75" i="33" s="1"/>
  <c r="BD75" i="33" s="1"/>
  <c r="BE75" i="33" s="1"/>
  <c r="BF75" i="33" s="1"/>
  <c r="BG75" i="33" s="1"/>
  <c r="BH75" i="33" s="1"/>
  <c r="BI75" i="33" s="1"/>
  <c r="BJ75" i="33" s="1"/>
  <c r="AZ34" i="33"/>
  <c r="BG29" i="33"/>
  <c r="BG28" i="33" s="1"/>
  <c r="AS30" i="33"/>
  <c r="AP34" i="33"/>
  <c r="C87" i="33"/>
  <c r="D87" i="33" s="1"/>
  <c r="E87" i="33" s="1"/>
  <c r="F87" i="33" s="1"/>
  <c r="G87" i="33" s="1"/>
  <c r="H87" i="33" s="1"/>
  <c r="I87" i="33" s="1"/>
  <c r="J87" i="33" s="1"/>
  <c r="K87" i="33" s="1"/>
  <c r="L87" i="33" s="1"/>
  <c r="M87" i="33" s="1"/>
  <c r="N87" i="33" s="1"/>
  <c r="O87" i="33" s="1"/>
  <c r="P87" i="33" s="1"/>
  <c r="Q87" i="33" s="1"/>
  <c r="R87" i="33" s="1"/>
  <c r="S87" i="33" s="1"/>
  <c r="T87" i="33" s="1"/>
  <c r="U87" i="33" s="1"/>
  <c r="V87" i="33" s="1"/>
  <c r="W87" i="33" s="1"/>
  <c r="X87" i="33" s="1"/>
  <c r="Y87" i="33" s="1"/>
  <c r="Z87" i="33" s="1"/>
  <c r="AA87" i="33" s="1"/>
  <c r="AB87" i="33" s="1"/>
  <c r="AC87" i="33" s="1"/>
  <c r="AD87" i="33" s="1"/>
  <c r="AE87" i="33" s="1"/>
  <c r="AF87" i="33" s="1"/>
  <c r="AG87" i="33" s="1"/>
  <c r="AH87" i="33" s="1"/>
  <c r="AI87" i="33" s="1"/>
  <c r="AJ87" i="33" s="1"/>
  <c r="AK87" i="33" s="1"/>
  <c r="AL87" i="33" s="1"/>
  <c r="AM87" i="33" s="1"/>
  <c r="AY29" i="33"/>
  <c r="AY28" i="33" s="1"/>
  <c r="BH29" i="33"/>
  <c r="BH28" i="33" s="1"/>
  <c r="BB82" i="33"/>
  <c r="F16" i="33"/>
  <c r="N16" i="33"/>
  <c r="V16" i="33"/>
  <c r="G16" i="33"/>
  <c r="O16" i="33"/>
  <c r="AM16" i="33"/>
  <c r="U16" i="33"/>
  <c r="K16" i="33"/>
  <c r="L16" i="33"/>
  <c r="AJ16" i="33"/>
  <c r="W16" i="33"/>
  <c r="AE16" i="33"/>
  <c r="E16" i="33"/>
  <c r="M16" i="33"/>
  <c r="AC16" i="33"/>
  <c r="AK16" i="33"/>
  <c r="AL16" i="33"/>
  <c r="H16" i="33"/>
  <c r="P16" i="33"/>
  <c r="X16" i="33"/>
  <c r="AF16" i="33"/>
  <c r="C16" i="33"/>
  <c r="S16" i="33"/>
  <c r="AA16" i="33"/>
  <c r="AI16" i="33"/>
  <c r="D16" i="33"/>
  <c r="T16" i="33"/>
  <c r="AB16" i="33"/>
  <c r="P94" i="33"/>
  <c r="AF94" i="33"/>
  <c r="Q94" i="33"/>
  <c r="Y94" i="33"/>
  <c r="H94" i="33"/>
  <c r="X94" i="33"/>
  <c r="E24" i="33"/>
  <c r="E46" i="33"/>
  <c r="E70" i="33"/>
  <c r="H24" i="33"/>
  <c r="I24" i="33"/>
  <c r="H70" i="33"/>
  <c r="C70" i="33"/>
  <c r="C22" i="33"/>
  <c r="G22" i="33"/>
  <c r="F22" i="33"/>
  <c r="AU82" i="33"/>
  <c r="BC82" i="33"/>
  <c r="AV82" i="33"/>
  <c r="BD82" i="33"/>
  <c r="AN78" i="33"/>
  <c r="AO82" i="33"/>
  <c r="AW82" i="33"/>
  <c r="BE82" i="33"/>
  <c r="AP82" i="33"/>
  <c r="AX82" i="33"/>
  <c r="BF82" i="33"/>
  <c r="AQ82" i="33"/>
  <c r="AY82" i="33"/>
  <c r="BG82" i="33"/>
  <c r="AR82" i="33"/>
  <c r="AZ82" i="33"/>
  <c r="BH82" i="33"/>
  <c r="AS79" i="33"/>
  <c r="BA79" i="33"/>
  <c r="BI79" i="33"/>
  <c r="BE58" i="33"/>
  <c r="D70" i="33"/>
  <c r="BF58" i="33"/>
  <c r="H64" i="33"/>
  <c r="P64" i="33"/>
  <c r="X64" i="33"/>
  <c r="AF64" i="33"/>
  <c r="AP58" i="33"/>
  <c r="G70" i="33"/>
  <c r="AW58" i="33"/>
  <c r="AQ58" i="33"/>
  <c r="AQ53" i="33"/>
  <c r="AQ52" i="33" s="1"/>
  <c r="AY58" i="33"/>
  <c r="AY53" i="33"/>
  <c r="AY52" i="33" s="1"/>
  <c r="BG58" i="33"/>
  <c r="BG53" i="33"/>
  <c r="BG52" i="33" s="1"/>
  <c r="AR53" i="33"/>
  <c r="AR52" i="33" s="1"/>
  <c r="AZ53" i="33"/>
  <c r="AZ52" i="33" s="1"/>
  <c r="BH53" i="33"/>
  <c r="BH52" i="33" s="1"/>
  <c r="AS54" i="33"/>
  <c r="BA54" i="33"/>
  <c r="BI54" i="33"/>
  <c r="AY10" i="33"/>
  <c r="BJ10" i="33"/>
  <c r="AZ10" i="33"/>
  <c r="AD16" i="33"/>
  <c r="AU10" i="33"/>
  <c r="BC10" i="33"/>
  <c r="AN10" i="33"/>
  <c r="AV10" i="33"/>
  <c r="BD10" i="33"/>
  <c r="D22" i="33"/>
  <c r="I16" i="33"/>
  <c r="Q16" i="33"/>
  <c r="Y16" i="33"/>
  <c r="AG16" i="33"/>
  <c r="AP10" i="33"/>
  <c r="J16" i="33"/>
  <c r="R16" i="33"/>
  <c r="Z16" i="33"/>
  <c r="AH16" i="33"/>
  <c r="BH10" i="33"/>
  <c r="AX10" i="33"/>
  <c r="AQ10" i="33"/>
  <c r="AR10" i="33"/>
  <c r="C21" i="33"/>
  <c r="D21" i="33" s="1"/>
  <c r="E21" i="33" s="1"/>
  <c r="F21" i="33" s="1"/>
  <c r="G21" i="33" s="1"/>
  <c r="H21" i="33" s="1"/>
  <c r="I21" i="33" s="1"/>
  <c r="J21" i="33" s="1"/>
  <c r="K21" i="33" s="1"/>
  <c r="L21" i="33" s="1"/>
  <c r="M21" i="33" s="1"/>
  <c r="N21" i="33" s="1"/>
  <c r="O21" i="33" s="1"/>
  <c r="P21" i="33" s="1"/>
  <c r="Q21" i="33" s="1"/>
  <c r="R21" i="33" s="1"/>
  <c r="S21" i="33" s="1"/>
  <c r="T21" i="33" s="1"/>
  <c r="U21" i="33" s="1"/>
  <c r="V21" i="33" s="1"/>
  <c r="W21" i="33" s="1"/>
  <c r="X21" i="33" s="1"/>
  <c r="Y21" i="33" s="1"/>
  <c r="Z21" i="33" s="1"/>
  <c r="AA21" i="33" s="1"/>
  <c r="AB21" i="33" s="1"/>
  <c r="AC21" i="33" s="1"/>
  <c r="AD21" i="33" s="1"/>
  <c r="AE21" i="33" s="1"/>
  <c r="AF21" i="33" s="1"/>
  <c r="AG21" i="33" s="1"/>
  <c r="AH21" i="33" s="1"/>
  <c r="AI21" i="33" s="1"/>
  <c r="AJ21" i="33" s="1"/>
  <c r="AK21" i="33" s="1"/>
  <c r="AL21" i="33" s="1"/>
  <c r="AM21" i="33" s="1"/>
  <c r="C9" i="33"/>
  <c r="D9" i="33" s="1"/>
  <c r="E9" i="33" s="1"/>
  <c r="F9" i="33" s="1"/>
  <c r="G9" i="33" s="1"/>
  <c r="H9" i="33" s="1"/>
  <c r="I9" i="33" s="1"/>
  <c r="J9" i="33" s="1"/>
  <c r="K9" i="33" s="1"/>
  <c r="L9" i="33" s="1"/>
  <c r="M9" i="33" s="1"/>
  <c r="N9" i="33" s="1"/>
  <c r="O9" i="33" s="1"/>
  <c r="P9" i="33" s="1"/>
  <c r="Q9" i="33" s="1"/>
  <c r="R9" i="33" s="1"/>
  <c r="S9" i="33" s="1"/>
  <c r="T9" i="33" s="1"/>
  <c r="U9" i="33" s="1"/>
  <c r="V9" i="33" s="1"/>
  <c r="W9" i="33" s="1"/>
  <c r="X9" i="33" s="1"/>
  <c r="Y9" i="33" s="1"/>
  <c r="Z9" i="33" s="1"/>
  <c r="AA9" i="33" s="1"/>
  <c r="AB9" i="33" s="1"/>
  <c r="AC9" i="33" s="1"/>
  <c r="AD9" i="33" s="1"/>
  <c r="AE9" i="33" s="1"/>
  <c r="AF9" i="33" s="1"/>
  <c r="AG9" i="33" s="1"/>
  <c r="AH9" i="33" s="1"/>
  <c r="AI9" i="33" s="1"/>
  <c r="AJ9" i="33" s="1"/>
  <c r="AK9" i="33" s="1"/>
  <c r="AL9" i="33" s="1"/>
  <c r="AM9" i="33" s="1"/>
  <c r="AN9" i="33" s="1"/>
  <c r="AO9" i="33" s="1"/>
  <c r="AP9" i="33" s="1"/>
  <c r="AQ9" i="33" s="1"/>
  <c r="AR9" i="33" s="1"/>
  <c r="AS9" i="33" s="1"/>
  <c r="AT9" i="33" s="1"/>
  <c r="AU9" i="33" s="1"/>
  <c r="AV9" i="33" s="1"/>
  <c r="AW9" i="33" s="1"/>
  <c r="AX9" i="33" s="1"/>
  <c r="AY9" i="33" s="1"/>
  <c r="AZ9" i="33" s="1"/>
  <c r="BA9" i="33" s="1"/>
  <c r="BB9" i="33" s="1"/>
  <c r="BC9" i="33" s="1"/>
  <c r="BD9" i="33" s="1"/>
  <c r="BE9" i="33" s="1"/>
  <c r="BF9" i="33" s="1"/>
  <c r="BG9" i="33" s="1"/>
  <c r="BH9" i="33" s="1"/>
  <c r="BI9" i="33" s="1"/>
  <c r="BJ9" i="33" s="1"/>
  <c r="D3" i="33"/>
  <c r="BG10" i="33"/>
  <c r="AS10" i="33"/>
  <c r="BA10" i="33"/>
  <c r="BI10" i="33"/>
  <c r="C15" i="33"/>
  <c r="D15" i="33" s="1"/>
  <c r="E15" i="33" s="1"/>
  <c r="F15" i="33" s="1"/>
  <c r="G15" i="33" s="1"/>
  <c r="H15" i="33" s="1"/>
  <c r="I15" i="33" s="1"/>
  <c r="J15" i="33" s="1"/>
  <c r="K15" i="33" s="1"/>
  <c r="L15" i="33" s="1"/>
  <c r="M15" i="33" s="1"/>
  <c r="N15" i="33" s="1"/>
  <c r="O15" i="33" s="1"/>
  <c r="P15" i="33" s="1"/>
  <c r="Q15" i="33" s="1"/>
  <c r="R15" i="33" s="1"/>
  <c r="S15" i="33" s="1"/>
  <c r="T15" i="33" s="1"/>
  <c r="U15" i="33" s="1"/>
  <c r="V15" i="33" s="1"/>
  <c r="W15" i="33" s="1"/>
  <c r="X15" i="33" s="1"/>
  <c r="Y15" i="33" s="1"/>
  <c r="Z15" i="33" s="1"/>
  <c r="AA15" i="33" s="1"/>
  <c r="AB15" i="33" s="1"/>
  <c r="AC15" i="33" s="1"/>
  <c r="AD15" i="33" s="1"/>
  <c r="AE15" i="33" s="1"/>
  <c r="AF15" i="33" s="1"/>
  <c r="AG15" i="33" s="1"/>
  <c r="AH15" i="33" s="1"/>
  <c r="AI15" i="33" s="1"/>
  <c r="AJ15" i="33" s="1"/>
  <c r="AK15" i="33" s="1"/>
  <c r="AL15" i="33" s="1"/>
  <c r="AM15" i="33" s="1"/>
  <c r="E22" i="33" l="1"/>
  <c r="I22" i="33"/>
  <c r="H22" i="33"/>
  <c r="E3" i="33"/>
  <c r="F3" i="33" l="1"/>
  <c r="G3" i="33" l="1"/>
  <c r="H3" i="33" l="1"/>
  <c r="I3" i="33" l="1"/>
  <c r="J3" i="33" l="1"/>
  <c r="K3" i="33" l="1"/>
  <c r="L3" i="33" l="1"/>
  <c r="M3" i="33" l="1"/>
  <c r="N3" i="33" l="1"/>
  <c r="O3" i="33" l="1"/>
  <c r="P3" i="33" l="1"/>
  <c r="Q3" i="33" l="1"/>
  <c r="R3" i="33" l="1"/>
  <c r="S3" i="33" l="1"/>
  <c r="T3" i="33" l="1"/>
  <c r="U3" i="33" l="1"/>
  <c r="V3" i="33" l="1"/>
  <c r="W3" i="33" l="1"/>
  <c r="X3" i="33" l="1"/>
  <c r="Y3" i="33" l="1"/>
  <c r="Z3" i="33" l="1"/>
  <c r="AA3" i="33" l="1"/>
  <c r="AB3" i="33" l="1"/>
  <c r="AC3" i="33" l="1"/>
  <c r="AD3" i="33" l="1"/>
  <c r="AE3" i="33" l="1"/>
  <c r="AF3" i="33" l="1"/>
  <c r="AG3" i="33" l="1"/>
  <c r="AH3" i="33" l="1"/>
  <c r="AI3" i="33" l="1"/>
  <c r="AJ3" i="33" l="1"/>
  <c r="AK3" i="33" l="1"/>
  <c r="AL3" i="33" l="1"/>
  <c r="AM3" i="33" l="1"/>
  <c r="AN3" i="33" l="1"/>
  <c r="AO3" i="33" l="1"/>
  <c r="AP3" i="33" l="1"/>
  <c r="AQ3" i="33" l="1"/>
  <c r="AR3" i="33" l="1"/>
  <c r="AS3" i="33" l="1"/>
  <c r="AT3" i="33" l="1"/>
  <c r="AU3" i="33" l="1"/>
  <c r="AV3" i="33" l="1"/>
  <c r="AW3" i="33" l="1"/>
  <c r="AX3" i="33" l="1"/>
  <c r="AY3" i="33" l="1"/>
  <c r="AZ3" i="33" l="1"/>
  <c r="BA3" i="33" l="1"/>
  <c r="BB3" i="33" l="1"/>
  <c r="BC3" i="33" l="1"/>
  <c r="BD3" i="33" l="1"/>
  <c r="BE3" i="33" l="1"/>
  <c r="BF3" i="33" l="1"/>
  <c r="BG3" i="33" l="1"/>
  <c r="BH3" i="33" l="1"/>
  <c r="BI3" i="33" l="1"/>
  <c r="BJ3" i="33" l="1"/>
  <c r="G24" i="27" l="1"/>
  <c r="F24" i="27"/>
  <c r="E24" i="27"/>
  <c r="G23" i="27"/>
  <c r="F23" i="27"/>
  <c r="E23" i="27"/>
  <c r="G22" i="27"/>
  <c r="F22" i="27"/>
  <c r="E22" i="27"/>
  <c r="AM31" i="29" l="1"/>
  <c r="AL31" i="29"/>
  <c r="AK31" i="29"/>
  <c r="AJ31" i="29"/>
  <c r="AI31" i="29"/>
  <c r="AH31" i="29"/>
  <c r="AG31" i="29"/>
  <c r="AF31" i="29"/>
  <c r="AE31" i="29"/>
  <c r="AD31" i="29"/>
  <c r="AC31" i="29"/>
  <c r="AB31" i="29"/>
  <c r="AA31" i="29"/>
  <c r="Z31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I30" i="29"/>
  <c r="H30" i="29"/>
  <c r="G30" i="29"/>
  <c r="F30" i="29"/>
  <c r="E30" i="29"/>
  <c r="D30" i="29"/>
  <c r="C30" i="29"/>
  <c r="I29" i="29"/>
  <c r="H29" i="29"/>
  <c r="G29" i="29"/>
  <c r="F29" i="29"/>
  <c r="E29" i="29"/>
  <c r="D29" i="29"/>
  <c r="C29" i="29"/>
  <c r="C24" i="31"/>
  <c r="C23" i="31"/>
  <c r="C22" i="31"/>
  <c r="AO42" i="4"/>
  <c r="AM24" i="31" s="1"/>
  <c r="AN42" i="4"/>
  <c r="AL24" i="31" s="1"/>
  <c r="AM42" i="4"/>
  <c r="AK24" i="31" s="1"/>
  <c r="AL42" i="4"/>
  <c r="AJ24" i="31" s="1"/>
  <c r="AK42" i="4"/>
  <c r="AI24" i="31" s="1"/>
  <c r="AJ42" i="4"/>
  <c r="AH24" i="31" s="1"/>
  <c r="AI42" i="4"/>
  <c r="AG24" i="31" s="1"/>
  <c r="AH42" i="4"/>
  <c r="AF24" i="31" s="1"/>
  <c r="AG42" i="4"/>
  <c r="AE24" i="31" s="1"/>
  <c r="AF42" i="4"/>
  <c r="AD24" i="31" s="1"/>
  <c r="AE42" i="4"/>
  <c r="AC24" i="31" s="1"/>
  <c r="AD42" i="4"/>
  <c r="AB24" i="31" s="1"/>
  <c r="AC42" i="4"/>
  <c r="AA24" i="31" s="1"/>
  <c r="AB42" i="4"/>
  <c r="Z24" i="31" s="1"/>
  <c r="AA42" i="4"/>
  <c r="Y24" i="31" s="1"/>
  <c r="Z42" i="4"/>
  <c r="X24" i="31" s="1"/>
  <c r="Y42" i="4"/>
  <c r="W24" i="31" s="1"/>
  <c r="X42" i="4"/>
  <c r="V24" i="31" s="1"/>
  <c r="W42" i="4"/>
  <c r="U24" i="31" s="1"/>
  <c r="V42" i="4"/>
  <c r="T24" i="31" s="1"/>
  <c r="U42" i="4"/>
  <c r="S24" i="31" s="1"/>
  <c r="T42" i="4"/>
  <c r="R24" i="31" s="1"/>
  <c r="S42" i="4"/>
  <c r="Q24" i="31" s="1"/>
  <c r="R42" i="4"/>
  <c r="P24" i="31" s="1"/>
  <c r="Q42" i="4"/>
  <c r="O24" i="31" s="1"/>
  <c r="P42" i="4"/>
  <c r="N24" i="31" s="1"/>
  <c r="O42" i="4"/>
  <c r="M24" i="31" s="1"/>
  <c r="N42" i="4"/>
  <c r="L24" i="31" s="1"/>
  <c r="M42" i="4"/>
  <c r="K24" i="31" s="1"/>
  <c r="L42" i="4"/>
  <c r="J24" i="31" s="1"/>
  <c r="K42" i="4"/>
  <c r="I24" i="31" s="1"/>
  <c r="J42" i="4"/>
  <c r="H24" i="31" s="1"/>
  <c r="I42" i="4"/>
  <c r="G24" i="31" s="1"/>
  <c r="H42" i="4"/>
  <c r="F24" i="31" s="1"/>
  <c r="G42" i="4"/>
  <c r="E24" i="31" s="1"/>
  <c r="K41" i="4"/>
  <c r="I23" i="31" s="1"/>
  <c r="J41" i="4"/>
  <c r="H23" i="31" s="1"/>
  <c r="I41" i="4"/>
  <c r="G23" i="31" s="1"/>
  <c r="H41" i="4"/>
  <c r="F23" i="31" s="1"/>
  <c r="G41" i="4"/>
  <c r="E23" i="31" s="1"/>
  <c r="K40" i="4"/>
  <c r="I22" i="31" s="1"/>
  <c r="J40" i="4"/>
  <c r="H22" i="31" s="1"/>
  <c r="I40" i="4"/>
  <c r="G22" i="31" s="1"/>
  <c r="H40" i="4"/>
  <c r="F22" i="31" s="1"/>
  <c r="G40" i="4"/>
  <c r="E22" i="31" s="1"/>
  <c r="F42" i="4"/>
  <c r="D24" i="31" s="1"/>
  <c r="F41" i="4"/>
  <c r="D23" i="31" s="1"/>
  <c r="F40" i="4"/>
  <c r="D22" i="31" s="1"/>
  <c r="F123" i="25"/>
  <c r="C123" i="25"/>
  <c r="H123" i="25"/>
  <c r="I123" i="25"/>
  <c r="G123" i="25"/>
  <c r="E123" i="25"/>
  <c r="D123" i="25"/>
  <c r="O118" i="25"/>
  <c r="O119" i="25"/>
  <c r="S26" i="27"/>
  <c r="T25" i="27"/>
  <c r="S25" i="27"/>
  <c r="U21" i="27"/>
  <c r="U25" i="27" s="1"/>
  <c r="I28" i="29" l="1"/>
  <c r="E28" i="29"/>
  <c r="D28" i="29"/>
  <c r="H28" i="29"/>
  <c r="C28" i="29"/>
  <c r="F28" i="29"/>
  <c r="G28" i="29"/>
  <c r="BU4" i="10" l="1"/>
  <c r="BV4" i="10" s="1"/>
  <c r="BW4" i="10" s="1"/>
  <c r="BX4" i="10" s="1"/>
  <c r="BY4" i="10" s="1"/>
  <c r="BZ4" i="10" s="1"/>
  <c r="CA4" i="10" s="1"/>
  <c r="CB4" i="10" s="1"/>
  <c r="CC4" i="10" s="1"/>
  <c r="CD4" i="10" s="1"/>
  <c r="CE4" i="10" s="1"/>
  <c r="CF4" i="10" s="1"/>
  <c r="CG4" i="10" s="1"/>
  <c r="CH4" i="10" s="1"/>
  <c r="CI4" i="10" s="1"/>
  <c r="CJ4" i="10" s="1"/>
  <c r="CK4" i="10" s="1"/>
  <c r="CL4" i="10" s="1"/>
  <c r="CM4" i="10" s="1"/>
  <c r="CN4" i="10" s="1"/>
  <c r="CO4" i="10" s="1"/>
  <c r="CP4" i="10" s="1"/>
  <c r="CQ4" i="10" s="1"/>
  <c r="CR4" i="10" s="1"/>
  <c r="CS4" i="10" s="1"/>
  <c r="CT4" i="10" s="1"/>
  <c r="CU4" i="10" s="1"/>
  <c r="CV4" i="10" s="1"/>
  <c r="CW4" i="10" s="1"/>
  <c r="CX4" i="10" s="1"/>
  <c r="CY4" i="10" s="1"/>
  <c r="CZ4" i="10" s="1"/>
  <c r="DA4" i="10" s="1"/>
  <c r="DB4" i="10" s="1"/>
  <c r="DC4" i="10" s="1"/>
  <c r="DD4" i="10" s="1"/>
  <c r="DE4" i="10" s="1"/>
  <c r="DF4" i="10" s="1"/>
  <c r="DG4" i="10" s="1"/>
  <c r="DH4" i="10" s="1"/>
  <c r="DI4" i="10" s="1"/>
  <c r="DJ4" i="10" s="1"/>
  <c r="DK4" i="10" s="1"/>
  <c r="DL4" i="10" s="1"/>
  <c r="DM4" i="10" s="1"/>
  <c r="DN4" i="10" s="1"/>
  <c r="DO4" i="10" s="1"/>
  <c r="DP4" i="10" s="1"/>
  <c r="DQ4" i="10" s="1"/>
  <c r="DR4" i="10" s="1"/>
  <c r="DS4" i="10" s="1"/>
  <c r="DT4" i="10" s="1"/>
  <c r="DU4" i="10" s="1"/>
  <c r="DV4" i="10" s="1"/>
  <c r="DW4" i="10" s="1"/>
  <c r="DX4" i="10" s="1"/>
  <c r="AM28" i="11" l="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D28" i="11"/>
  <c r="C28" i="11"/>
  <c r="AM22" i="11"/>
  <c r="AL22" i="11"/>
  <c r="AK22" i="11"/>
  <c r="AJ22" i="11"/>
  <c r="AI22" i="11"/>
  <c r="AH22" i="11"/>
  <c r="AG22" i="11"/>
  <c r="AF22" i="11"/>
  <c r="AE22" i="11"/>
  <c r="AD22" i="11"/>
  <c r="AC22" i="11"/>
  <c r="AB22" i="11"/>
  <c r="AA22" i="11"/>
  <c r="Z22" i="11"/>
  <c r="Y22" i="11"/>
  <c r="X22" i="11"/>
  <c r="W22" i="11"/>
  <c r="V22" i="11"/>
  <c r="U22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D22" i="11"/>
  <c r="C22" i="11"/>
  <c r="AM31" i="23" l="1"/>
  <c r="AM7" i="23"/>
  <c r="BJ89" i="23"/>
  <c r="BI89" i="23"/>
  <c r="BH89" i="23"/>
  <c r="BG89" i="23"/>
  <c r="BF89" i="23"/>
  <c r="BE89" i="23"/>
  <c r="BD89" i="23"/>
  <c r="BC89" i="23"/>
  <c r="BB89" i="23"/>
  <c r="BA89" i="23"/>
  <c r="AZ89" i="23"/>
  <c r="AY89" i="23"/>
  <c r="AX89" i="23"/>
  <c r="AW89" i="23"/>
  <c r="AV89" i="23"/>
  <c r="AU89" i="23"/>
  <c r="AT89" i="23"/>
  <c r="AS89" i="23"/>
  <c r="AR89" i="23"/>
  <c r="AQ89" i="23"/>
  <c r="AP89" i="23"/>
  <c r="AO89" i="23"/>
  <c r="AN89" i="23"/>
  <c r="BJ88" i="23"/>
  <c r="BI88" i="23"/>
  <c r="BH88" i="23"/>
  <c r="BG88" i="23"/>
  <c r="BF88" i="23"/>
  <c r="BE88" i="23"/>
  <c r="BD88" i="23"/>
  <c r="BC88" i="23"/>
  <c r="BB88" i="23"/>
  <c r="BA88" i="23"/>
  <c r="AZ88" i="23"/>
  <c r="AY88" i="23"/>
  <c r="AX88" i="23"/>
  <c r="AW88" i="23"/>
  <c r="AV88" i="23"/>
  <c r="AU88" i="23"/>
  <c r="AT88" i="23"/>
  <c r="AS88" i="23"/>
  <c r="AR88" i="23"/>
  <c r="AQ88" i="23"/>
  <c r="AP88" i="23"/>
  <c r="AO88" i="23"/>
  <c r="AN88" i="23"/>
  <c r="BJ87" i="23"/>
  <c r="BI87" i="23"/>
  <c r="BH87" i="23"/>
  <c r="BG87" i="23"/>
  <c r="BF87" i="23"/>
  <c r="BE87" i="23"/>
  <c r="BD87" i="23"/>
  <c r="BC87" i="23"/>
  <c r="BB87" i="23"/>
  <c r="BA87" i="23"/>
  <c r="AZ87" i="23"/>
  <c r="AY87" i="23"/>
  <c r="AX87" i="23"/>
  <c r="AW87" i="23"/>
  <c r="AV87" i="23"/>
  <c r="AU87" i="23"/>
  <c r="AT87" i="23"/>
  <c r="AS87" i="23"/>
  <c r="AR87" i="23"/>
  <c r="AQ87" i="23"/>
  <c r="AP87" i="23"/>
  <c r="AO87" i="23"/>
  <c r="AN87" i="23"/>
  <c r="BJ79" i="23"/>
  <c r="BI79" i="23"/>
  <c r="BH79" i="23"/>
  <c r="BG79" i="23"/>
  <c r="BF79" i="23"/>
  <c r="BE79" i="23"/>
  <c r="BD79" i="23"/>
  <c r="BC79" i="23"/>
  <c r="BB79" i="23"/>
  <c r="BA79" i="23"/>
  <c r="AZ79" i="23"/>
  <c r="AY79" i="23"/>
  <c r="AX79" i="23"/>
  <c r="AW79" i="23"/>
  <c r="AV79" i="23"/>
  <c r="AU79" i="23"/>
  <c r="AT79" i="23"/>
  <c r="AS79" i="23"/>
  <c r="AR79" i="23"/>
  <c r="AQ79" i="23"/>
  <c r="AP79" i="23"/>
  <c r="AO79" i="23"/>
  <c r="AN79" i="23"/>
  <c r="Q9" i="27"/>
  <c r="P9" i="27"/>
  <c r="O9" i="27"/>
  <c r="N9" i="27"/>
  <c r="M9" i="27"/>
  <c r="AM48" i="31"/>
  <c r="AL48" i="31"/>
  <c r="AK48" i="31"/>
  <c r="AJ48" i="31"/>
  <c r="AI48" i="31"/>
  <c r="AH48" i="31"/>
  <c r="AG48" i="31"/>
  <c r="AF48" i="31"/>
  <c r="AE48" i="31"/>
  <c r="AD48" i="31"/>
  <c r="AC48" i="31"/>
  <c r="AB48" i="31"/>
  <c r="AA48" i="31"/>
  <c r="Z48" i="31"/>
  <c r="Y48" i="31"/>
  <c r="X48" i="31"/>
  <c r="W48" i="31"/>
  <c r="V48" i="31"/>
  <c r="U48" i="31"/>
  <c r="T48" i="31"/>
  <c r="S48" i="31"/>
  <c r="R48" i="31"/>
  <c r="Q48" i="31"/>
  <c r="P48" i="31"/>
  <c r="O48" i="31"/>
  <c r="N48" i="31"/>
  <c r="M48" i="31"/>
  <c r="L48" i="31"/>
  <c r="K48" i="31"/>
  <c r="J48" i="31"/>
  <c r="I48" i="31"/>
  <c r="H48" i="31"/>
  <c r="G48" i="31"/>
  <c r="F48" i="31"/>
  <c r="E48" i="31"/>
  <c r="D48" i="31"/>
  <c r="C48" i="31"/>
  <c r="AM47" i="31"/>
  <c r="AL47" i="31"/>
  <c r="AK47" i="31"/>
  <c r="AJ47" i="31"/>
  <c r="AI47" i="31"/>
  <c r="AH47" i="31"/>
  <c r="AG47" i="31"/>
  <c r="AF47" i="31"/>
  <c r="AE47" i="31"/>
  <c r="AD47" i="31"/>
  <c r="AC47" i="31"/>
  <c r="AB47" i="31"/>
  <c r="AA47" i="31"/>
  <c r="Z47" i="31"/>
  <c r="Y47" i="31"/>
  <c r="X47" i="31"/>
  <c r="W47" i="31"/>
  <c r="V47" i="31"/>
  <c r="U47" i="31"/>
  <c r="T47" i="31"/>
  <c r="S47" i="31"/>
  <c r="R47" i="31"/>
  <c r="Q47" i="31"/>
  <c r="P47" i="31"/>
  <c r="O47" i="31"/>
  <c r="N47" i="31"/>
  <c r="M47" i="31"/>
  <c r="L47" i="31"/>
  <c r="K47" i="31"/>
  <c r="J47" i="31"/>
  <c r="I47" i="31"/>
  <c r="H47" i="31"/>
  <c r="G47" i="31"/>
  <c r="F47" i="31"/>
  <c r="E47" i="31"/>
  <c r="D47" i="31"/>
  <c r="C47" i="31"/>
  <c r="AM46" i="31"/>
  <c r="AL46" i="31"/>
  <c r="AK46" i="31"/>
  <c r="AJ46" i="31"/>
  <c r="AI46" i="31"/>
  <c r="AH46" i="31"/>
  <c r="AG46" i="31"/>
  <c r="AF46" i="31"/>
  <c r="AE46" i="31"/>
  <c r="AD46" i="31"/>
  <c r="AC46" i="31"/>
  <c r="AB46" i="31"/>
  <c r="AA46" i="31"/>
  <c r="Z46" i="31"/>
  <c r="Y46" i="31"/>
  <c r="X46" i="31"/>
  <c r="W46" i="31"/>
  <c r="V46" i="31"/>
  <c r="U46" i="31"/>
  <c r="T46" i="31"/>
  <c r="S46" i="31"/>
  <c r="R46" i="31"/>
  <c r="Q46" i="31"/>
  <c r="P46" i="31"/>
  <c r="O46" i="31"/>
  <c r="N46" i="31"/>
  <c r="M46" i="31"/>
  <c r="L46" i="31"/>
  <c r="K46" i="31"/>
  <c r="J46" i="31"/>
  <c r="I46" i="31"/>
  <c r="H46" i="31"/>
  <c r="G46" i="31"/>
  <c r="F46" i="31"/>
  <c r="E46" i="31"/>
  <c r="D46" i="31"/>
  <c r="C46" i="31"/>
  <c r="AM42" i="31"/>
  <c r="BO42" i="31" s="1"/>
  <c r="AL42" i="31"/>
  <c r="AK42" i="31"/>
  <c r="AJ42" i="31"/>
  <c r="AI42" i="31"/>
  <c r="AH42" i="31"/>
  <c r="AG42" i="31"/>
  <c r="AF42" i="31"/>
  <c r="AE42" i="31"/>
  <c r="AD42" i="31"/>
  <c r="AC42" i="31"/>
  <c r="AB42" i="31"/>
  <c r="AA42" i="31"/>
  <c r="BN42" i="31" s="1"/>
  <c r="Z42" i="31"/>
  <c r="Y42" i="31"/>
  <c r="X42" i="31"/>
  <c r="W42" i="31"/>
  <c r="V42" i="31"/>
  <c r="U42" i="31"/>
  <c r="T42" i="31"/>
  <c r="S42" i="31"/>
  <c r="R42" i="31"/>
  <c r="Q42" i="31"/>
  <c r="P42" i="31"/>
  <c r="O42" i="31"/>
  <c r="BM42" i="31" s="1"/>
  <c r="N42" i="31"/>
  <c r="M42" i="31"/>
  <c r="L42" i="31"/>
  <c r="K42" i="31"/>
  <c r="J42" i="31"/>
  <c r="I42" i="31"/>
  <c r="H42" i="31"/>
  <c r="G42" i="31"/>
  <c r="F42" i="31"/>
  <c r="E42" i="31"/>
  <c r="D42" i="31"/>
  <c r="C42" i="31"/>
  <c r="AM41" i="31"/>
  <c r="BO41" i="31" s="1"/>
  <c r="AL41" i="31"/>
  <c r="AK41" i="31"/>
  <c r="AJ41" i="31"/>
  <c r="AI41" i="31"/>
  <c r="AH41" i="31"/>
  <c r="AG41" i="31"/>
  <c r="AF41" i="31"/>
  <c r="AE41" i="31"/>
  <c r="AD41" i="31"/>
  <c r="AC41" i="31"/>
  <c r="AB41" i="31"/>
  <c r="AA41" i="31"/>
  <c r="BN41" i="31" s="1"/>
  <c r="Z41" i="31"/>
  <c r="Y41" i="31"/>
  <c r="X41" i="31"/>
  <c r="W41" i="31"/>
  <c r="V41" i="31"/>
  <c r="U41" i="31"/>
  <c r="T41" i="31"/>
  <c r="S41" i="31"/>
  <c r="R41" i="31"/>
  <c r="Q41" i="31"/>
  <c r="P41" i="31"/>
  <c r="O41" i="31"/>
  <c r="BM41" i="31" s="1"/>
  <c r="N41" i="31"/>
  <c r="M41" i="31"/>
  <c r="L41" i="31"/>
  <c r="K41" i="31"/>
  <c r="J41" i="31"/>
  <c r="I41" i="31"/>
  <c r="H41" i="31"/>
  <c r="G41" i="31"/>
  <c r="F41" i="31"/>
  <c r="E41" i="31"/>
  <c r="D41" i="31"/>
  <c r="C41" i="31"/>
  <c r="AM40" i="31"/>
  <c r="BO40" i="31" s="1"/>
  <c r="AL40" i="31"/>
  <c r="AK40" i="31"/>
  <c r="AJ40" i="31"/>
  <c r="AI40" i="31"/>
  <c r="AH40" i="31"/>
  <c r="AG40" i="31"/>
  <c r="AF40" i="31"/>
  <c r="AE40" i="31"/>
  <c r="AD40" i="31"/>
  <c r="AC40" i="31"/>
  <c r="AB40" i="31"/>
  <c r="AA40" i="31"/>
  <c r="BN40" i="31" s="1"/>
  <c r="Z40" i="31"/>
  <c r="Y40" i="31"/>
  <c r="X40" i="31"/>
  <c r="W40" i="31"/>
  <c r="V40" i="31"/>
  <c r="U40" i="31"/>
  <c r="T40" i="31"/>
  <c r="S40" i="31"/>
  <c r="R40" i="31"/>
  <c r="Q40" i="31"/>
  <c r="P40" i="31"/>
  <c r="O40" i="31"/>
  <c r="BM40" i="31" s="1"/>
  <c r="N40" i="31"/>
  <c r="M40" i="31"/>
  <c r="L40" i="31"/>
  <c r="K40" i="31"/>
  <c r="J40" i="31"/>
  <c r="I40" i="31"/>
  <c r="H40" i="31"/>
  <c r="G40" i="31"/>
  <c r="F40" i="31"/>
  <c r="E40" i="31"/>
  <c r="D40" i="31"/>
  <c r="C40" i="31"/>
  <c r="BO24" i="31"/>
  <c r="BN24" i="31"/>
  <c r="BM24" i="31"/>
  <c r="BO8" i="31"/>
  <c r="BO14" i="31" s="1"/>
  <c r="BO20" i="31" s="1"/>
  <c r="BO26" i="31" s="1"/>
  <c r="BO32" i="31" s="1"/>
  <c r="BO38" i="31" s="1"/>
  <c r="BO44" i="31" s="1"/>
  <c r="BO50" i="31" s="1"/>
  <c r="BO56" i="31" s="1"/>
  <c r="BO62" i="31" s="1"/>
  <c r="BO68" i="31" s="1"/>
  <c r="BN8" i="31"/>
  <c r="BN14" i="31" s="1"/>
  <c r="BN20" i="31" s="1"/>
  <c r="BN26" i="31" s="1"/>
  <c r="BN32" i="31" s="1"/>
  <c r="BN38" i="31" s="1"/>
  <c r="BN44" i="31" s="1"/>
  <c r="BN50" i="31" s="1"/>
  <c r="BN56" i="31" s="1"/>
  <c r="BN62" i="31" s="1"/>
  <c r="BN68" i="31" s="1"/>
  <c r="BM8" i="31"/>
  <c r="BM14" i="31" s="1"/>
  <c r="BM20" i="31" s="1"/>
  <c r="BM26" i="31" s="1"/>
  <c r="BM32" i="31" s="1"/>
  <c r="BM38" i="31" s="1"/>
  <c r="BM44" i="31" s="1"/>
  <c r="BM50" i="31" s="1"/>
  <c r="BM56" i="31" s="1"/>
  <c r="BM62" i="31" s="1"/>
  <c r="BM68" i="31" s="1"/>
  <c r="BJ45" i="31"/>
  <c r="BI45" i="31"/>
  <c r="BH45" i="31"/>
  <c r="BG45" i="31"/>
  <c r="BF45" i="31"/>
  <c r="BE45" i="31"/>
  <c r="BD45" i="31"/>
  <c r="BC45" i="31"/>
  <c r="BB45" i="31"/>
  <c r="BA45" i="31"/>
  <c r="AZ45" i="31"/>
  <c r="AY45" i="31"/>
  <c r="AX45" i="31"/>
  <c r="AW45" i="31"/>
  <c r="AV45" i="31"/>
  <c r="AU45" i="31"/>
  <c r="AT45" i="31"/>
  <c r="AS45" i="31"/>
  <c r="AR45" i="31"/>
  <c r="AQ45" i="31"/>
  <c r="AP45" i="31"/>
  <c r="AO45" i="31"/>
  <c r="AN45" i="31"/>
  <c r="A45" i="31"/>
  <c r="A46" i="31" s="1"/>
  <c r="A47" i="31" s="1"/>
  <c r="A48" i="31" s="1"/>
  <c r="A69" i="31"/>
  <c r="A70" i="31" s="1"/>
  <c r="A71" i="31" s="1"/>
  <c r="A72" i="31" s="1"/>
  <c r="A63" i="31"/>
  <c r="A64" i="31" s="1"/>
  <c r="A65" i="31" s="1"/>
  <c r="A66" i="31" s="1"/>
  <c r="A33" i="25"/>
  <c r="A34" i="25" s="1"/>
  <c r="A35" i="25" s="1"/>
  <c r="A36" i="25" s="1"/>
  <c r="A27" i="25"/>
  <c r="A28" i="25" s="1"/>
  <c r="A29" i="25" s="1"/>
  <c r="A30" i="25" s="1"/>
  <c r="BJ57" i="31"/>
  <c r="BI57" i="31"/>
  <c r="BH57" i="31"/>
  <c r="BG57" i="31"/>
  <c r="BF57" i="31"/>
  <c r="BE57" i="31"/>
  <c r="BD57" i="31"/>
  <c r="BC57" i="31"/>
  <c r="BB57" i="31"/>
  <c r="BA57" i="31"/>
  <c r="AZ57" i="31"/>
  <c r="AY57" i="31"/>
  <c r="AX57" i="31"/>
  <c r="AW57" i="31"/>
  <c r="AV57" i="31"/>
  <c r="AU57" i="31"/>
  <c r="AT57" i="31"/>
  <c r="AS57" i="31"/>
  <c r="AR57" i="31"/>
  <c r="AQ57" i="31"/>
  <c r="AP57" i="31"/>
  <c r="AO57" i="31"/>
  <c r="AN57" i="31"/>
  <c r="A57" i="31"/>
  <c r="A58" i="31" s="1"/>
  <c r="A59" i="31" s="1"/>
  <c r="A60" i="31" s="1"/>
  <c r="BJ51" i="31"/>
  <c r="BI51" i="31"/>
  <c r="BH51" i="31"/>
  <c r="BG51" i="31"/>
  <c r="BF51" i="31"/>
  <c r="BE51" i="31"/>
  <c r="BD51" i="31"/>
  <c r="BC51" i="31"/>
  <c r="BB51" i="31"/>
  <c r="BA51" i="31"/>
  <c r="AZ51" i="31"/>
  <c r="AY51" i="31"/>
  <c r="AX51" i="31"/>
  <c r="AW51" i="31"/>
  <c r="AV51" i="31"/>
  <c r="AU51" i="31"/>
  <c r="AT51" i="31"/>
  <c r="AS51" i="31"/>
  <c r="AR51" i="31"/>
  <c r="AQ51" i="31"/>
  <c r="AP51" i="31"/>
  <c r="AO51" i="31"/>
  <c r="AN51" i="31"/>
  <c r="A51" i="31"/>
  <c r="A52" i="31" s="1"/>
  <c r="A53" i="31" s="1"/>
  <c r="A54" i="31" s="1"/>
  <c r="BJ39" i="31"/>
  <c r="BI39" i="31"/>
  <c r="BH39" i="31"/>
  <c r="BG39" i="31"/>
  <c r="BF39" i="31"/>
  <c r="BE39" i="31"/>
  <c r="BD39" i="31"/>
  <c r="BC39" i="31"/>
  <c r="BB39" i="31"/>
  <c r="BA39" i="31"/>
  <c r="AZ39" i="31"/>
  <c r="AY39" i="31"/>
  <c r="AX39" i="31"/>
  <c r="AW39" i="31"/>
  <c r="AV39" i="31"/>
  <c r="AU39" i="31"/>
  <c r="AT39" i="31"/>
  <c r="AS39" i="31"/>
  <c r="AR39" i="31"/>
  <c r="AQ39" i="31"/>
  <c r="AP39" i="31"/>
  <c r="AO39" i="31"/>
  <c r="AN39" i="31"/>
  <c r="A39" i="31"/>
  <c r="A40" i="31" s="1"/>
  <c r="A41" i="31" s="1"/>
  <c r="A42" i="31" s="1"/>
  <c r="BJ33" i="31"/>
  <c r="BI33" i="31"/>
  <c r="BH33" i="31"/>
  <c r="BG33" i="31"/>
  <c r="BF33" i="31"/>
  <c r="BE33" i="31"/>
  <c r="BD33" i="31"/>
  <c r="BC33" i="31"/>
  <c r="BB33" i="31"/>
  <c r="BA33" i="31"/>
  <c r="AZ33" i="31"/>
  <c r="AY33" i="31"/>
  <c r="AX33" i="31"/>
  <c r="AW33" i="31"/>
  <c r="AV33" i="31"/>
  <c r="AU33" i="31"/>
  <c r="AT33" i="31"/>
  <c r="AS33" i="31"/>
  <c r="AR33" i="31"/>
  <c r="AQ33" i="31"/>
  <c r="AP33" i="31"/>
  <c r="AO33" i="31"/>
  <c r="AN33" i="31"/>
  <c r="A33" i="31"/>
  <c r="A34" i="31" s="1"/>
  <c r="A35" i="31" s="1"/>
  <c r="A36" i="31" s="1"/>
  <c r="A27" i="31"/>
  <c r="A28" i="31" s="1"/>
  <c r="A29" i="31" s="1"/>
  <c r="A30" i="31" s="1"/>
  <c r="A21" i="31"/>
  <c r="A22" i="31" s="1"/>
  <c r="A23" i="31" s="1"/>
  <c r="A24" i="31" s="1"/>
  <c r="BJ27" i="31"/>
  <c r="BI27" i="31"/>
  <c r="BH27" i="31"/>
  <c r="BG27" i="31"/>
  <c r="BF27" i="31"/>
  <c r="BE27" i="31"/>
  <c r="BD27" i="31"/>
  <c r="BC27" i="31"/>
  <c r="BB27" i="31"/>
  <c r="BA27" i="31"/>
  <c r="AZ27" i="31"/>
  <c r="AY27" i="31"/>
  <c r="AX27" i="31"/>
  <c r="AW27" i="31"/>
  <c r="AV27" i="31"/>
  <c r="AU27" i="31"/>
  <c r="AT27" i="31"/>
  <c r="AS27" i="31"/>
  <c r="AR27" i="31"/>
  <c r="AQ27" i="31"/>
  <c r="AP27" i="31"/>
  <c r="AO27" i="31"/>
  <c r="AN27" i="31"/>
  <c r="A15" i="31"/>
  <c r="A16" i="31" s="1"/>
  <c r="A17" i="31" s="1"/>
  <c r="A18" i="31" s="1"/>
  <c r="BJ69" i="31"/>
  <c r="BI69" i="31"/>
  <c r="BH69" i="31"/>
  <c r="BG69" i="31"/>
  <c r="BF69" i="31"/>
  <c r="BE69" i="31"/>
  <c r="BD69" i="31"/>
  <c r="BC69" i="31"/>
  <c r="BB69" i="31"/>
  <c r="BA69" i="31"/>
  <c r="AZ69" i="31"/>
  <c r="AY69" i="31"/>
  <c r="AX69" i="31"/>
  <c r="AW69" i="31"/>
  <c r="AV69" i="31"/>
  <c r="AU69" i="31"/>
  <c r="AT69" i="31"/>
  <c r="AS69" i="31"/>
  <c r="AR69" i="31"/>
  <c r="AQ69" i="31"/>
  <c r="AP69" i="31"/>
  <c r="AO69" i="31"/>
  <c r="AN69" i="31"/>
  <c r="BJ63" i="31"/>
  <c r="BI63" i="31"/>
  <c r="BH63" i="31"/>
  <c r="BG63" i="31"/>
  <c r="BF63" i="31"/>
  <c r="BE63" i="31"/>
  <c r="BD63" i="31"/>
  <c r="BC63" i="31"/>
  <c r="BB63" i="31"/>
  <c r="BA63" i="31"/>
  <c r="AZ63" i="31"/>
  <c r="AY63" i="31"/>
  <c r="AX63" i="31"/>
  <c r="AW63" i="31"/>
  <c r="AV63" i="31"/>
  <c r="AU63" i="31"/>
  <c r="AT63" i="31"/>
  <c r="AS63" i="31"/>
  <c r="AR63" i="31"/>
  <c r="AQ63" i="31"/>
  <c r="AP63" i="31"/>
  <c r="AO63" i="31"/>
  <c r="AN63" i="31"/>
  <c r="BJ21" i="31"/>
  <c r="BI21" i="31"/>
  <c r="BH21" i="31"/>
  <c r="BG21" i="31"/>
  <c r="BF21" i="31"/>
  <c r="BE21" i="31"/>
  <c r="BD21" i="31"/>
  <c r="BC21" i="31"/>
  <c r="BB21" i="31"/>
  <c r="BA21" i="31"/>
  <c r="AZ21" i="31"/>
  <c r="AY21" i="31"/>
  <c r="AX21" i="31"/>
  <c r="AW21" i="31"/>
  <c r="AV21" i="31"/>
  <c r="AU21" i="31"/>
  <c r="AT21" i="31"/>
  <c r="AS21" i="31"/>
  <c r="AR21" i="31"/>
  <c r="AQ21" i="31"/>
  <c r="AP21" i="31"/>
  <c r="AO21" i="31"/>
  <c r="AN21" i="31"/>
  <c r="BJ15" i="31"/>
  <c r="BI15" i="31"/>
  <c r="BH15" i="31"/>
  <c r="BG15" i="31"/>
  <c r="BF15" i="31"/>
  <c r="BE15" i="31"/>
  <c r="BD15" i="31"/>
  <c r="BC15" i="31"/>
  <c r="BB15" i="31"/>
  <c r="BA15" i="31"/>
  <c r="AZ15" i="31"/>
  <c r="AY15" i="31"/>
  <c r="AX15" i="31"/>
  <c r="AW15" i="31"/>
  <c r="AV15" i="31"/>
  <c r="AU15" i="31"/>
  <c r="AT15" i="31"/>
  <c r="AS15" i="31"/>
  <c r="AR15" i="31"/>
  <c r="AQ15" i="31"/>
  <c r="AP15" i="31"/>
  <c r="AO15" i="31"/>
  <c r="AN15" i="31"/>
  <c r="A12" i="31"/>
  <c r="A11" i="31"/>
  <c r="A10" i="31"/>
  <c r="BJ9" i="31"/>
  <c r="BI9" i="31"/>
  <c r="BH9" i="31"/>
  <c r="BG9" i="31"/>
  <c r="BF9" i="31"/>
  <c r="BE9" i="31"/>
  <c r="BD9" i="31"/>
  <c r="BC9" i="31"/>
  <c r="BB9" i="31"/>
  <c r="BA9" i="31"/>
  <c r="AZ9" i="31"/>
  <c r="AY9" i="31"/>
  <c r="AX9" i="31"/>
  <c r="AW9" i="31"/>
  <c r="AV9" i="31"/>
  <c r="AU9" i="31"/>
  <c r="AT9" i="31"/>
  <c r="AS9" i="31"/>
  <c r="AR9" i="31"/>
  <c r="AQ9" i="31"/>
  <c r="AP9" i="31"/>
  <c r="AO9" i="31"/>
  <c r="AN9" i="31"/>
  <c r="A9" i="31"/>
  <c r="A6" i="31"/>
  <c r="A5" i="31"/>
  <c r="A4" i="31"/>
  <c r="BJ3" i="31"/>
  <c r="BI3" i="31"/>
  <c r="BH3" i="31"/>
  <c r="BG3" i="31"/>
  <c r="BF3" i="31"/>
  <c r="BE3" i="31"/>
  <c r="BD3" i="31"/>
  <c r="BC3" i="31"/>
  <c r="BB3" i="31"/>
  <c r="BA3" i="31"/>
  <c r="AZ3" i="31"/>
  <c r="AY3" i="31"/>
  <c r="AX3" i="31"/>
  <c r="AW3" i="31"/>
  <c r="AV3" i="31"/>
  <c r="AU3" i="31"/>
  <c r="AT3" i="31"/>
  <c r="AS3" i="31"/>
  <c r="AR3" i="31"/>
  <c r="AQ3" i="31"/>
  <c r="AP3" i="31"/>
  <c r="AO3" i="31"/>
  <c r="AN3" i="31"/>
  <c r="A3" i="31"/>
  <c r="BO48" i="31" l="1"/>
  <c r="BM46" i="31"/>
  <c r="BN46" i="31"/>
  <c r="BN48" i="31"/>
  <c r="BO46" i="31"/>
  <c r="BM47" i="31"/>
  <c r="BO47" i="31"/>
  <c r="BN47" i="31"/>
  <c r="BM48" i="31"/>
  <c r="BM39" i="31"/>
  <c r="I14" i="27" s="1"/>
  <c r="I11" i="34" s="1"/>
  <c r="BN39" i="31"/>
  <c r="J14" i="27" s="1"/>
  <c r="J11" i="34" s="1"/>
  <c r="BO39" i="31"/>
  <c r="K14" i="27" s="1"/>
  <c r="K11" i="34" s="1"/>
  <c r="F21" i="31" l="1"/>
  <c r="D21" i="31"/>
  <c r="E21" i="31"/>
  <c r="C21" i="31"/>
  <c r="F45" i="31" l="1"/>
  <c r="F39" i="31"/>
  <c r="G21" i="31"/>
  <c r="X45" i="31" l="1"/>
  <c r="AE45" i="31"/>
  <c r="M45" i="31"/>
  <c r="Z45" i="31"/>
  <c r="O45" i="31"/>
  <c r="D45" i="31"/>
  <c r="E45" i="31"/>
  <c r="U39" i="31"/>
  <c r="Z39" i="31"/>
  <c r="M39" i="31"/>
  <c r="AE39" i="31"/>
  <c r="J39" i="31"/>
  <c r="AG39" i="31"/>
  <c r="O39" i="31"/>
  <c r="W39" i="31"/>
  <c r="X39" i="31"/>
  <c r="Q39" i="31"/>
  <c r="I39" i="31"/>
  <c r="AD39" i="31"/>
  <c r="N39" i="31"/>
  <c r="C45" i="31"/>
  <c r="H21" i="31"/>
  <c r="I21" i="31"/>
  <c r="W45" i="31" l="1"/>
  <c r="U45" i="31"/>
  <c r="AD45" i="31"/>
  <c r="AG45" i="31"/>
  <c r="I45" i="31"/>
  <c r="Q45" i="31"/>
  <c r="N45" i="31"/>
  <c r="J45" i="31"/>
  <c r="D39" i="31"/>
  <c r="E39" i="31"/>
  <c r="C39" i="31"/>
  <c r="H45" i="31"/>
  <c r="G45" i="31"/>
  <c r="V45" i="31"/>
  <c r="AF45" i="31"/>
  <c r="AA45" i="31"/>
  <c r="AM45" i="31"/>
  <c r="AK45" i="31"/>
  <c r="AH45" i="31"/>
  <c r="S45" i="31"/>
  <c r="R45" i="31"/>
  <c r="K39" i="31"/>
  <c r="AC45" i="31"/>
  <c r="Y45" i="31"/>
  <c r="K45" i="31" l="1"/>
  <c r="BM45" i="31"/>
  <c r="I13" i="27" s="1"/>
  <c r="I10" i="34" s="1"/>
  <c r="BO45" i="31"/>
  <c r="K13" i="27" s="1"/>
  <c r="K10" i="34" s="1"/>
  <c r="BN45" i="31"/>
  <c r="J13" i="27" s="1"/>
  <c r="J10" i="34" s="1"/>
  <c r="V39" i="31"/>
  <c r="R39" i="31"/>
  <c r="AM39" i="31"/>
  <c r="G39" i="31"/>
  <c r="S39" i="31"/>
  <c r="AA39" i="31"/>
  <c r="H39" i="31"/>
  <c r="AK39" i="31"/>
  <c r="Y39" i="31"/>
  <c r="AC39" i="31"/>
  <c r="AH39" i="31"/>
  <c r="AF39" i="31"/>
  <c r="L45" i="31"/>
  <c r="AB45" i="31"/>
  <c r="AL45" i="31"/>
  <c r="AJ45" i="31"/>
  <c r="T45" i="31"/>
  <c r="AI45" i="31"/>
  <c r="P45" i="31"/>
  <c r="AL39" i="31" l="1"/>
  <c r="AI39" i="31"/>
  <c r="AB39" i="31"/>
  <c r="P39" i="31"/>
  <c r="T39" i="31"/>
  <c r="L39" i="31"/>
  <c r="AJ39" i="31"/>
  <c r="N15" i="27" l="1"/>
  <c r="N16" i="27" s="1"/>
  <c r="N10" i="27"/>
  <c r="N11" i="27" s="1"/>
  <c r="M6" i="27"/>
  <c r="Q10" i="27"/>
  <c r="Q11" i="27" s="1"/>
  <c r="Q17" i="27"/>
  <c r="P6" i="27"/>
  <c r="O6" i="27"/>
  <c r="N6" i="27"/>
  <c r="P10" i="27"/>
  <c r="P11" i="27" s="1"/>
  <c r="M16" i="27"/>
  <c r="O10" i="27"/>
  <c r="O11" i="27" s="1"/>
  <c r="O17" i="27"/>
  <c r="N17" i="27"/>
  <c r="O15" i="27" l="1"/>
  <c r="P15" i="27" s="1"/>
  <c r="Q15" i="27" s="1"/>
  <c r="Q16" i="27" s="1"/>
  <c r="M10" i="27"/>
  <c r="M11" i="27" s="1"/>
  <c r="Q6" i="27"/>
  <c r="P17" i="27"/>
  <c r="M17" i="27"/>
  <c r="P16" i="27" l="1"/>
  <c r="O16" i="27"/>
  <c r="C36" i="25"/>
  <c r="C35" i="25"/>
  <c r="C34" i="25"/>
  <c r="C33" i="25"/>
  <c r="C69" i="31" s="1"/>
  <c r="C30" i="25"/>
  <c r="C66" i="31" s="1"/>
  <c r="C29" i="25"/>
  <c r="C65" i="31" s="1"/>
  <c r="C28" i="25"/>
  <c r="C64" i="31" s="1"/>
  <c r="C27" i="25"/>
  <c r="C63" i="31" s="1"/>
  <c r="BJ33" i="25"/>
  <c r="BI33" i="25"/>
  <c r="BH33" i="25"/>
  <c r="BG33" i="25"/>
  <c r="BF33" i="25"/>
  <c r="BE33" i="25"/>
  <c r="BD33" i="25"/>
  <c r="BC33" i="25"/>
  <c r="BB33" i="25"/>
  <c r="BA33" i="25"/>
  <c r="AZ33" i="25"/>
  <c r="AY33" i="25"/>
  <c r="AX33" i="25"/>
  <c r="AW33" i="25"/>
  <c r="AV33" i="25"/>
  <c r="AU33" i="25"/>
  <c r="AT33" i="25"/>
  <c r="AS33" i="25"/>
  <c r="AR33" i="25"/>
  <c r="AQ33" i="25"/>
  <c r="AP33" i="25"/>
  <c r="AO33" i="25"/>
  <c r="AN33" i="25"/>
  <c r="BJ27" i="25"/>
  <c r="BI27" i="25"/>
  <c r="BH27" i="25"/>
  <c r="BG27" i="25"/>
  <c r="BF27" i="25"/>
  <c r="BE27" i="25"/>
  <c r="BD27" i="25"/>
  <c r="BC27" i="25"/>
  <c r="BB27" i="25"/>
  <c r="BA27" i="25"/>
  <c r="AZ27" i="25"/>
  <c r="AY27" i="25"/>
  <c r="AX27" i="25"/>
  <c r="AW27" i="25"/>
  <c r="AV27" i="25"/>
  <c r="AU27" i="25"/>
  <c r="AT27" i="25"/>
  <c r="AS27" i="25"/>
  <c r="AR27" i="25"/>
  <c r="AQ27" i="25"/>
  <c r="AP27" i="25"/>
  <c r="AO27" i="25"/>
  <c r="AN27" i="25"/>
  <c r="BJ21" i="25"/>
  <c r="BI21" i="25"/>
  <c r="BH21" i="25"/>
  <c r="BG21" i="25"/>
  <c r="BF21" i="25"/>
  <c r="BE21" i="25"/>
  <c r="BD21" i="25"/>
  <c r="BC21" i="25"/>
  <c r="BB21" i="25"/>
  <c r="BA21" i="25"/>
  <c r="AZ21" i="25"/>
  <c r="AY21" i="25"/>
  <c r="AX21" i="25"/>
  <c r="AW21" i="25"/>
  <c r="AV21" i="25"/>
  <c r="AU21" i="25"/>
  <c r="AT21" i="25"/>
  <c r="AS21" i="25"/>
  <c r="AR21" i="25"/>
  <c r="AQ21" i="25"/>
  <c r="AP21" i="25"/>
  <c r="AO21" i="25"/>
  <c r="AN21" i="25"/>
  <c r="BJ15" i="25"/>
  <c r="BI15" i="25"/>
  <c r="BH15" i="25"/>
  <c r="BG15" i="25"/>
  <c r="BF15" i="25"/>
  <c r="BE15" i="25"/>
  <c r="BD15" i="25"/>
  <c r="BC15" i="25"/>
  <c r="BB15" i="25"/>
  <c r="BA15" i="25"/>
  <c r="AZ15" i="25"/>
  <c r="AY15" i="25"/>
  <c r="AX15" i="25"/>
  <c r="AW15" i="25"/>
  <c r="AV15" i="25"/>
  <c r="AU15" i="25"/>
  <c r="AT15" i="25"/>
  <c r="AS15" i="25"/>
  <c r="AR15" i="25"/>
  <c r="AQ15" i="25"/>
  <c r="AP15" i="25"/>
  <c r="AO15" i="25"/>
  <c r="AN15" i="25"/>
  <c r="C114" i="25"/>
  <c r="C113" i="25"/>
  <c r="C112" i="25"/>
  <c r="C107" i="25"/>
  <c r="C106" i="25"/>
  <c r="C102" i="25"/>
  <c r="C101" i="25"/>
  <c r="C100" i="25"/>
  <c r="C96" i="25"/>
  <c r="C18" i="25" s="1"/>
  <c r="C54" i="31" s="1"/>
  <c r="C95" i="25"/>
  <c r="C94" i="25"/>
  <c r="C16" i="25" l="1"/>
  <c r="C52" i="31"/>
  <c r="C17" i="25"/>
  <c r="C71" i="31"/>
  <c r="E35" i="4"/>
  <c r="E34" i="4"/>
  <c r="C70" i="31"/>
  <c r="E36" i="4"/>
  <c r="C72" i="31"/>
  <c r="C15" i="25"/>
  <c r="C53" i="31" l="1"/>
  <c r="C51" i="31" s="1"/>
  <c r="E17" i="23" l="1"/>
  <c r="D17" i="23"/>
  <c r="C17" i="23"/>
  <c r="E16" i="23"/>
  <c r="D16" i="23"/>
  <c r="C16" i="23"/>
  <c r="C15" i="23"/>
  <c r="AM120" i="25" l="1"/>
  <c r="AL120" i="25"/>
  <c r="AK120" i="25"/>
  <c r="AJ120" i="25"/>
  <c r="AI120" i="25"/>
  <c r="AH120" i="25"/>
  <c r="AG120" i="25"/>
  <c r="AF120" i="25"/>
  <c r="AE120" i="25"/>
  <c r="AD120" i="25"/>
  <c r="AC120" i="25"/>
  <c r="AB120" i="25"/>
  <c r="AA120" i="25"/>
  <c r="Z120" i="25"/>
  <c r="Y120" i="25"/>
  <c r="X120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C24" i="25" s="1"/>
  <c r="AM119" i="25"/>
  <c r="AL119" i="25"/>
  <c r="AK119" i="25"/>
  <c r="AJ119" i="25"/>
  <c r="AI119" i="25"/>
  <c r="AH119" i="25"/>
  <c r="AG119" i="25"/>
  <c r="AF119" i="25"/>
  <c r="AE119" i="25"/>
  <c r="AD119" i="25"/>
  <c r="AC119" i="25"/>
  <c r="AB119" i="25"/>
  <c r="AA119" i="25"/>
  <c r="Z119" i="25"/>
  <c r="Y119" i="25"/>
  <c r="X119" i="25"/>
  <c r="W119" i="25"/>
  <c r="V119" i="25"/>
  <c r="U119" i="25"/>
  <c r="T119" i="25"/>
  <c r="S119" i="25"/>
  <c r="R119" i="25"/>
  <c r="Q119" i="25"/>
  <c r="P119" i="25"/>
  <c r="N119" i="25"/>
  <c r="M119" i="25"/>
  <c r="L119" i="25"/>
  <c r="K119" i="25"/>
  <c r="J119" i="25"/>
  <c r="I119" i="25"/>
  <c r="H119" i="25"/>
  <c r="G119" i="25"/>
  <c r="F119" i="25"/>
  <c r="E119" i="25"/>
  <c r="D119" i="25"/>
  <c r="C119" i="25"/>
  <c r="C23" i="25" s="1"/>
  <c r="C59" i="31" s="1"/>
  <c r="AM118" i="25"/>
  <c r="AL118" i="25"/>
  <c r="AK118" i="25"/>
  <c r="AJ118" i="25"/>
  <c r="AI118" i="25"/>
  <c r="AH118" i="25"/>
  <c r="AG118" i="25"/>
  <c r="AF118" i="25"/>
  <c r="AE118" i="25"/>
  <c r="AD118" i="25"/>
  <c r="AC118" i="25"/>
  <c r="AB118" i="25"/>
  <c r="AA118" i="25"/>
  <c r="Z118" i="25"/>
  <c r="Y118" i="25"/>
  <c r="X118" i="25"/>
  <c r="W118" i="25"/>
  <c r="V118" i="25"/>
  <c r="U118" i="25"/>
  <c r="T118" i="25"/>
  <c r="S118" i="25"/>
  <c r="R118" i="25"/>
  <c r="Q118" i="25"/>
  <c r="P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C22" i="25" s="1"/>
  <c r="C58" i="31" s="1"/>
  <c r="C105" i="25"/>
  <c r="AM87" i="25"/>
  <c r="AL87" i="25"/>
  <c r="AK87" i="25"/>
  <c r="AJ87" i="25"/>
  <c r="AI87" i="25"/>
  <c r="AH87" i="25"/>
  <c r="AG87" i="25"/>
  <c r="AF87" i="25"/>
  <c r="AE87" i="25"/>
  <c r="AD87" i="25"/>
  <c r="AC87" i="25"/>
  <c r="AB87" i="25"/>
  <c r="AA87" i="25"/>
  <c r="Z87" i="25"/>
  <c r="Y87" i="25"/>
  <c r="X87" i="25"/>
  <c r="W87" i="25"/>
  <c r="V87" i="25"/>
  <c r="U87" i="25"/>
  <c r="T87" i="25"/>
  <c r="S87" i="25"/>
  <c r="R87" i="25"/>
  <c r="Q87" i="25"/>
  <c r="P87" i="25"/>
  <c r="O87" i="25"/>
  <c r="N87" i="25"/>
  <c r="M87" i="25"/>
  <c r="L87" i="25"/>
  <c r="K87" i="25"/>
  <c r="J87" i="25"/>
  <c r="I87" i="25"/>
  <c r="H87" i="25"/>
  <c r="G87" i="25"/>
  <c r="F87" i="25"/>
  <c r="E87" i="25"/>
  <c r="D87" i="25"/>
  <c r="C87" i="25"/>
  <c r="AM81" i="25"/>
  <c r="AL81" i="25"/>
  <c r="AK81" i="25"/>
  <c r="AJ81" i="25"/>
  <c r="AI81" i="25"/>
  <c r="AH81" i="25"/>
  <c r="AG81" i="25"/>
  <c r="AF81" i="25"/>
  <c r="AE81" i="25"/>
  <c r="AD81" i="25"/>
  <c r="AC81" i="25"/>
  <c r="AB81" i="25"/>
  <c r="AA81" i="25"/>
  <c r="Z81" i="25"/>
  <c r="Y81" i="25"/>
  <c r="X81" i="25"/>
  <c r="W81" i="25"/>
  <c r="V81" i="25"/>
  <c r="U81" i="25"/>
  <c r="T81" i="25"/>
  <c r="S81" i="25"/>
  <c r="R81" i="25"/>
  <c r="Q81" i="25"/>
  <c r="P81" i="25"/>
  <c r="O81" i="25"/>
  <c r="N81" i="25"/>
  <c r="M81" i="25"/>
  <c r="L81" i="25"/>
  <c r="K81" i="25"/>
  <c r="J81" i="25"/>
  <c r="I81" i="25"/>
  <c r="H81" i="25"/>
  <c r="G81" i="25"/>
  <c r="F81" i="25"/>
  <c r="E81" i="25"/>
  <c r="D81" i="25"/>
  <c r="C81" i="25"/>
  <c r="AM75" i="25"/>
  <c r="AL75" i="25"/>
  <c r="AK75" i="25"/>
  <c r="AJ75" i="25"/>
  <c r="AI75" i="25"/>
  <c r="AH75" i="25"/>
  <c r="AG75" i="25"/>
  <c r="AF75" i="25"/>
  <c r="AE75" i="25"/>
  <c r="AD75" i="25"/>
  <c r="AC75" i="25"/>
  <c r="AB75" i="25"/>
  <c r="AA75" i="25"/>
  <c r="Z75" i="25"/>
  <c r="Y75" i="25"/>
  <c r="X75" i="25"/>
  <c r="W75" i="25"/>
  <c r="V75" i="25"/>
  <c r="U75" i="25"/>
  <c r="T75" i="25"/>
  <c r="S75" i="25"/>
  <c r="R75" i="25"/>
  <c r="Q75" i="25"/>
  <c r="P75" i="25"/>
  <c r="O75" i="25"/>
  <c r="N75" i="25"/>
  <c r="M75" i="25"/>
  <c r="L75" i="25"/>
  <c r="K75" i="25"/>
  <c r="J75" i="25"/>
  <c r="I75" i="25"/>
  <c r="H75" i="25"/>
  <c r="G75" i="25"/>
  <c r="F75" i="25"/>
  <c r="E75" i="25"/>
  <c r="D75" i="25"/>
  <c r="C75" i="25"/>
  <c r="AM69" i="25"/>
  <c r="AL69" i="25"/>
  <c r="AK69" i="25"/>
  <c r="AJ69" i="25"/>
  <c r="AI69" i="25"/>
  <c r="AH69" i="25"/>
  <c r="AG69" i="25"/>
  <c r="AF69" i="25"/>
  <c r="AE69" i="25"/>
  <c r="AD69" i="25"/>
  <c r="AC69" i="25"/>
  <c r="AB69" i="25"/>
  <c r="AA69" i="25"/>
  <c r="Z69" i="25"/>
  <c r="Y69" i="25"/>
  <c r="X69" i="25"/>
  <c r="W69" i="25"/>
  <c r="V69" i="25"/>
  <c r="U69" i="25"/>
  <c r="T69" i="25"/>
  <c r="S69" i="25"/>
  <c r="R69" i="25"/>
  <c r="Q69" i="25"/>
  <c r="P69" i="25"/>
  <c r="O69" i="25"/>
  <c r="N69" i="25"/>
  <c r="M69" i="25"/>
  <c r="L69" i="25"/>
  <c r="K69" i="25"/>
  <c r="J69" i="25"/>
  <c r="I69" i="25"/>
  <c r="H69" i="25"/>
  <c r="G69" i="25"/>
  <c r="F69" i="25"/>
  <c r="E69" i="25"/>
  <c r="D69" i="25"/>
  <c r="C69" i="25"/>
  <c r="AM63" i="25"/>
  <c r="AL63" i="25"/>
  <c r="AK63" i="25"/>
  <c r="AJ63" i="25"/>
  <c r="AI63" i="25"/>
  <c r="AH63" i="25"/>
  <c r="AG63" i="25"/>
  <c r="AF63" i="25"/>
  <c r="AE63" i="25"/>
  <c r="AD63" i="25"/>
  <c r="AC63" i="25"/>
  <c r="AB63" i="25"/>
  <c r="AA63" i="25"/>
  <c r="Z63" i="25"/>
  <c r="Y63" i="25"/>
  <c r="X63" i="25"/>
  <c r="W63" i="25"/>
  <c r="V63" i="25"/>
  <c r="U63" i="25"/>
  <c r="T63" i="25"/>
  <c r="S63" i="25"/>
  <c r="R63" i="25"/>
  <c r="Q63" i="25"/>
  <c r="P63" i="25"/>
  <c r="O63" i="25"/>
  <c r="N63" i="25"/>
  <c r="M63" i="25"/>
  <c r="L63" i="25"/>
  <c r="K63" i="25"/>
  <c r="J63" i="25"/>
  <c r="I63" i="25"/>
  <c r="H63" i="25"/>
  <c r="G63" i="25"/>
  <c r="F63" i="25"/>
  <c r="E63" i="25"/>
  <c r="D63" i="25"/>
  <c r="C63" i="25"/>
  <c r="C21" i="25" l="1"/>
  <c r="E31" i="4"/>
  <c r="C60" i="31"/>
  <c r="E33" i="4"/>
  <c r="E32" i="4"/>
  <c r="N117" i="25"/>
  <c r="V117" i="25"/>
  <c r="AD117" i="25"/>
  <c r="J117" i="25"/>
  <c r="R117" i="25"/>
  <c r="Z117" i="25"/>
  <c r="AH117" i="25"/>
  <c r="F117" i="25"/>
  <c r="AG117" i="25"/>
  <c r="K117" i="25"/>
  <c r="S117" i="25"/>
  <c r="AA117" i="25"/>
  <c r="AI117" i="25"/>
  <c r="Q117" i="25"/>
  <c r="Y117" i="25"/>
  <c r="G117" i="25"/>
  <c r="O117" i="25"/>
  <c r="W117" i="25"/>
  <c r="AE117" i="25"/>
  <c r="AM117" i="25"/>
  <c r="I117" i="25"/>
  <c r="D117" i="25"/>
  <c r="L117" i="25"/>
  <c r="T117" i="25"/>
  <c r="AB117" i="25"/>
  <c r="AJ117" i="25"/>
  <c r="H117" i="25"/>
  <c r="P117" i="25"/>
  <c r="X117" i="25"/>
  <c r="AF117" i="25"/>
  <c r="E117" i="25"/>
  <c r="M117" i="25"/>
  <c r="U117" i="25"/>
  <c r="AC117" i="25"/>
  <c r="AK117" i="25"/>
  <c r="AL117" i="25"/>
  <c r="C117" i="25"/>
  <c r="C57" i="31" l="1"/>
  <c r="AM25" i="29"/>
  <c r="AL25" i="29"/>
  <c r="AK25" i="29"/>
  <c r="AJ25" i="29"/>
  <c r="AI25" i="29"/>
  <c r="AH25" i="29"/>
  <c r="AG25" i="29"/>
  <c r="AF25" i="29"/>
  <c r="AE25" i="29"/>
  <c r="AD25" i="29"/>
  <c r="AC25" i="29"/>
  <c r="AB25" i="29"/>
  <c r="AA25" i="29"/>
  <c r="Z25" i="29"/>
  <c r="Y25" i="29"/>
  <c r="X25" i="29"/>
  <c r="W25" i="29"/>
  <c r="V25" i="29"/>
  <c r="U25" i="29"/>
  <c r="T25" i="29"/>
  <c r="S25" i="29"/>
  <c r="R25" i="29"/>
  <c r="Q25" i="29"/>
  <c r="P25" i="29"/>
  <c r="O25" i="29"/>
  <c r="N25" i="29"/>
  <c r="M25" i="29"/>
  <c r="L25" i="29"/>
  <c r="K25" i="29"/>
  <c r="J25" i="29"/>
  <c r="I25" i="29"/>
  <c r="H25" i="29"/>
  <c r="G25" i="29"/>
  <c r="F25" i="29"/>
  <c r="E25" i="29"/>
  <c r="D25" i="29"/>
  <c r="C25" i="29"/>
  <c r="AM24" i="29"/>
  <c r="AL24" i="29"/>
  <c r="AK24" i="29"/>
  <c r="AJ24" i="29"/>
  <c r="AI24" i="29"/>
  <c r="AH24" i="29"/>
  <c r="AG24" i="29"/>
  <c r="AF24" i="29"/>
  <c r="AE24" i="29"/>
  <c r="AD24" i="29"/>
  <c r="AC24" i="29"/>
  <c r="AB24" i="29"/>
  <c r="AA24" i="29"/>
  <c r="Z24" i="29"/>
  <c r="Y24" i="29"/>
  <c r="X24" i="29"/>
  <c r="W24" i="29"/>
  <c r="V24" i="29"/>
  <c r="U24" i="29"/>
  <c r="T24" i="29"/>
  <c r="S24" i="29"/>
  <c r="R24" i="29"/>
  <c r="Q24" i="29"/>
  <c r="P24" i="29"/>
  <c r="O24" i="29"/>
  <c r="N24" i="29"/>
  <c r="M24" i="29"/>
  <c r="L24" i="29"/>
  <c r="K24" i="29"/>
  <c r="J24" i="29"/>
  <c r="I24" i="29"/>
  <c r="H24" i="29"/>
  <c r="G24" i="29"/>
  <c r="F24" i="29"/>
  <c r="E24" i="29"/>
  <c r="D24" i="29"/>
  <c r="C24" i="29"/>
  <c r="AM23" i="29"/>
  <c r="AL23" i="29"/>
  <c r="AK23" i="29"/>
  <c r="AJ23" i="29"/>
  <c r="AI23" i="29"/>
  <c r="AH23" i="29"/>
  <c r="AG23" i="29"/>
  <c r="AF23" i="29"/>
  <c r="AE23" i="29"/>
  <c r="AD23" i="29"/>
  <c r="AC23" i="29"/>
  <c r="AB23" i="29"/>
  <c r="AB22" i="29" s="1"/>
  <c r="AA23" i="29"/>
  <c r="Z23" i="29"/>
  <c r="Y23" i="29"/>
  <c r="X23" i="29"/>
  <c r="W23" i="29"/>
  <c r="V23" i="29"/>
  <c r="V22" i="29" s="1"/>
  <c r="U23" i="29"/>
  <c r="T23" i="29"/>
  <c r="T22" i="29" s="1"/>
  <c r="S23" i="29"/>
  <c r="R23" i="29"/>
  <c r="Q23" i="29"/>
  <c r="P23" i="29"/>
  <c r="O23" i="29"/>
  <c r="N23" i="29"/>
  <c r="N22" i="29" s="1"/>
  <c r="M23" i="29"/>
  <c r="L23" i="29"/>
  <c r="L22" i="29" s="1"/>
  <c r="K23" i="29"/>
  <c r="J23" i="29"/>
  <c r="I23" i="29"/>
  <c r="H23" i="29"/>
  <c r="G23" i="29"/>
  <c r="F23" i="29"/>
  <c r="F22" i="29" s="1"/>
  <c r="E23" i="29"/>
  <c r="D23" i="29"/>
  <c r="D22" i="29" s="1"/>
  <c r="C23" i="29"/>
  <c r="AL22" i="29"/>
  <c r="AE22" i="29" l="1"/>
  <c r="AM22" i="29"/>
  <c r="E22" i="29"/>
  <c r="AC22" i="29"/>
  <c r="AD22" i="29"/>
  <c r="R22" i="29"/>
  <c r="AH22" i="29"/>
  <c r="M22" i="29"/>
  <c r="U22" i="29"/>
  <c r="AK22" i="29"/>
  <c r="J22" i="29"/>
  <c r="Z22" i="29"/>
  <c r="AJ22" i="29"/>
  <c r="H22" i="29"/>
  <c r="P22" i="29"/>
  <c r="X22" i="29"/>
  <c r="AF22" i="29"/>
  <c r="C22" i="29"/>
  <c r="K22" i="29"/>
  <c r="S22" i="29"/>
  <c r="AA22" i="29"/>
  <c r="AI22" i="29"/>
  <c r="I22" i="29"/>
  <c r="Q22" i="29"/>
  <c r="Y22" i="29"/>
  <c r="AG22" i="29"/>
  <c r="G22" i="29"/>
  <c r="O22" i="29"/>
  <c r="W22" i="29"/>
  <c r="G21" i="27"/>
  <c r="F21" i="27"/>
  <c r="E21" i="27"/>
  <c r="G20" i="27"/>
  <c r="F20" i="27"/>
  <c r="E20" i="27"/>
  <c r="BJ51" i="25"/>
  <c r="BI51" i="25"/>
  <c r="BH51" i="25"/>
  <c r="BG51" i="25"/>
  <c r="BF51" i="25"/>
  <c r="BE51" i="25"/>
  <c r="BD51" i="25"/>
  <c r="BC51" i="25"/>
  <c r="BB51" i="25"/>
  <c r="BA51" i="25"/>
  <c r="AZ51" i="25"/>
  <c r="AY51" i="25"/>
  <c r="AX51" i="25"/>
  <c r="AW51" i="25"/>
  <c r="AV51" i="25"/>
  <c r="AU51" i="25"/>
  <c r="AT51" i="25"/>
  <c r="AS51" i="25"/>
  <c r="AR51" i="25"/>
  <c r="AQ51" i="25"/>
  <c r="AP51" i="25"/>
  <c r="AO51" i="25"/>
  <c r="AN51" i="25"/>
  <c r="AL39" i="25"/>
  <c r="AG39" i="25"/>
  <c r="AF39" i="25"/>
  <c r="AD39" i="25"/>
  <c r="Y39" i="25"/>
  <c r="X39" i="25"/>
  <c r="V39" i="25"/>
  <c r="Q39" i="25"/>
  <c r="P39" i="25"/>
  <c r="N39" i="25"/>
  <c r="I39" i="25"/>
  <c r="H39" i="25"/>
  <c r="F39" i="25"/>
  <c r="AM45" i="25"/>
  <c r="G19" i="27" s="1"/>
  <c r="AL45" i="25"/>
  <c r="AK45" i="25"/>
  <c r="AJ45" i="25"/>
  <c r="AI45" i="25"/>
  <c r="AH45" i="25"/>
  <c r="AG45" i="25"/>
  <c r="AF45" i="25"/>
  <c r="AE45" i="25"/>
  <c r="AD45" i="25"/>
  <c r="AC45" i="25"/>
  <c r="AB45" i="25"/>
  <c r="AA45" i="25"/>
  <c r="F19" i="27" s="1"/>
  <c r="Z45" i="25"/>
  <c r="Y45" i="25"/>
  <c r="X45" i="25"/>
  <c r="W45" i="25"/>
  <c r="V45" i="25"/>
  <c r="U45" i="25"/>
  <c r="T45" i="25"/>
  <c r="S45" i="25"/>
  <c r="R45" i="25"/>
  <c r="Q45" i="25"/>
  <c r="P45" i="25"/>
  <c r="O45" i="25"/>
  <c r="E19" i="27" s="1"/>
  <c r="N45" i="25"/>
  <c r="M45" i="25"/>
  <c r="L45" i="25"/>
  <c r="K45" i="25"/>
  <c r="J45" i="25"/>
  <c r="I45" i="25"/>
  <c r="H45" i="25"/>
  <c r="G45" i="25"/>
  <c r="F45" i="25"/>
  <c r="E45" i="25"/>
  <c r="D45" i="25"/>
  <c r="C45" i="25"/>
  <c r="BJ39" i="25"/>
  <c r="BI39" i="25"/>
  <c r="BH39" i="25"/>
  <c r="BG39" i="25"/>
  <c r="BF39" i="25"/>
  <c r="BE39" i="25"/>
  <c r="BD39" i="25"/>
  <c r="BC39" i="25"/>
  <c r="BB39" i="25"/>
  <c r="BA39" i="25"/>
  <c r="AZ39" i="25"/>
  <c r="AY39" i="25"/>
  <c r="AX39" i="25"/>
  <c r="AW39" i="25"/>
  <c r="AV39" i="25"/>
  <c r="AU39" i="25"/>
  <c r="AT39" i="25"/>
  <c r="AS39" i="25"/>
  <c r="AR39" i="25"/>
  <c r="AQ39" i="25"/>
  <c r="AP39" i="25"/>
  <c r="AO39" i="25"/>
  <c r="AN39" i="25"/>
  <c r="AM39" i="25"/>
  <c r="G18" i="27" s="1"/>
  <c r="AK39" i="25"/>
  <c r="AJ39" i="25"/>
  <c r="AI39" i="25"/>
  <c r="AH39" i="25"/>
  <c r="AE39" i="25"/>
  <c r="AC39" i="25"/>
  <c r="AB39" i="25"/>
  <c r="AA39" i="25"/>
  <c r="F18" i="27" s="1"/>
  <c r="Z39" i="25"/>
  <c r="W39" i="25"/>
  <c r="U39" i="25"/>
  <c r="T39" i="25"/>
  <c r="S39" i="25"/>
  <c r="R39" i="25"/>
  <c r="O39" i="25"/>
  <c r="E18" i="27" s="1"/>
  <c r="M39" i="25"/>
  <c r="L39" i="25"/>
  <c r="K39" i="25"/>
  <c r="J39" i="25"/>
  <c r="G39" i="25"/>
  <c r="E39" i="25"/>
  <c r="D39" i="25"/>
  <c r="C39" i="25"/>
  <c r="BJ13" i="29"/>
  <c r="BI13" i="29"/>
  <c r="BH13" i="29"/>
  <c r="BG13" i="29"/>
  <c r="BG7" i="29" s="1"/>
  <c r="BF13" i="29"/>
  <c r="BF7" i="29" s="1"/>
  <c r="BE13" i="29"/>
  <c r="BD13" i="29"/>
  <c r="BD7" i="29" s="1"/>
  <c r="BC13" i="29"/>
  <c r="BC7" i="29" s="1"/>
  <c r="BB13" i="29"/>
  <c r="BB7" i="29" s="1"/>
  <c r="BA13" i="29"/>
  <c r="AZ13" i="29"/>
  <c r="AY13" i="29"/>
  <c r="AY7" i="29" s="1"/>
  <c r="AX13" i="29"/>
  <c r="AX7" i="29" s="1"/>
  <c r="AW13" i="29"/>
  <c r="AV13" i="29"/>
  <c r="AV7" i="29" s="1"/>
  <c r="AU13" i="29"/>
  <c r="AU7" i="29" s="1"/>
  <c r="AT13" i="29"/>
  <c r="AT7" i="29" s="1"/>
  <c r="AS13" i="29"/>
  <c r="AR13" i="29"/>
  <c r="AQ13" i="29"/>
  <c r="AQ10" i="29" s="1"/>
  <c r="AP13" i="29"/>
  <c r="AP7" i="29" s="1"/>
  <c r="AO13" i="29"/>
  <c r="AN13" i="29"/>
  <c r="AN7" i="29" s="1"/>
  <c r="BJ12" i="29"/>
  <c r="BI12" i="29"/>
  <c r="BH12" i="29"/>
  <c r="BG12" i="29"/>
  <c r="BF12" i="29"/>
  <c r="BE12" i="29"/>
  <c r="BD12" i="29"/>
  <c r="BC12" i="29"/>
  <c r="BB12" i="29"/>
  <c r="BA12" i="29"/>
  <c r="AZ12" i="29"/>
  <c r="AY12" i="29"/>
  <c r="AX12" i="29"/>
  <c r="AW12" i="29"/>
  <c r="AV12" i="29"/>
  <c r="AU12" i="29"/>
  <c r="AT12" i="29"/>
  <c r="AS12" i="29"/>
  <c r="AR12" i="29"/>
  <c r="AQ12" i="29"/>
  <c r="AP12" i="29"/>
  <c r="AO12" i="29"/>
  <c r="AN12" i="29"/>
  <c r="BJ11" i="29"/>
  <c r="BI11" i="29"/>
  <c r="BH11" i="29"/>
  <c r="BH10" i="29" s="1"/>
  <c r="BG11" i="29"/>
  <c r="BF11" i="29"/>
  <c r="BE11" i="29"/>
  <c r="BD11" i="29"/>
  <c r="BC11" i="29"/>
  <c r="BB11" i="29"/>
  <c r="BA11" i="29"/>
  <c r="AZ11" i="29"/>
  <c r="AY11" i="29"/>
  <c r="AX11" i="29"/>
  <c r="AW11" i="29"/>
  <c r="AV11" i="29"/>
  <c r="AU11" i="29"/>
  <c r="AT11" i="29"/>
  <c r="AS11" i="29"/>
  <c r="AR11" i="29"/>
  <c r="AQ11" i="29"/>
  <c r="AP11" i="29"/>
  <c r="AO11" i="29"/>
  <c r="AN11" i="29"/>
  <c r="AM10" i="29"/>
  <c r="AL10" i="29"/>
  <c r="AK10" i="29"/>
  <c r="AJ10" i="29"/>
  <c r="AI10" i="29"/>
  <c r="AH10" i="29"/>
  <c r="AG10" i="29"/>
  <c r="AF10" i="29"/>
  <c r="AE10" i="29"/>
  <c r="AD10" i="29"/>
  <c r="AC10" i="29"/>
  <c r="AB10" i="29"/>
  <c r="AA10" i="29"/>
  <c r="Z10" i="29"/>
  <c r="Y10" i="29"/>
  <c r="X10" i="29"/>
  <c r="W10" i="29"/>
  <c r="V10" i="29"/>
  <c r="U10" i="29"/>
  <c r="T10" i="29"/>
  <c r="S10" i="29"/>
  <c r="R10" i="29"/>
  <c r="Q10" i="29"/>
  <c r="P10" i="29"/>
  <c r="O10" i="29"/>
  <c r="N10" i="29"/>
  <c r="M10" i="29"/>
  <c r="L10" i="29"/>
  <c r="K10" i="29"/>
  <c r="J10" i="29"/>
  <c r="I10" i="29"/>
  <c r="H10" i="29"/>
  <c r="G10" i="29"/>
  <c r="F10" i="29"/>
  <c r="E10" i="29"/>
  <c r="D10" i="29"/>
  <c r="C10" i="29"/>
  <c r="BJ7" i="29"/>
  <c r="BI7" i="29"/>
  <c r="BH7" i="29"/>
  <c r="BE7" i="29"/>
  <c r="BA7" i="29"/>
  <c r="AZ7" i="29"/>
  <c r="AW7" i="29"/>
  <c r="AS7" i="29"/>
  <c r="AR7" i="29"/>
  <c r="AO7" i="29"/>
  <c r="AK4" i="29"/>
  <c r="AJ4" i="29"/>
  <c r="AI4" i="29"/>
  <c r="AC4" i="29"/>
  <c r="AB4" i="29"/>
  <c r="AA4" i="29"/>
  <c r="U4" i="29"/>
  <c r="T4" i="29"/>
  <c r="S4" i="29"/>
  <c r="M4" i="29"/>
  <c r="L4" i="29"/>
  <c r="K4" i="29"/>
  <c r="E4" i="29"/>
  <c r="D4" i="29"/>
  <c r="C4" i="29"/>
  <c r="AM4" i="29"/>
  <c r="AL4" i="29"/>
  <c r="AH4" i="29"/>
  <c r="AG4" i="29"/>
  <c r="AF4" i="29"/>
  <c r="AE4" i="29"/>
  <c r="AD4" i="29"/>
  <c r="Z4" i="29"/>
  <c r="Y4" i="29"/>
  <c r="X4" i="29"/>
  <c r="W4" i="29"/>
  <c r="V4" i="29"/>
  <c r="R4" i="29"/>
  <c r="Q4" i="29"/>
  <c r="P4" i="29"/>
  <c r="O4" i="29"/>
  <c r="N4" i="29"/>
  <c r="J4" i="29"/>
  <c r="I4" i="29"/>
  <c r="H4" i="29"/>
  <c r="G4" i="29"/>
  <c r="F4" i="29"/>
  <c r="C3" i="29"/>
  <c r="C27" i="29" s="1"/>
  <c r="D27" i="29" s="1"/>
  <c r="E27" i="29" s="1"/>
  <c r="F27" i="29" s="1"/>
  <c r="G27" i="29" s="1"/>
  <c r="H27" i="29" s="1"/>
  <c r="I27" i="29" s="1"/>
  <c r="J27" i="29" s="1"/>
  <c r="K27" i="29" s="1"/>
  <c r="L27" i="29" s="1"/>
  <c r="M27" i="29" s="1"/>
  <c r="N27" i="29" s="1"/>
  <c r="O27" i="29" s="1"/>
  <c r="P27" i="29" s="1"/>
  <c r="Q27" i="29" s="1"/>
  <c r="R27" i="29" s="1"/>
  <c r="S27" i="29" s="1"/>
  <c r="T27" i="29" s="1"/>
  <c r="U27" i="29" s="1"/>
  <c r="V27" i="29" s="1"/>
  <c r="W27" i="29" s="1"/>
  <c r="X27" i="29" s="1"/>
  <c r="Y27" i="29" s="1"/>
  <c r="Z27" i="29" s="1"/>
  <c r="AA27" i="29" s="1"/>
  <c r="AB27" i="29" s="1"/>
  <c r="AC27" i="29" s="1"/>
  <c r="AD27" i="29" s="1"/>
  <c r="AE27" i="29" s="1"/>
  <c r="AF27" i="29" s="1"/>
  <c r="AG27" i="29" s="1"/>
  <c r="AH27" i="29" s="1"/>
  <c r="AI27" i="29" s="1"/>
  <c r="AJ27" i="29" s="1"/>
  <c r="AK27" i="29" s="1"/>
  <c r="AL27" i="29" s="1"/>
  <c r="AM27" i="29" s="1"/>
  <c r="BJ15" i="20"/>
  <c r="BI15" i="20"/>
  <c r="BH15" i="20"/>
  <c r="BG15" i="20"/>
  <c r="BF15" i="20"/>
  <c r="BE15" i="20"/>
  <c r="BD15" i="20"/>
  <c r="BC15" i="20"/>
  <c r="BB15" i="20"/>
  <c r="BA15" i="20"/>
  <c r="AZ15" i="20"/>
  <c r="AY15" i="20"/>
  <c r="AX15" i="20"/>
  <c r="AW15" i="20"/>
  <c r="AV15" i="20"/>
  <c r="AU15" i="20"/>
  <c r="AT15" i="20"/>
  <c r="AS15" i="20"/>
  <c r="AR15" i="20"/>
  <c r="AQ15" i="20"/>
  <c r="AP15" i="20"/>
  <c r="AO15" i="20"/>
  <c r="AN15" i="20"/>
  <c r="AM15" i="20"/>
  <c r="AL15" i="20"/>
  <c r="AK15" i="20"/>
  <c r="AJ15" i="20"/>
  <c r="AI15" i="20"/>
  <c r="AH15" i="20"/>
  <c r="AG15" i="20"/>
  <c r="AF15" i="20"/>
  <c r="AE15" i="20"/>
  <c r="AD15" i="20"/>
  <c r="AC15" i="20"/>
  <c r="AB15" i="20"/>
  <c r="AA15" i="20"/>
  <c r="Z15" i="20"/>
  <c r="Y15" i="20"/>
  <c r="X15" i="20"/>
  <c r="W15" i="20"/>
  <c r="V15" i="20"/>
  <c r="U15" i="20"/>
  <c r="T15" i="20"/>
  <c r="S15" i="20"/>
  <c r="R15" i="20"/>
  <c r="Q15" i="20"/>
  <c r="P15" i="20"/>
  <c r="O15" i="20"/>
  <c r="N15" i="20"/>
  <c r="M15" i="20"/>
  <c r="L15" i="20"/>
  <c r="K15" i="20"/>
  <c r="J15" i="20"/>
  <c r="I15" i="20"/>
  <c r="H15" i="20"/>
  <c r="G15" i="20"/>
  <c r="F15" i="20"/>
  <c r="E15" i="20"/>
  <c r="D15" i="20"/>
  <c r="C15" i="20"/>
  <c r="E15" i="27" l="1"/>
  <c r="AO10" i="29"/>
  <c r="AW10" i="29"/>
  <c r="BE10" i="29"/>
  <c r="AY10" i="29"/>
  <c r="BG10" i="29"/>
  <c r="E13" i="27"/>
  <c r="G15" i="27"/>
  <c r="G13" i="27"/>
  <c r="F13" i="27"/>
  <c r="G25" i="27"/>
  <c r="E25" i="27"/>
  <c r="F25" i="27"/>
  <c r="BJ10" i="29"/>
  <c r="C21" i="29"/>
  <c r="D21" i="29" s="1"/>
  <c r="E21" i="29" s="1"/>
  <c r="F21" i="29" s="1"/>
  <c r="G21" i="29" s="1"/>
  <c r="H21" i="29" s="1"/>
  <c r="I21" i="29" s="1"/>
  <c r="J21" i="29" s="1"/>
  <c r="K21" i="29" s="1"/>
  <c r="L21" i="29" s="1"/>
  <c r="M21" i="29" s="1"/>
  <c r="N21" i="29" s="1"/>
  <c r="O21" i="29" s="1"/>
  <c r="P21" i="29" s="1"/>
  <c r="Q21" i="29" s="1"/>
  <c r="R21" i="29" s="1"/>
  <c r="S21" i="29" s="1"/>
  <c r="T21" i="29" s="1"/>
  <c r="U21" i="29" s="1"/>
  <c r="V21" i="29" s="1"/>
  <c r="W21" i="29" s="1"/>
  <c r="X21" i="29" s="1"/>
  <c r="Y21" i="29" s="1"/>
  <c r="Z21" i="29" s="1"/>
  <c r="AA21" i="29" s="1"/>
  <c r="AB21" i="29" s="1"/>
  <c r="AC21" i="29" s="1"/>
  <c r="AD21" i="29" s="1"/>
  <c r="AE21" i="29" s="1"/>
  <c r="AF21" i="29" s="1"/>
  <c r="AG21" i="29" s="1"/>
  <c r="AH21" i="29" s="1"/>
  <c r="AI21" i="29" s="1"/>
  <c r="AJ21" i="29" s="1"/>
  <c r="AK21" i="29" s="1"/>
  <c r="AL21" i="29" s="1"/>
  <c r="AM21" i="29" s="1"/>
  <c r="C15" i="29"/>
  <c r="D15" i="29" s="1"/>
  <c r="E15" i="29" s="1"/>
  <c r="F15" i="29" s="1"/>
  <c r="G15" i="29" s="1"/>
  <c r="H15" i="29" s="1"/>
  <c r="I15" i="29" s="1"/>
  <c r="J15" i="29" s="1"/>
  <c r="K15" i="29" s="1"/>
  <c r="L15" i="29" s="1"/>
  <c r="M15" i="29" s="1"/>
  <c r="N15" i="29" s="1"/>
  <c r="O15" i="29" s="1"/>
  <c r="P15" i="29" s="1"/>
  <c r="Q15" i="29" s="1"/>
  <c r="R15" i="29" s="1"/>
  <c r="S15" i="29" s="1"/>
  <c r="T15" i="29" s="1"/>
  <c r="U15" i="29" s="1"/>
  <c r="V15" i="29" s="1"/>
  <c r="W15" i="29" s="1"/>
  <c r="X15" i="29" s="1"/>
  <c r="Y15" i="29" s="1"/>
  <c r="Z15" i="29" s="1"/>
  <c r="AA15" i="29" s="1"/>
  <c r="AB15" i="29" s="1"/>
  <c r="AC15" i="29" s="1"/>
  <c r="AD15" i="29" s="1"/>
  <c r="AE15" i="29" s="1"/>
  <c r="AF15" i="29" s="1"/>
  <c r="AG15" i="29" s="1"/>
  <c r="AH15" i="29" s="1"/>
  <c r="AI15" i="29" s="1"/>
  <c r="AJ15" i="29" s="1"/>
  <c r="AK15" i="29" s="1"/>
  <c r="AL15" i="29" s="1"/>
  <c r="AM15" i="29" s="1"/>
  <c r="AQ7" i="29"/>
  <c r="BB10" i="29"/>
  <c r="AU10" i="29"/>
  <c r="BC10" i="29"/>
  <c r="AN10" i="29"/>
  <c r="AV10" i="29"/>
  <c r="BD10" i="29"/>
  <c r="AP10" i="29"/>
  <c r="AX10" i="29"/>
  <c r="BF10" i="29"/>
  <c r="AT10" i="29"/>
  <c r="F15" i="27"/>
  <c r="AZ10" i="29"/>
  <c r="AS10" i="29"/>
  <c r="BA10" i="29"/>
  <c r="BI10" i="29"/>
  <c r="C9" i="29"/>
  <c r="D9" i="29" s="1"/>
  <c r="E9" i="29" s="1"/>
  <c r="F9" i="29" s="1"/>
  <c r="G9" i="29" s="1"/>
  <c r="H9" i="29" s="1"/>
  <c r="I9" i="29" s="1"/>
  <c r="J9" i="29" s="1"/>
  <c r="K9" i="29" s="1"/>
  <c r="L9" i="29" s="1"/>
  <c r="M9" i="29" s="1"/>
  <c r="N9" i="29" s="1"/>
  <c r="O9" i="29" s="1"/>
  <c r="P9" i="29" s="1"/>
  <c r="Q9" i="29" s="1"/>
  <c r="R9" i="29" s="1"/>
  <c r="S9" i="29" s="1"/>
  <c r="T9" i="29" s="1"/>
  <c r="U9" i="29" s="1"/>
  <c r="V9" i="29" s="1"/>
  <c r="W9" i="29" s="1"/>
  <c r="X9" i="29" s="1"/>
  <c r="Y9" i="29" s="1"/>
  <c r="Z9" i="29" s="1"/>
  <c r="AA9" i="29" s="1"/>
  <c r="AB9" i="29" s="1"/>
  <c r="AC9" i="29" s="1"/>
  <c r="AD9" i="29" s="1"/>
  <c r="AE9" i="29" s="1"/>
  <c r="AF9" i="29" s="1"/>
  <c r="AG9" i="29" s="1"/>
  <c r="AH9" i="29" s="1"/>
  <c r="AI9" i="29" s="1"/>
  <c r="AJ9" i="29" s="1"/>
  <c r="AK9" i="29" s="1"/>
  <c r="AL9" i="29" s="1"/>
  <c r="AM9" i="29" s="1"/>
  <c r="AN9" i="29" s="1"/>
  <c r="AO9" i="29" s="1"/>
  <c r="AP9" i="29" s="1"/>
  <c r="AQ9" i="29" s="1"/>
  <c r="AR9" i="29" s="1"/>
  <c r="AS9" i="29" s="1"/>
  <c r="AT9" i="29" s="1"/>
  <c r="AU9" i="29" s="1"/>
  <c r="AV9" i="29" s="1"/>
  <c r="AW9" i="29" s="1"/>
  <c r="AX9" i="29" s="1"/>
  <c r="AY9" i="29" s="1"/>
  <c r="AZ9" i="29" s="1"/>
  <c r="BA9" i="29" s="1"/>
  <c r="BB9" i="29" s="1"/>
  <c r="BC9" i="29" s="1"/>
  <c r="BD9" i="29" s="1"/>
  <c r="BE9" i="29" s="1"/>
  <c r="BF9" i="29" s="1"/>
  <c r="BG9" i="29" s="1"/>
  <c r="BH9" i="29" s="1"/>
  <c r="BI9" i="29" s="1"/>
  <c r="BJ9" i="29" s="1"/>
  <c r="AR10" i="29"/>
  <c r="D3" i="29"/>
  <c r="E3" i="29" l="1"/>
  <c r="F3" i="29" l="1"/>
  <c r="G3" i="29" l="1"/>
  <c r="H3" i="29" l="1"/>
  <c r="I3" i="29" l="1"/>
  <c r="J3" i="29" l="1"/>
  <c r="K3" i="29" l="1"/>
  <c r="L3" i="29" l="1"/>
  <c r="M3" i="29" l="1"/>
  <c r="N3" i="29" l="1"/>
  <c r="O3" i="29" l="1"/>
  <c r="P3" i="29" l="1"/>
  <c r="Q3" i="29" l="1"/>
  <c r="R3" i="29" l="1"/>
  <c r="S3" i="29" l="1"/>
  <c r="T3" i="29" l="1"/>
  <c r="U3" i="29" l="1"/>
  <c r="V3" i="29" l="1"/>
  <c r="W3" i="29" l="1"/>
  <c r="X3" i="29" l="1"/>
  <c r="Y3" i="29" l="1"/>
  <c r="Z3" i="29" l="1"/>
  <c r="AA3" i="29" l="1"/>
  <c r="AB3" i="29" l="1"/>
  <c r="AC3" i="29" l="1"/>
  <c r="AD3" i="29" l="1"/>
  <c r="AE3" i="29" l="1"/>
  <c r="AF3" i="29" l="1"/>
  <c r="AG3" i="29" l="1"/>
  <c r="AH3" i="29" l="1"/>
  <c r="AI3" i="29" l="1"/>
  <c r="AJ3" i="29" l="1"/>
  <c r="AK3" i="29" l="1"/>
  <c r="AL3" i="29" l="1"/>
  <c r="AM3" i="29" l="1"/>
  <c r="AN3" i="29" l="1"/>
  <c r="AO3" i="29" l="1"/>
  <c r="AP3" i="29" l="1"/>
  <c r="AQ3" i="29" l="1"/>
  <c r="AR3" i="29" l="1"/>
  <c r="AS3" i="29" l="1"/>
  <c r="AT3" i="29" l="1"/>
  <c r="AU3" i="29" l="1"/>
  <c r="AV3" i="29" l="1"/>
  <c r="AW3" i="29" l="1"/>
  <c r="AX3" i="29" l="1"/>
  <c r="AY3" i="29" l="1"/>
  <c r="AZ3" i="29" l="1"/>
  <c r="BA3" i="29" l="1"/>
  <c r="BB3" i="29" l="1"/>
  <c r="BC3" i="29" l="1"/>
  <c r="BD3" i="29" l="1"/>
  <c r="BE3" i="29" l="1"/>
  <c r="BF3" i="29" l="1"/>
  <c r="BG3" i="29" l="1"/>
  <c r="BH3" i="29" l="1"/>
  <c r="BI3" i="29" l="1"/>
  <c r="BJ3" i="29" l="1"/>
  <c r="Q27" i="4" l="1"/>
  <c r="O6" i="31" s="1"/>
  <c r="P27" i="4"/>
  <c r="N6" i="31" s="1"/>
  <c r="O27" i="4"/>
  <c r="M6" i="31" s="1"/>
  <c r="N27" i="4"/>
  <c r="L6" i="31" s="1"/>
  <c r="M27" i="4"/>
  <c r="K6" i="31" s="1"/>
  <c r="L27" i="4"/>
  <c r="J6" i="31" s="1"/>
  <c r="K27" i="4"/>
  <c r="I6" i="31" s="1"/>
  <c r="J27" i="4"/>
  <c r="H6" i="31" s="1"/>
  <c r="I27" i="4"/>
  <c r="G6" i="31" s="1"/>
  <c r="H27" i="4"/>
  <c r="F6" i="31" s="1"/>
  <c r="G27" i="4"/>
  <c r="E6" i="31" s="1"/>
  <c r="F27" i="4"/>
  <c r="D6" i="31" s="1"/>
  <c r="Q26" i="4"/>
  <c r="O5" i="31" s="1"/>
  <c r="P26" i="4"/>
  <c r="N5" i="31" s="1"/>
  <c r="O26" i="4"/>
  <c r="M5" i="31" s="1"/>
  <c r="N26" i="4"/>
  <c r="L5" i="31" s="1"/>
  <c r="M26" i="4"/>
  <c r="K5" i="31" s="1"/>
  <c r="L26" i="4"/>
  <c r="J5" i="31" s="1"/>
  <c r="K26" i="4"/>
  <c r="I5" i="31" s="1"/>
  <c r="J26" i="4"/>
  <c r="H5" i="31" s="1"/>
  <c r="I26" i="4"/>
  <c r="G5" i="31" s="1"/>
  <c r="H26" i="4"/>
  <c r="F5" i="31" s="1"/>
  <c r="G26" i="4"/>
  <c r="E5" i="31" s="1"/>
  <c r="F26" i="4"/>
  <c r="D5" i="31" s="1"/>
  <c r="Q25" i="4"/>
  <c r="O4" i="31" s="1"/>
  <c r="P25" i="4"/>
  <c r="N4" i="31" s="1"/>
  <c r="O25" i="4"/>
  <c r="M4" i="31" s="1"/>
  <c r="N25" i="4"/>
  <c r="L4" i="31" s="1"/>
  <c r="M25" i="4"/>
  <c r="K4" i="31" s="1"/>
  <c r="L25" i="4"/>
  <c r="J4" i="31" s="1"/>
  <c r="K25" i="4"/>
  <c r="I4" i="31" s="1"/>
  <c r="J25" i="4"/>
  <c r="H4" i="31" s="1"/>
  <c r="H3" i="31" s="1"/>
  <c r="I25" i="4"/>
  <c r="G4" i="31" s="1"/>
  <c r="H25" i="4"/>
  <c r="F4" i="31" s="1"/>
  <c r="G25" i="4"/>
  <c r="E4" i="31" s="1"/>
  <c r="F25" i="4"/>
  <c r="D4" i="31" s="1"/>
  <c r="G3" i="31" l="1"/>
  <c r="O3" i="31"/>
  <c r="I3" i="31"/>
  <c r="L3" i="31"/>
  <c r="K3" i="31"/>
  <c r="BM5" i="31"/>
  <c r="J3" i="31"/>
  <c r="D3" i="31"/>
  <c r="BM4" i="31"/>
  <c r="E3" i="31"/>
  <c r="M3" i="31"/>
  <c r="F3" i="31"/>
  <c r="N3" i="31"/>
  <c r="BM6" i="31"/>
  <c r="AM7" i="15"/>
  <c r="AL7" i="15"/>
  <c r="AK7" i="15"/>
  <c r="AJ7" i="15"/>
  <c r="AI7" i="15"/>
  <c r="AH7" i="15"/>
  <c r="AM6" i="15"/>
  <c r="AL6" i="15"/>
  <c r="AK6" i="15"/>
  <c r="AJ6" i="15"/>
  <c r="AI6" i="15"/>
  <c r="AH6" i="15"/>
  <c r="AM5" i="15"/>
  <c r="AL5" i="15"/>
  <c r="AK5" i="15"/>
  <c r="AJ5" i="15"/>
  <c r="AI5" i="15"/>
  <c r="AH5" i="15"/>
  <c r="BM3" i="31" l="1"/>
  <c r="I4" i="27" s="1"/>
  <c r="AO30" i="4"/>
  <c r="AM12" i="31" s="1"/>
  <c r="AN30" i="4"/>
  <c r="AL12" i="31" s="1"/>
  <c r="AM30" i="4"/>
  <c r="AK12" i="31" s="1"/>
  <c r="AL30" i="4"/>
  <c r="AJ12" i="31" s="1"/>
  <c r="AK30" i="4"/>
  <c r="AI12" i="31" s="1"/>
  <c r="AJ30" i="4"/>
  <c r="AH12" i="31" s="1"/>
  <c r="AO29" i="4"/>
  <c r="AM11" i="31" s="1"/>
  <c r="AN29" i="4"/>
  <c r="AL11" i="31" s="1"/>
  <c r="AM29" i="4"/>
  <c r="AK11" i="31" s="1"/>
  <c r="AL29" i="4"/>
  <c r="AJ11" i="31" s="1"/>
  <c r="AK29" i="4"/>
  <c r="AI11" i="31" s="1"/>
  <c r="AJ29" i="4"/>
  <c r="AH11" i="31" s="1"/>
  <c r="AO28" i="4"/>
  <c r="AM10" i="31" s="1"/>
  <c r="AN28" i="4"/>
  <c r="AL10" i="31" s="1"/>
  <c r="AM28" i="4"/>
  <c r="AK10" i="31" s="1"/>
  <c r="AL28" i="4"/>
  <c r="AJ10" i="31" s="1"/>
  <c r="AK28" i="4"/>
  <c r="AI10" i="31" s="1"/>
  <c r="AI9" i="31" s="1"/>
  <c r="AJ28" i="4"/>
  <c r="AH10" i="31" s="1"/>
  <c r="E22" i="4"/>
  <c r="C16" i="31" s="1"/>
  <c r="G8" i="27"/>
  <c r="F8" i="27"/>
  <c r="E8" i="27"/>
  <c r="G7" i="27"/>
  <c r="F7" i="27"/>
  <c r="E7" i="27"/>
  <c r="G5" i="27"/>
  <c r="F5" i="27"/>
  <c r="E5" i="27"/>
  <c r="G4" i="27"/>
  <c r="G17" i="27" s="1"/>
  <c r="F4" i="27"/>
  <c r="F17" i="27" s="1"/>
  <c r="E4" i="27"/>
  <c r="E17" i="27" s="1"/>
  <c r="AO4" i="4"/>
  <c r="AO5" i="4"/>
  <c r="AO6" i="4"/>
  <c r="AO7" i="4"/>
  <c r="AO8" i="4"/>
  <c r="AO9" i="4"/>
  <c r="AO10" i="4"/>
  <c r="AO11" i="4"/>
  <c r="AJ9" i="31" l="1"/>
  <c r="F9" i="27"/>
  <c r="G9" i="27"/>
  <c r="AL9" i="31"/>
  <c r="AM9" i="31"/>
  <c r="AH9" i="31"/>
  <c r="AK9" i="31"/>
  <c r="E9" i="27"/>
  <c r="BJ6" i="11" l="1"/>
  <c r="BI6" i="11"/>
  <c r="BH6" i="11"/>
  <c r="BG6" i="11"/>
  <c r="BF6" i="11"/>
  <c r="BE6" i="11"/>
  <c r="BD6" i="11"/>
  <c r="BC6" i="11"/>
  <c r="BB6" i="11"/>
  <c r="BA6" i="11"/>
  <c r="AZ6" i="11"/>
  <c r="AY6" i="11"/>
  <c r="AX6" i="11"/>
  <c r="AW6" i="11"/>
  <c r="AV6" i="11"/>
  <c r="AU6" i="11"/>
  <c r="AT6" i="11"/>
  <c r="AS6" i="11"/>
  <c r="AR6" i="11"/>
  <c r="AQ6" i="11"/>
  <c r="AP6" i="11"/>
  <c r="AO6" i="11"/>
  <c r="AN6" i="11"/>
  <c r="AO12" i="4"/>
  <c r="BJ5" i="11"/>
  <c r="BI5" i="11"/>
  <c r="BH5" i="11"/>
  <c r="BG5" i="11"/>
  <c r="BF5" i="11"/>
  <c r="BE5" i="11"/>
  <c r="BD5" i="11"/>
  <c r="BC5" i="11"/>
  <c r="BB5" i="11"/>
  <c r="BA5" i="11"/>
  <c r="AZ5" i="11"/>
  <c r="AY5" i="11"/>
  <c r="AX5" i="11"/>
  <c r="AW5" i="11"/>
  <c r="AV5" i="11"/>
  <c r="AU5" i="11"/>
  <c r="AT5" i="11"/>
  <c r="AS5" i="11"/>
  <c r="AR5" i="11"/>
  <c r="AQ5" i="11"/>
  <c r="AP5" i="11"/>
  <c r="AO5" i="11"/>
  <c r="AN5" i="11"/>
  <c r="BJ4" i="11"/>
  <c r="BI4" i="11"/>
  <c r="BH4" i="11"/>
  <c r="BG4" i="11"/>
  <c r="BF4" i="11"/>
  <c r="BE4" i="11"/>
  <c r="BD4" i="11"/>
  <c r="BC4" i="11"/>
  <c r="BB4" i="11"/>
  <c r="BA4" i="11"/>
  <c r="AZ4" i="11"/>
  <c r="AY4" i="11"/>
  <c r="AX4" i="11"/>
  <c r="AW4" i="11"/>
  <c r="AV4" i="11"/>
  <c r="AU4" i="11"/>
  <c r="AT4" i="11"/>
  <c r="AS4" i="11"/>
  <c r="AR4" i="11"/>
  <c r="AQ4" i="11"/>
  <c r="AP4" i="11"/>
  <c r="AO4" i="11"/>
  <c r="AN4" i="11"/>
  <c r="BJ5" i="29" l="1"/>
  <c r="BJ4" i="29" s="1"/>
  <c r="BJ5" i="33"/>
  <c r="BJ4" i="33" s="1"/>
  <c r="AV6" i="29"/>
  <c r="AV6" i="33"/>
  <c r="AU6" i="29"/>
  <c r="AU6" i="33"/>
  <c r="AV5" i="29"/>
  <c r="AV4" i="29" s="1"/>
  <c r="AV5" i="33"/>
  <c r="AV4" i="33" s="1"/>
  <c r="BE6" i="29"/>
  <c r="BE6" i="33"/>
  <c r="BB5" i="29"/>
  <c r="BB4" i="29" s="1"/>
  <c r="BB5" i="33"/>
  <c r="BB4" i="33" s="1"/>
  <c r="BC5" i="29"/>
  <c r="BC4" i="29" s="1"/>
  <c r="BC5" i="33"/>
  <c r="BC4" i="33" s="1"/>
  <c r="AO6" i="29"/>
  <c r="AO6" i="33"/>
  <c r="AP6" i="29"/>
  <c r="AP6" i="33"/>
  <c r="AX6" i="29"/>
  <c r="AX6" i="33"/>
  <c r="BF6" i="29"/>
  <c r="BF6" i="33"/>
  <c r="BC6" i="29"/>
  <c r="BC6" i="33"/>
  <c r="AN5" i="29"/>
  <c r="AN4" i="29" s="1"/>
  <c r="AN5" i="33"/>
  <c r="AN4" i="33" s="1"/>
  <c r="AW5" i="29"/>
  <c r="AW4" i="29" s="1"/>
  <c r="AW5" i="33"/>
  <c r="AW4" i="33" s="1"/>
  <c r="AP5" i="29"/>
  <c r="AP4" i="29" s="1"/>
  <c r="AP5" i="33"/>
  <c r="AP4" i="33" s="1"/>
  <c r="AX5" i="29"/>
  <c r="AX4" i="29" s="1"/>
  <c r="AX5" i="33"/>
  <c r="AX4" i="33" s="1"/>
  <c r="BF5" i="29"/>
  <c r="BF4" i="29" s="1"/>
  <c r="BF5" i="33"/>
  <c r="BF4" i="33" s="1"/>
  <c r="AQ6" i="29"/>
  <c r="AQ6" i="33"/>
  <c r="AY6" i="29"/>
  <c r="AY6" i="33"/>
  <c r="BG6" i="29"/>
  <c r="BG6" i="33"/>
  <c r="AN6" i="29"/>
  <c r="AN6" i="33"/>
  <c r="AW6" i="29"/>
  <c r="AW6" i="33"/>
  <c r="AQ5" i="29"/>
  <c r="AQ4" i="29" s="1"/>
  <c r="AQ5" i="33"/>
  <c r="AQ4" i="33" s="1"/>
  <c r="BG5" i="29"/>
  <c r="BG4" i="29" s="1"/>
  <c r="BG5" i="33"/>
  <c r="BG4" i="33" s="1"/>
  <c r="AR6" i="29"/>
  <c r="AR6" i="33"/>
  <c r="AZ6" i="29"/>
  <c r="AZ6" i="33"/>
  <c r="BH6" i="29"/>
  <c r="BH6" i="33"/>
  <c r="AU5" i="29"/>
  <c r="AU4" i="29" s="1"/>
  <c r="AU5" i="33"/>
  <c r="AU4" i="33" s="1"/>
  <c r="BD5" i="29"/>
  <c r="BD4" i="29" s="1"/>
  <c r="BD5" i="33"/>
  <c r="BD4" i="33" s="1"/>
  <c r="BE5" i="29"/>
  <c r="BE4" i="29" s="1"/>
  <c r="BE5" i="33"/>
  <c r="BE4" i="33" s="1"/>
  <c r="AZ5" i="29"/>
  <c r="AZ4" i="29" s="1"/>
  <c r="AZ5" i="33"/>
  <c r="AZ4" i="33" s="1"/>
  <c r="AS6" i="29"/>
  <c r="AS6" i="33"/>
  <c r="BA6" i="29"/>
  <c r="BA6" i="33"/>
  <c r="BI6" i="29"/>
  <c r="BI6" i="33"/>
  <c r="AT5" i="29"/>
  <c r="AT4" i="29" s="1"/>
  <c r="AT5" i="33"/>
  <c r="AT4" i="33" s="1"/>
  <c r="BD6" i="29"/>
  <c r="BD6" i="33"/>
  <c r="AO5" i="29"/>
  <c r="AO4" i="29" s="1"/>
  <c r="AO5" i="33"/>
  <c r="AO4" i="33" s="1"/>
  <c r="AY5" i="29"/>
  <c r="AY4" i="29" s="1"/>
  <c r="AY5" i="33"/>
  <c r="AY4" i="33" s="1"/>
  <c r="AR5" i="29"/>
  <c r="AR4" i="29" s="1"/>
  <c r="AR5" i="33"/>
  <c r="AR4" i="33" s="1"/>
  <c r="BH5" i="29"/>
  <c r="BH4" i="29" s="1"/>
  <c r="BH5" i="33"/>
  <c r="BH4" i="33" s="1"/>
  <c r="AS5" i="29"/>
  <c r="AS4" i="29" s="1"/>
  <c r="AS5" i="33"/>
  <c r="AS4" i="33" s="1"/>
  <c r="BA5" i="29"/>
  <c r="BA4" i="29" s="1"/>
  <c r="BA5" i="33"/>
  <c r="BA4" i="33" s="1"/>
  <c r="BI5" i="29"/>
  <c r="BI4" i="29" s="1"/>
  <c r="BI5" i="33"/>
  <c r="BI4" i="33" s="1"/>
  <c r="AT6" i="29"/>
  <c r="AT6" i="33"/>
  <c r="BB6" i="29"/>
  <c r="BB6" i="33"/>
  <c r="BJ6" i="29"/>
  <c r="BJ6" i="33"/>
  <c r="BJ55" i="23"/>
  <c r="BI55" i="23"/>
  <c r="BH55" i="23"/>
  <c r="BG55" i="23"/>
  <c r="BF55" i="23"/>
  <c r="BE55" i="23"/>
  <c r="BD55" i="23"/>
  <c r="BC55" i="23"/>
  <c r="BB55" i="23"/>
  <c r="BA55" i="23"/>
  <c r="AZ55" i="23"/>
  <c r="AY55" i="23"/>
  <c r="AX55" i="23"/>
  <c r="AW55" i="23"/>
  <c r="AV55" i="23"/>
  <c r="AU55" i="23"/>
  <c r="AT55" i="23"/>
  <c r="AS55" i="23"/>
  <c r="AR55" i="23"/>
  <c r="AQ55" i="23"/>
  <c r="AP55" i="23"/>
  <c r="AO55" i="23"/>
  <c r="AN55" i="23"/>
  <c r="AM55" i="23"/>
  <c r="AK55" i="23"/>
  <c r="AC55" i="23"/>
  <c r="AL55" i="23"/>
  <c r="AJ55" i="23"/>
  <c r="AI55" i="23"/>
  <c r="AH55" i="23"/>
  <c r="AG55" i="23"/>
  <c r="AF55" i="23"/>
  <c r="AE55" i="23"/>
  <c r="AD55" i="23"/>
  <c r="AB55" i="23"/>
  <c r="AA55" i="23"/>
  <c r="Z55" i="23"/>
  <c r="Y55" i="23"/>
  <c r="X55" i="23"/>
  <c r="W55" i="23"/>
  <c r="V55" i="23"/>
  <c r="U55" i="23"/>
  <c r="T55" i="23"/>
  <c r="S55" i="23"/>
  <c r="R55" i="23"/>
  <c r="Q55" i="23"/>
  <c r="P55" i="23"/>
  <c r="O55" i="23"/>
  <c r="N55" i="23"/>
  <c r="M55" i="23"/>
  <c r="L55" i="23"/>
  <c r="K55" i="23"/>
  <c r="J55" i="23"/>
  <c r="I55" i="23"/>
  <c r="H55" i="23"/>
  <c r="G55" i="23"/>
  <c r="F55" i="23"/>
  <c r="E55" i="23"/>
  <c r="D55" i="23"/>
  <c r="C55" i="23"/>
  <c r="AL31" i="23"/>
  <c r="AK31" i="23"/>
  <c r="AJ31" i="23"/>
  <c r="AI31" i="23"/>
  <c r="AH31" i="23"/>
  <c r="AG31" i="23"/>
  <c r="AF31" i="23"/>
  <c r="AE31" i="23"/>
  <c r="AD31" i="23"/>
  <c r="AC31" i="23"/>
  <c r="AB31" i="23"/>
  <c r="AA31" i="23"/>
  <c r="Z31" i="23"/>
  <c r="Y31" i="23"/>
  <c r="X31" i="23"/>
  <c r="W31" i="23"/>
  <c r="V31" i="23"/>
  <c r="U31" i="23"/>
  <c r="T31" i="23"/>
  <c r="S31" i="23"/>
  <c r="R31" i="23"/>
  <c r="Q31" i="23"/>
  <c r="P31" i="23"/>
  <c r="O31" i="23"/>
  <c r="N31" i="23"/>
  <c r="M31" i="23"/>
  <c r="L31" i="23"/>
  <c r="K31" i="23"/>
  <c r="J31" i="23"/>
  <c r="AL7" i="23"/>
  <c r="AK7" i="23"/>
  <c r="AJ7" i="23"/>
  <c r="AI7" i="23"/>
  <c r="AH7" i="23"/>
  <c r="AG7" i="23"/>
  <c r="AF7" i="23"/>
  <c r="AE7" i="23"/>
  <c r="AD7" i="23"/>
  <c r="AC7" i="23"/>
  <c r="AB7" i="23"/>
  <c r="AA7" i="23"/>
  <c r="Z7" i="23"/>
  <c r="Y7" i="23"/>
  <c r="X7" i="23"/>
  <c r="W7" i="23"/>
  <c r="V7" i="23"/>
  <c r="U7" i="23"/>
  <c r="T7" i="23"/>
  <c r="S7" i="23"/>
  <c r="R7" i="23"/>
  <c r="Q7" i="23"/>
  <c r="P7" i="23"/>
  <c r="O7" i="23"/>
  <c r="N7" i="23"/>
  <c r="M7" i="23"/>
  <c r="L7" i="23"/>
  <c r="K7" i="23"/>
  <c r="J7" i="23"/>
  <c r="I31" i="23"/>
  <c r="I7" i="23"/>
  <c r="H31" i="23"/>
  <c r="G31" i="23"/>
  <c r="F31" i="23"/>
  <c r="E31" i="23"/>
  <c r="D31" i="23"/>
  <c r="C31" i="23"/>
  <c r="H7" i="23"/>
  <c r="G7" i="23"/>
  <c r="F7" i="23"/>
  <c r="E7" i="23"/>
  <c r="D7" i="23"/>
  <c r="C7" i="23"/>
  <c r="BC77" i="23" l="1"/>
  <c r="BC93" i="23" s="1"/>
  <c r="BC78" i="23"/>
  <c r="BC94" i="23" s="1"/>
  <c r="BC76" i="23"/>
  <c r="BC92" i="23" s="1"/>
  <c r="AN78" i="23"/>
  <c r="AN94" i="23" s="1"/>
  <c r="AN76" i="23"/>
  <c r="AN92" i="23" s="1"/>
  <c r="AN77" i="23"/>
  <c r="AN93" i="23" s="1"/>
  <c r="AV78" i="23"/>
  <c r="AV94" i="23" s="1"/>
  <c r="AV76" i="23"/>
  <c r="AV92" i="23" s="1"/>
  <c r="AV77" i="23"/>
  <c r="AV93" i="23" s="1"/>
  <c r="BD78" i="23"/>
  <c r="BD94" i="23" s="1"/>
  <c r="BD76" i="23"/>
  <c r="BD92" i="23" s="1"/>
  <c r="BD77" i="23"/>
  <c r="BD93" i="23" s="1"/>
  <c r="AU77" i="23"/>
  <c r="AU93" i="23" s="1"/>
  <c r="AU78" i="23"/>
  <c r="AU94" i="23" s="1"/>
  <c r="AU76" i="23"/>
  <c r="AU92" i="23" s="1"/>
  <c r="AO76" i="23"/>
  <c r="AO92" i="23" s="1"/>
  <c r="AO95" i="23" s="1"/>
  <c r="AO77" i="23"/>
  <c r="AO93" i="23" s="1"/>
  <c r="AO78" i="23"/>
  <c r="AO94" i="23" s="1"/>
  <c r="AW76" i="23"/>
  <c r="AW92" i="23" s="1"/>
  <c r="AW77" i="23"/>
  <c r="AW93" i="23" s="1"/>
  <c r="AW78" i="23"/>
  <c r="AW94" i="23" s="1"/>
  <c r="BE76" i="23"/>
  <c r="BE92" i="23" s="1"/>
  <c r="BE77" i="23"/>
  <c r="BE93" i="23" s="1"/>
  <c r="BE78" i="23"/>
  <c r="BE94" i="23" s="1"/>
  <c r="AP76" i="23"/>
  <c r="AP92" i="23" s="1"/>
  <c r="AP77" i="23"/>
  <c r="AP93" i="23" s="1"/>
  <c r="AP78" i="23"/>
  <c r="AP94" i="23" s="1"/>
  <c r="AX77" i="23"/>
  <c r="AX93" i="23" s="1"/>
  <c r="AX76" i="23"/>
  <c r="AX92" i="23" s="1"/>
  <c r="AX78" i="23"/>
  <c r="AX94" i="23" s="1"/>
  <c r="AX95" i="23" s="1"/>
  <c r="BF77" i="23"/>
  <c r="BF93" i="23" s="1"/>
  <c r="BF76" i="23"/>
  <c r="BF92" i="23" s="1"/>
  <c r="BF78" i="23"/>
  <c r="BF94" i="23" s="1"/>
  <c r="AQ76" i="23"/>
  <c r="AQ92" i="23" s="1"/>
  <c r="AQ78" i="23"/>
  <c r="AQ94" i="23" s="1"/>
  <c r="AQ77" i="23"/>
  <c r="AQ93" i="23" s="1"/>
  <c r="AY76" i="23"/>
  <c r="AY92" i="23" s="1"/>
  <c r="AY77" i="23"/>
  <c r="AY93" i="23" s="1"/>
  <c r="AY78" i="23"/>
  <c r="AY94" i="23" s="1"/>
  <c r="BG78" i="23"/>
  <c r="BG94" i="23" s="1"/>
  <c r="BG76" i="23"/>
  <c r="BG92" i="23" s="1"/>
  <c r="BG77" i="23"/>
  <c r="BG93" i="23" s="1"/>
  <c r="AR76" i="23"/>
  <c r="AR92" i="23" s="1"/>
  <c r="AR77" i="23"/>
  <c r="AR93" i="23" s="1"/>
  <c r="AR78" i="23"/>
  <c r="AR94" i="23" s="1"/>
  <c r="AZ76" i="23"/>
  <c r="AZ92" i="23" s="1"/>
  <c r="AZ77" i="23"/>
  <c r="AZ93" i="23" s="1"/>
  <c r="AZ78" i="23"/>
  <c r="AZ94" i="23" s="1"/>
  <c r="BH76" i="23"/>
  <c r="BH92" i="23" s="1"/>
  <c r="BH77" i="23"/>
  <c r="BH93" i="23" s="1"/>
  <c r="BH78" i="23"/>
  <c r="BH94" i="23" s="1"/>
  <c r="AS76" i="23"/>
  <c r="AS92" i="23" s="1"/>
  <c r="AS77" i="23"/>
  <c r="AS93" i="23" s="1"/>
  <c r="AS78" i="23"/>
  <c r="AS94" i="23" s="1"/>
  <c r="BA76" i="23"/>
  <c r="BA92" i="23" s="1"/>
  <c r="BA77" i="23"/>
  <c r="BA93" i="23" s="1"/>
  <c r="BA78" i="23"/>
  <c r="BA94" i="23" s="1"/>
  <c r="BI76" i="23"/>
  <c r="BI92" i="23" s="1"/>
  <c r="BI77" i="23"/>
  <c r="BI93" i="23" s="1"/>
  <c r="BI78" i="23"/>
  <c r="BI94" i="23" s="1"/>
  <c r="AT76" i="23"/>
  <c r="AT92" i="23" s="1"/>
  <c r="AT77" i="23"/>
  <c r="AT93" i="23" s="1"/>
  <c r="AT78" i="23"/>
  <c r="AT94" i="23" s="1"/>
  <c r="BB76" i="23"/>
  <c r="BB92" i="23" s="1"/>
  <c r="BB95" i="23" s="1"/>
  <c r="BB77" i="23"/>
  <c r="BB93" i="23" s="1"/>
  <c r="BB78" i="23"/>
  <c r="BB94" i="23" s="1"/>
  <c r="BJ76" i="23"/>
  <c r="BJ92" i="23" s="1"/>
  <c r="BJ77" i="23"/>
  <c r="BJ93" i="23" s="1"/>
  <c r="BJ78" i="23"/>
  <c r="BJ94" i="23" s="1"/>
  <c r="J30" i="4"/>
  <c r="H12" i="31" s="1"/>
  <c r="I30" i="4"/>
  <c r="G12" i="31" s="1"/>
  <c r="H30" i="4"/>
  <c r="F12" i="31" s="1"/>
  <c r="G30" i="4"/>
  <c r="E12" i="31" s="1"/>
  <c r="F30" i="4"/>
  <c r="D12" i="31" s="1"/>
  <c r="E30" i="4"/>
  <c r="C12" i="31" s="1"/>
  <c r="E29" i="4"/>
  <c r="C11" i="31" s="1"/>
  <c r="E28" i="4"/>
  <c r="C10" i="31" s="1"/>
  <c r="AV95" i="23" l="1"/>
  <c r="C9" i="31"/>
  <c r="AU95" i="23"/>
  <c r="BC95" i="23"/>
  <c r="BC97" i="23" s="1"/>
  <c r="BH95" i="23"/>
  <c r="AO97" i="23"/>
  <c r="AU97" i="23"/>
  <c r="BB97" i="23"/>
  <c r="AZ95" i="23"/>
  <c r="AX97" i="23"/>
  <c r="BE95" i="23"/>
  <c r="AY95" i="23"/>
  <c r="AN95" i="23"/>
  <c r="AN97" i="23" s="1"/>
  <c r="BA95" i="23"/>
  <c r="BB96" i="23" s="1"/>
  <c r="AT95" i="23"/>
  <c r="AU96" i="23" s="1"/>
  <c r="AS95" i="23"/>
  <c r="AV96" i="23"/>
  <c r="AV97" i="23"/>
  <c r="BJ95" i="23"/>
  <c r="AR95" i="23"/>
  <c r="AW95" i="23"/>
  <c r="AX96" i="23" s="1"/>
  <c r="BD95" i="23"/>
  <c r="BC96" i="23"/>
  <c r="BI95" i="23"/>
  <c r="AQ95" i="23"/>
  <c r="BH97" i="23"/>
  <c r="BG95" i="23"/>
  <c r="BH96" i="23" s="1"/>
  <c r="BF95" i="23"/>
  <c r="AP95" i="23"/>
  <c r="U5" i="1"/>
  <c r="V5" i="1" s="1"/>
  <c r="W5" i="1" s="1"/>
  <c r="X5" i="1" s="1"/>
  <c r="Y5" i="1" s="1"/>
  <c r="C27" i="13"/>
  <c r="D27" i="13" s="1"/>
  <c r="E27" i="13" s="1"/>
  <c r="E25" i="13"/>
  <c r="E24" i="13"/>
  <c r="AS97" i="23" l="1"/>
  <c r="AS96" i="23"/>
  <c r="AP97" i="23"/>
  <c r="AP96" i="23"/>
  <c r="BD96" i="23"/>
  <c r="BD97" i="23"/>
  <c r="BF96" i="23"/>
  <c r="BF97" i="23"/>
  <c r="AW97" i="23"/>
  <c r="AW96" i="23"/>
  <c r="AZ97" i="23"/>
  <c r="AZ96" i="23"/>
  <c r="AR97" i="23"/>
  <c r="AR96" i="23"/>
  <c r="AY97" i="23"/>
  <c r="AY96" i="23"/>
  <c r="BI96" i="23"/>
  <c r="BI97" i="23"/>
  <c r="BJ96" i="23"/>
  <c r="BJ97" i="23"/>
  <c r="BE96" i="23"/>
  <c r="BE97" i="23"/>
  <c r="AO96" i="23"/>
  <c r="AT96" i="23"/>
  <c r="AT97" i="23"/>
  <c r="BA96" i="23"/>
  <c r="BA97" i="23"/>
  <c r="BG97" i="23"/>
  <c r="BG96" i="23"/>
  <c r="AQ97" i="23"/>
  <c r="AQ96" i="23"/>
  <c r="F27" i="13"/>
  <c r="G27" i="13" l="1"/>
  <c r="H27" i="13" l="1"/>
  <c r="I27" i="13" l="1"/>
  <c r="J27" i="13" l="1"/>
  <c r="BJ7" i="23"/>
  <c r="BI7" i="23"/>
  <c r="BH7" i="23"/>
  <c r="BG7" i="23"/>
  <c r="BF7" i="23"/>
  <c r="BE7" i="23"/>
  <c r="BD7" i="23"/>
  <c r="BC7" i="23"/>
  <c r="BB7" i="23"/>
  <c r="BA7" i="23"/>
  <c r="AZ7" i="23"/>
  <c r="AY7" i="23"/>
  <c r="AX7" i="23"/>
  <c r="AW7" i="23"/>
  <c r="AV7" i="23"/>
  <c r="AU7" i="23"/>
  <c r="AT7" i="23"/>
  <c r="AS7" i="23"/>
  <c r="AR7" i="23"/>
  <c r="AQ7" i="23"/>
  <c r="AP7" i="23"/>
  <c r="AO7" i="23"/>
  <c r="AN7" i="23"/>
  <c r="AL15" i="6"/>
  <c r="AK15" i="6"/>
  <c r="AJ15" i="6"/>
  <c r="AI15" i="6"/>
  <c r="AH15" i="6"/>
  <c r="AG15" i="6"/>
  <c r="AF15" i="6"/>
  <c r="AE15" i="6"/>
  <c r="AD15" i="6"/>
  <c r="AC15" i="6"/>
  <c r="AB15" i="6"/>
  <c r="AA15" i="6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C15" i="6"/>
  <c r="AL9" i="6"/>
  <c r="AK9" i="6"/>
  <c r="AJ9" i="6"/>
  <c r="AI9" i="6"/>
  <c r="AH9" i="6"/>
  <c r="AG9" i="6"/>
  <c r="AF9" i="6"/>
  <c r="AE9" i="6"/>
  <c r="AD9" i="6"/>
  <c r="AC9" i="6"/>
  <c r="AB9" i="6"/>
  <c r="AA9" i="6"/>
  <c r="Z9" i="6"/>
  <c r="Y9" i="6"/>
  <c r="X9" i="6"/>
  <c r="W9" i="6"/>
  <c r="V9" i="6"/>
  <c r="U9" i="6"/>
  <c r="T9" i="6"/>
  <c r="S9" i="6"/>
  <c r="R9" i="6"/>
  <c r="Q9" i="6"/>
  <c r="P9" i="6"/>
  <c r="O9" i="6"/>
  <c r="N9" i="6"/>
  <c r="M9" i="6"/>
  <c r="L9" i="6"/>
  <c r="K9" i="6"/>
  <c r="J9" i="6"/>
  <c r="I9" i="6"/>
  <c r="H9" i="6"/>
  <c r="G9" i="6"/>
  <c r="F9" i="6"/>
  <c r="E9" i="6"/>
  <c r="D9" i="6"/>
  <c r="C9" i="6"/>
  <c r="AL3" i="6"/>
  <c r="AK3" i="6"/>
  <c r="AJ3" i="6"/>
  <c r="AI3" i="6"/>
  <c r="AH3" i="6"/>
  <c r="AG3" i="6"/>
  <c r="AF3" i="6"/>
  <c r="AE3" i="6"/>
  <c r="AD3" i="6"/>
  <c r="AC3" i="6"/>
  <c r="AB3" i="6"/>
  <c r="AA3" i="6"/>
  <c r="Z3" i="6"/>
  <c r="Y3" i="6"/>
  <c r="X3" i="6"/>
  <c r="W3" i="6"/>
  <c r="V3" i="6"/>
  <c r="U3" i="6"/>
  <c r="T3" i="6"/>
  <c r="S3" i="6"/>
  <c r="R3" i="6"/>
  <c r="Q3" i="6"/>
  <c r="P3" i="6"/>
  <c r="O3" i="6"/>
  <c r="N3" i="6"/>
  <c r="M3" i="6"/>
  <c r="L3" i="6"/>
  <c r="K3" i="6"/>
  <c r="J3" i="6"/>
  <c r="I3" i="6"/>
  <c r="H3" i="6"/>
  <c r="G3" i="6"/>
  <c r="F3" i="6"/>
  <c r="E3" i="6"/>
  <c r="D3" i="6"/>
  <c r="C3" i="6"/>
  <c r="BJ45" i="22"/>
  <c r="BI45" i="22"/>
  <c r="BH45" i="22"/>
  <c r="BG45" i="22"/>
  <c r="BF45" i="22"/>
  <c r="BE45" i="22"/>
  <c r="BD45" i="22"/>
  <c r="BC45" i="22"/>
  <c r="BB45" i="22"/>
  <c r="BA45" i="22"/>
  <c r="AZ45" i="22"/>
  <c r="AY45" i="22"/>
  <c r="AX45" i="22"/>
  <c r="AW45" i="22"/>
  <c r="AV45" i="22"/>
  <c r="AU45" i="22"/>
  <c r="AT45" i="22"/>
  <c r="AS45" i="22"/>
  <c r="AR45" i="22"/>
  <c r="AQ45" i="22"/>
  <c r="AP45" i="22"/>
  <c r="AO45" i="22"/>
  <c r="AN45" i="22"/>
  <c r="AM45" i="22"/>
  <c r="AL45" i="22"/>
  <c r="AK45" i="22"/>
  <c r="AJ45" i="22"/>
  <c r="AI45" i="22"/>
  <c r="AH45" i="22"/>
  <c r="AG45" i="22"/>
  <c r="AF45" i="22"/>
  <c r="AE45" i="22"/>
  <c r="AD45" i="22"/>
  <c r="AC45" i="22"/>
  <c r="AB45" i="22"/>
  <c r="AA45" i="22"/>
  <c r="Z45" i="22"/>
  <c r="Y45" i="22"/>
  <c r="X45" i="22"/>
  <c r="W45" i="22"/>
  <c r="V45" i="22"/>
  <c r="U45" i="22"/>
  <c r="T45" i="22"/>
  <c r="S45" i="22"/>
  <c r="R45" i="22"/>
  <c r="Q45" i="22"/>
  <c r="P45" i="22"/>
  <c r="O45" i="22"/>
  <c r="N45" i="22"/>
  <c r="M45" i="22"/>
  <c r="L45" i="22"/>
  <c r="K45" i="22"/>
  <c r="J45" i="22"/>
  <c r="I45" i="22"/>
  <c r="H45" i="22"/>
  <c r="G45" i="22"/>
  <c r="F45" i="22"/>
  <c r="E45" i="22"/>
  <c r="D45" i="22"/>
  <c r="C45" i="22"/>
  <c r="BJ39" i="22"/>
  <c r="BI39" i="22"/>
  <c r="BH39" i="22"/>
  <c r="BG39" i="22"/>
  <c r="BF39" i="22"/>
  <c r="BE39" i="22"/>
  <c r="BD39" i="22"/>
  <c r="BC39" i="22"/>
  <c r="BB39" i="22"/>
  <c r="BA39" i="22"/>
  <c r="AZ39" i="22"/>
  <c r="AY39" i="22"/>
  <c r="AX39" i="22"/>
  <c r="AW39" i="22"/>
  <c r="AV39" i="22"/>
  <c r="AU39" i="22"/>
  <c r="AT39" i="22"/>
  <c r="AS39" i="22"/>
  <c r="AR39" i="22"/>
  <c r="AQ39" i="22"/>
  <c r="AP39" i="22"/>
  <c r="AO39" i="22"/>
  <c r="AN39" i="22"/>
  <c r="AM39" i="22"/>
  <c r="AL39" i="22"/>
  <c r="AK39" i="22"/>
  <c r="AJ39" i="22"/>
  <c r="AI39" i="22"/>
  <c r="AH39" i="22"/>
  <c r="AG39" i="22"/>
  <c r="AF39" i="22"/>
  <c r="AE39" i="22"/>
  <c r="AD39" i="22"/>
  <c r="AC39" i="22"/>
  <c r="AB39" i="22"/>
  <c r="AA39" i="22"/>
  <c r="Z39" i="22"/>
  <c r="Y39" i="22"/>
  <c r="X39" i="22"/>
  <c r="W39" i="22"/>
  <c r="V39" i="22"/>
  <c r="U39" i="22"/>
  <c r="T39" i="22"/>
  <c r="S39" i="22"/>
  <c r="R39" i="22"/>
  <c r="Q39" i="22"/>
  <c r="P39" i="22"/>
  <c r="O39" i="22"/>
  <c r="N39" i="22"/>
  <c r="M39" i="22"/>
  <c r="L39" i="22"/>
  <c r="K39" i="22"/>
  <c r="J39" i="22"/>
  <c r="I39" i="22"/>
  <c r="H39" i="22"/>
  <c r="G39" i="22"/>
  <c r="F39" i="22"/>
  <c r="E39" i="22"/>
  <c r="D39" i="22"/>
  <c r="C39" i="22"/>
  <c r="BJ33" i="22"/>
  <c r="BI33" i="22"/>
  <c r="BH33" i="22"/>
  <c r="BG33" i="22"/>
  <c r="BF33" i="22"/>
  <c r="BE33" i="22"/>
  <c r="BD33" i="22"/>
  <c r="BC33" i="22"/>
  <c r="BB33" i="22"/>
  <c r="BA33" i="22"/>
  <c r="AZ33" i="22"/>
  <c r="AY33" i="22"/>
  <c r="AX33" i="22"/>
  <c r="AW33" i="22"/>
  <c r="AV33" i="22"/>
  <c r="AU33" i="22"/>
  <c r="AT33" i="22"/>
  <c r="AS33" i="22"/>
  <c r="AR33" i="22"/>
  <c r="AQ33" i="22"/>
  <c r="AP33" i="22"/>
  <c r="AO33" i="22"/>
  <c r="AN33" i="22"/>
  <c r="AM33" i="22"/>
  <c r="AL33" i="22"/>
  <c r="AK33" i="22"/>
  <c r="AJ33" i="22"/>
  <c r="AI33" i="22"/>
  <c r="AH33" i="22"/>
  <c r="AG33" i="22"/>
  <c r="AF33" i="22"/>
  <c r="AE33" i="22"/>
  <c r="AD33" i="22"/>
  <c r="AC33" i="22"/>
  <c r="AB33" i="22"/>
  <c r="AA33" i="22"/>
  <c r="Z33" i="22"/>
  <c r="Y33" i="22"/>
  <c r="X33" i="22"/>
  <c r="W33" i="22"/>
  <c r="V33" i="22"/>
  <c r="U33" i="22"/>
  <c r="T33" i="22"/>
  <c r="S33" i="22"/>
  <c r="R33" i="22"/>
  <c r="Q33" i="22"/>
  <c r="P33" i="22"/>
  <c r="O33" i="22"/>
  <c r="N33" i="22"/>
  <c r="M33" i="22"/>
  <c r="L33" i="22"/>
  <c r="K33" i="22"/>
  <c r="J33" i="22"/>
  <c r="I33" i="22"/>
  <c r="H33" i="22"/>
  <c r="G33" i="22"/>
  <c r="F33" i="22"/>
  <c r="E33" i="22"/>
  <c r="D33" i="22"/>
  <c r="C33" i="22"/>
  <c r="BJ27" i="22"/>
  <c r="BI27" i="22"/>
  <c r="BH27" i="22"/>
  <c r="BG27" i="22"/>
  <c r="BF27" i="22"/>
  <c r="BE27" i="22"/>
  <c r="BD27" i="22"/>
  <c r="BC27" i="22"/>
  <c r="BB27" i="22"/>
  <c r="BA27" i="22"/>
  <c r="AZ27" i="22"/>
  <c r="AY27" i="22"/>
  <c r="AX27" i="22"/>
  <c r="AW27" i="22"/>
  <c r="AV27" i="22"/>
  <c r="AU27" i="22"/>
  <c r="AT27" i="22"/>
  <c r="AS27" i="22"/>
  <c r="AR27" i="22"/>
  <c r="AQ27" i="22"/>
  <c r="AP27" i="22"/>
  <c r="AO27" i="22"/>
  <c r="AN27" i="22"/>
  <c r="AM27" i="22"/>
  <c r="AL27" i="22"/>
  <c r="AK27" i="22"/>
  <c r="AJ27" i="22"/>
  <c r="AI27" i="22"/>
  <c r="AH27" i="22"/>
  <c r="AG27" i="22"/>
  <c r="AF27" i="22"/>
  <c r="AE27" i="22"/>
  <c r="AD27" i="22"/>
  <c r="AC27" i="22"/>
  <c r="AB27" i="22"/>
  <c r="AA27" i="22"/>
  <c r="Z27" i="22"/>
  <c r="Y27" i="22"/>
  <c r="X27" i="22"/>
  <c r="W27" i="22"/>
  <c r="V27" i="22"/>
  <c r="U27" i="22"/>
  <c r="T27" i="22"/>
  <c r="S27" i="22"/>
  <c r="R27" i="22"/>
  <c r="Q27" i="22"/>
  <c r="P27" i="22"/>
  <c r="O27" i="22"/>
  <c r="N27" i="22"/>
  <c r="M27" i="22"/>
  <c r="L27" i="22"/>
  <c r="K27" i="22"/>
  <c r="J27" i="22"/>
  <c r="I27" i="22"/>
  <c r="H27" i="22"/>
  <c r="G27" i="22"/>
  <c r="F27" i="22"/>
  <c r="E27" i="22"/>
  <c r="D27" i="22"/>
  <c r="C27" i="22"/>
  <c r="BJ21" i="22"/>
  <c r="BI21" i="22"/>
  <c r="BH21" i="22"/>
  <c r="BG21" i="22"/>
  <c r="BF21" i="22"/>
  <c r="BE21" i="22"/>
  <c r="BD21" i="22"/>
  <c r="BC21" i="22"/>
  <c r="BB21" i="22"/>
  <c r="BA21" i="22"/>
  <c r="AZ21" i="22"/>
  <c r="AY21" i="22"/>
  <c r="AX21" i="22"/>
  <c r="AW21" i="22"/>
  <c r="AV21" i="22"/>
  <c r="AU21" i="22"/>
  <c r="AT21" i="22"/>
  <c r="AS21" i="22"/>
  <c r="AR21" i="22"/>
  <c r="AQ21" i="22"/>
  <c r="AP21" i="22"/>
  <c r="AO21" i="22"/>
  <c r="AN21" i="22"/>
  <c r="AM21" i="22"/>
  <c r="AL21" i="22"/>
  <c r="AK21" i="22"/>
  <c r="AJ21" i="22"/>
  <c r="AI21" i="22"/>
  <c r="AH21" i="22"/>
  <c r="AG21" i="22"/>
  <c r="AF21" i="22"/>
  <c r="AE21" i="22"/>
  <c r="AD21" i="22"/>
  <c r="AC21" i="22"/>
  <c r="AB21" i="22"/>
  <c r="AA21" i="22"/>
  <c r="Z21" i="22"/>
  <c r="Y21" i="22"/>
  <c r="X21" i="22"/>
  <c r="W21" i="22"/>
  <c r="V21" i="22"/>
  <c r="U21" i="22"/>
  <c r="T21" i="22"/>
  <c r="S21" i="22"/>
  <c r="R21" i="22"/>
  <c r="Q21" i="22"/>
  <c r="P21" i="22"/>
  <c r="O21" i="22"/>
  <c r="N21" i="22"/>
  <c r="M21" i="22"/>
  <c r="L21" i="22"/>
  <c r="K21" i="22"/>
  <c r="J21" i="22"/>
  <c r="I21" i="22"/>
  <c r="H21" i="22"/>
  <c r="G21" i="22"/>
  <c r="F21" i="22"/>
  <c r="E21" i="22"/>
  <c r="D21" i="22"/>
  <c r="C21" i="22"/>
  <c r="BJ15" i="22"/>
  <c r="BI15" i="22"/>
  <c r="BH15" i="22"/>
  <c r="BG15" i="22"/>
  <c r="BF15" i="22"/>
  <c r="BE15" i="22"/>
  <c r="BD15" i="22"/>
  <c r="BC15" i="22"/>
  <c r="BB15" i="22"/>
  <c r="BA15" i="22"/>
  <c r="AZ15" i="22"/>
  <c r="AY15" i="22"/>
  <c r="AX15" i="22"/>
  <c r="AW15" i="22"/>
  <c r="AV15" i="22"/>
  <c r="AU15" i="22"/>
  <c r="AT15" i="22"/>
  <c r="AS15" i="22"/>
  <c r="AR15" i="22"/>
  <c r="AQ15" i="22"/>
  <c r="AP15" i="22"/>
  <c r="AO15" i="22"/>
  <c r="AN15" i="22"/>
  <c r="AM15" i="22"/>
  <c r="AL15" i="22"/>
  <c r="AK15" i="22"/>
  <c r="AJ15" i="22"/>
  <c r="AI15" i="22"/>
  <c r="AH15" i="22"/>
  <c r="AG15" i="22"/>
  <c r="AF15" i="22"/>
  <c r="AE15" i="22"/>
  <c r="AD15" i="22"/>
  <c r="AC15" i="22"/>
  <c r="AB15" i="22"/>
  <c r="AA15" i="22"/>
  <c r="Z15" i="22"/>
  <c r="Y15" i="22"/>
  <c r="X15" i="22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G15" i="22"/>
  <c r="F15" i="22"/>
  <c r="E15" i="22"/>
  <c r="D15" i="22"/>
  <c r="C15" i="22"/>
  <c r="BJ9" i="22"/>
  <c r="BI9" i="22"/>
  <c r="BH9" i="22"/>
  <c r="BG9" i="22"/>
  <c r="BF9" i="22"/>
  <c r="BE9" i="22"/>
  <c r="BD9" i="22"/>
  <c r="BC9" i="22"/>
  <c r="BB9" i="22"/>
  <c r="BA9" i="22"/>
  <c r="AZ9" i="22"/>
  <c r="AY9" i="22"/>
  <c r="AX9" i="22"/>
  <c r="AW9" i="22"/>
  <c r="AV9" i="22"/>
  <c r="AU9" i="22"/>
  <c r="AT9" i="22"/>
  <c r="AS9" i="22"/>
  <c r="AR9" i="22"/>
  <c r="AQ9" i="22"/>
  <c r="AP9" i="22"/>
  <c r="AO9" i="22"/>
  <c r="AN9" i="22"/>
  <c r="AM9" i="22"/>
  <c r="AL9" i="22"/>
  <c r="AK9" i="22"/>
  <c r="AJ9" i="22"/>
  <c r="AI9" i="22"/>
  <c r="AH9" i="22"/>
  <c r="AG9" i="22"/>
  <c r="AF9" i="22"/>
  <c r="AE9" i="22"/>
  <c r="AD9" i="22"/>
  <c r="AC9" i="22"/>
  <c r="AB9" i="22"/>
  <c r="AA9" i="22"/>
  <c r="Z9" i="22"/>
  <c r="Y9" i="22"/>
  <c r="X9" i="22"/>
  <c r="W9" i="22"/>
  <c r="V9" i="22"/>
  <c r="U9" i="22"/>
  <c r="T9" i="22"/>
  <c r="S9" i="22"/>
  <c r="R9" i="22"/>
  <c r="Q9" i="22"/>
  <c r="P9" i="22"/>
  <c r="O9" i="22"/>
  <c r="N9" i="22"/>
  <c r="M9" i="22"/>
  <c r="L9" i="22"/>
  <c r="K9" i="22"/>
  <c r="J9" i="22"/>
  <c r="I9" i="22"/>
  <c r="H9" i="22"/>
  <c r="G9" i="22"/>
  <c r="F9" i="22"/>
  <c r="E9" i="22"/>
  <c r="D9" i="22"/>
  <c r="C9" i="22"/>
  <c r="BJ3" i="22"/>
  <c r="BI3" i="22"/>
  <c r="BH3" i="22"/>
  <c r="BG3" i="22"/>
  <c r="BF3" i="22"/>
  <c r="BE3" i="22"/>
  <c r="BD3" i="22"/>
  <c r="BC3" i="22"/>
  <c r="BB3" i="22"/>
  <c r="BA3" i="22"/>
  <c r="AZ3" i="22"/>
  <c r="AY3" i="22"/>
  <c r="AX3" i="22"/>
  <c r="AW3" i="22"/>
  <c r="AV3" i="22"/>
  <c r="AU3" i="22"/>
  <c r="AT3" i="22"/>
  <c r="AS3" i="22"/>
  <c r="AR3" i="22"/>
  <c r="AQ3" i="22"/>
  <c r="AP3" i="22"/>
  <c r="AO3" i="22"/>
  <c r="AN3" i="22"/>
  <c r="AM3" i="22"/>
  <c r="AL3" i="22"/>
  <c r="AK3" i="22"/>
  <c r="AJ3" i="22"/>
  <c r="AI3" i="22"/>
  <c r="AH3" i="22"/>
  <c r="AG3" i="22"/>
  <c r="AF3" i="22"/>
  <c r="AE3" i="22"/>
  <c r="AD3" i="22"/>
  <c r="AC3" i="22"/>
  <c r="AB3" i="22"/>
  <c r="AA3" i="22"/>
  <c r="Z3" i="22"/>
  <c r="Y3" i="22"/>
  <c r="X3" i="22"/>
  <c r="W3" i="22"/>
  <c r="V3" i="22"/>
  <c r="U3" i="22"/>
  <c r="T3" i="22"/>
  <c r="S3" i="22"/>
  <c r="R3" i="22"/>
  <c r="Q3" i="22"/>
  <c r="P3" i="22"/>
  <c r="O3" i="22"/>
  <c r="N3" i="22"/>
  <c r="M3" i="22"/>
  <c r="L3" i="22"/>
  <c r="K3" i="22"/>
  <c r="J3" i="22"/>
  <c r="I3" i="22"/>
  <c r="H3" i="22"/>
  <c r="G3" i="22"/>
  <c r="F3" i="22"/>
  <c r="E3" i="22"/>
  <c r="D3" i="22"/>
  <c r="C3" i="22"/>
  <c r="BJ3" i="25"/>
  <c r="BI3" i="25"/>
  <c r="BH3" i="25"/>
  <c r="BG3" i="25"/>
  <c r="BF3" i="25"/>
  <c r="BE3" i="25"/>
  <c r="BD3" i="25"/>
  <c r="BC3" i="25"/>
  <c r="BB3" i="25"/>
  <c r="BA3" i="25"/>
  <c r="AZ3" i="25"/>
  <c r="AY3" i="25"/>
  <c r="AX3" i="25"/>
  <c r="AW3" i="25"/>
  <c r="AV3" i="25"/>
  <c r="AU3" i="25"/>
  <c r="AT3" i="25"/>
  <c r="AS3" i="25"/>
  <c r="AR3" i="25"/>
  <c r="AQ3" i="25"/>
  <c r="AP3" i="25"/>
  <c r="AO3" i="25"/>
  <c r="AN3" i="25"/>
  <c r="AM3" i="25"/>
  <c r="AL3" i="25"/>
  <c r="AK3" i="25"/>
  <c r="AJ3" i="25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V3" i="25"/>
  <c r="U3" i="25"/>
  <c r="T3" i="25"/>
  <c r="S3" i="25"/>
  <c r="R3" i="25"/>
  <c r="Q3" i="25"/>
  <c r="P3" i="25"/>
  <c r="O3" i="25"/>
  <c r="N3" i="25"/>
  <c r="M3" i="25"/>
  <c r="L3" i="25"/>
  <c r="K3" i="25"/>
  <c r="J3" i="25"/>
  <c r="I3" i="25"/>
  <c r="H3" i="25"/>
  <c r="G3" i="25"/>
  <c r="F3" i="25"/>
  <c r="E3" i="25"/>
  <c r="D3" i="25"/>
  <c r="C3" i="25"/>
  <c r="BJ9" i="25"/>
  <c r="BI9" i="25"/>
  <c r="BH9" i="25"/>
  <c r="BG9" i="25"/>
  <c r="BF9" i="25"/>
  <c r="BE9" i="25"/>
  <c r="BD9" i="25"/>
  <c r="BC9" i="25"/>
  <c r="BB9" i="25"/>
  <c r="BA9" i="25"/>
  <c r="AZ9" i="25"/>
  <c r="AY9" i="25"/>
  <c r="AX9" i="25"/>
  <c r="AW9" i="25"/>
  <c r="AV9" i="25"/>
  <c r="AU9" i="25"/>
  <c r="AT9" i="25"/>
  <c r="AS9" i="25"/>
  <c r="AR9" i="25"/>
  <c r="AQ9" i="25"/>
  <c r="AP9" i="25"/>
  <c r="AO9" i="25"/>
  <c r="AN9" i="25"/>
  <c r="AM9" i="25"/>
  <c r="AL9" i="25"/>
  <c r="AK9" i="25"/>
  <c r="AJ9" i="25"/>
  <c r="AI9" i="25"/>
  <c r="AH9" i="25"/>
  <c r="AG9" i="25"/>
  <c r="AF9" i="25"/>
  <c r="AE9" i="25"/>
  <c r="AD9" i="25"/>
  <c r="AC9" i="25"/>
  <c r="AB9" i="25"/>
  <c r="AA9" i="25"/>
  <c r="Z9" i="25"/>
  <c r="Y9" i="25"/>
  <c r="X9" i="25"/>
  <c r="W9" i="25"/>
  <c r="V9" i="25"/>
  <c r="U9" i="25"/>
  <c r="T9" i="25"/>
  <c r="S9" i="25"/>
  <c r="R9" i="25"/>
  <c r="Q9" i="25"/>
  <c r="P9" i="25"/>
  <c r="O9" i="25"/>
  <c r="N9" i="25"/>
  <c r="M9" i="25"/>
  <c r="L9" i="25"/>
  <c r="K9" i="25"/>
  <c r="J9" i="25"/>
  <c r="I9" i="25"/>
  <c r="H9" i="25"/>
  <c r="G9" i="25"/>
  <c r="F9" i="25"/>
  <c r="E9" i="25"/>
  <c r="D9" i="25"/>
  <c r="C9" i="25"/>
  <c r="BJ3" i="20"/>
  <c r="BI3" i="20"/>
  <c r="BH3" i="20"/>
  <c r="BG3" i="20"/>
  <c r="BF3" i="20"/>
  <c r="BE3" i="20"/>
  <c r="BD3" i="20"/>
  <c r="BC3" i="20"/>
  <c r="BB3" i="20"/>
  <c r="BA3" i="20"/>
  <c r="AZ3" i="20"/>
  <c r="AY3" i="20"/>
  <c r="AX3" i="20"/>
  <c r="AW3" i="20"/>
  <c r="AV3" i="20"/>
  <c r="AU3" i="20"/>
  <c r="AT3" i="20"/>
  <c r="AS3" i="20"/>
  <c r="AR3" i="20"/>
  <c r="AQ3" i="20"/>
  <c r="AP3" i="20"/>
  <c r="AO3" i="20"/>
  <c r="AN3" i="20"/>
  <c r="AM3" i="20"/>
  <c r="AL3" i="20"/>
  <c r="AK3" i="20"/>
  <c r="AJ3" i="20"/>
  <c r="AI3" i="20"/>
  <c r="AH3" i="20"/>
  <c r="AG3" i="20"/>
  <c r="AF3" i="20"/>
  <c r="AE3" i="20"/>
  <c r="AD3" i="20"/>
  <c r="AC3" i="20"/>
  <c r="AB3" i="20"/>
  <c r="AA3" i="20"/>
  <c r="Z3" i="20"/>
  <c r="Y3" i="20"/>
  <c r="X3" i="20"/>
  <c r="W3" i="20"/>
  <c r="V3" i="20"/>
  <c r="U3" i="20"/>
  <c r="T3" i="20"/>
  <c r="S3" i="20"/>
  <c r="R3" i="20"/>
  <c r="Q3" i="20"/>
  <c r="P3" i="20"/>
  <c r="O3" i="20"/>
  <c r="N3" i="20"/>
  <c r="M3" i="20"/>
  <c r="L3" i="20"/>
  <c r="K3" i="20"/>
  <c r="J3" i="20"/>
  <c r="I3" i="20"/>
  <c r="H3" i="20"/>
  <c r="G3" i="20"/>
  <c r="F3" i="20"/>
  <c r="E3" i="20"/>
  <c r="D3" i="20"/>
  <c r="C3" i="20"/>
  <c r="BJ9" i="20"/>
  <c r="BI9" i="20"/>
  <c r="BH9" i="20"/>
  <c r="BG9" i="20"/>
  <c r="BF9" i="20"/>
  <c r="BE9" i="20"/>
  <c r="BD9" i="20"/>
  <c r="BC9" i="20"/>
  <c r="BB9" i="20"/>
  <c r="BA9" i="20"/>
  <c r="AZ9" i="20"/>
  <c r="AY9" i="20"/>
  <c r="AX9" i="20"/>
  <c r="AW9" i="20"/>
  <c r="AV9" i="20"/>
  <c r="AU9" i="20"/>
  <c r="AT9" i="20"/>
  <c r="AS9" i="20"/>
  <c r="AR9" i="20"/>
  <c r="AQ9" i="20"/>
  <c r="AP9" i="20"/>
  <c r="AO9" i="20"/>
  <c r="AN9" i="20"/>
  <c r="AM9" i="20"/>
  <c r="AL9" i="20"/>
  <c r="AK9" i="20"/>
  <c r="AJ9" i="20"/>
  <c r="AI9" i="20"/>
  <c r="AH9" i="20"/>
  <c r="AG9" i="20"/>
  <c r="AF9" i="20"/>
  <c r="AE9" i="20"/>
  <c r="AD9" i="20"/>
  <c r="AC9" i="20"/>
  <c r="AB9" i="20"/>
  <c r="AA9" i="20"/>
  <c r="Z9" i="20"/>
  <c r="Y9" i="20"/>
  <c r="X9" i="20"/>
  <c r="W9" i="20"/>
  <c r="V9" i="20"/>
  <c r="U9" i="20"/>
  <c r="T9" i="20"/>
  <c r="S9" i="20"/>
  <c r="R9" i="20"/>
  <c r="Q9" i="20"/>
  <c r="P9" i="20"/>
  <c r="O9" i="20"/>
  <c r="N9" i="20"/>
  <c r="M9" i="20"/>
  <c r="L9" i="20"/>
  <c r="K9" i="20"/>
  <c r="J9" i="20"/>
  <c r="I9" i="20"/>
  <c r="H9" i="20"/>
  <c r="G9" i="20"/>
  <c r="F9" i="20"/>
  <c r="E9" i="20"/>
  <c r="D9" i="20"/>
  <c r="C9" i="20"/>
  <c r="BJ15" i="11"/>
  <c r="BI15" i="11"/>
  <c r="BH15" i="11"/>
  <c r="BG15" i="11"/>
  <c r="BF15" i="11"/>
  <c r="BE15" i="11"/>
  <c r="BD15" i="11"/>
  <c r="BC15" i="11"/>
  <c r="BB15" i="11"/>
  <c r="BA15" i="11"/>
  <c r="AZ15" i="11"/>
  <c r="AY15" i="11"/>
  <c r="AX15" i="11"/>
  <c r="AW15" i="11"/>
  <c r="AV15" i="11"/>
  <c r="AU15" i="11"/>
  <c r="AT15" i="11"/>
  <c r="AS15" i="11"/>
  <c r="AR15" i="11"/>
  <c r="AQ15" i="11"/>
  <c r="AP15" i="11"/>
  <c r="AO15" i="11"/>
  <c r="AN15" i="11"/>
  <c r="AM15" i="11"/>
  <c r="AM79" i="23" s="1"/>
  <c r="AL15" i="11"/>
  <c r="AL79" i="23" s="1"/>
  <c r="AK15" i="11"/>
  <c r="AK79" i="23" s="1"/>
  <c r="AJ15" i="11"/>
  <c r="AJ79" i="23" s="1"/>
  <c r="AI15" i="11"/>
  <c r="AI79" i="23" s="1"/>
  <c r="AH15" i="11"/>
  <c r="AH79" i="23" s="1"/>
  <c r="AG15" i="11"/>
  <c r="AG79" i="23" s="1"/>
  <c r="AF15" i="11"/>
  <c r="AF79" i="23" s="1"/>
  <c r="AE15" i="11"/>
  <c r="AE79" i="23" s="1"/>
  <c r="AD15" i="11"/>
  <c r="AD79" i="23" s="1"/>
  <c r="AC15" i="11"/>
  <c r="AC79" i="23" s="1"/>
  <c r="AB15" i="11"/>
  <c r="AB79" i="23" s="1"/>
  <c r="AA15" i="11"/>
  <c r="AA79" i="23" s="1"/>
  <c r="Z15" i="11"/>
  <c r="Z79" i="23" s="1"/>
  <c r="Y15" i="11"/>
  <c r="Y79" i="23" s="1"/>
  <c r="X15" i="11"/>
  <c r="X79" i="23" s="1"/>
  <c r="W15" i="11"/>
  <c r="W79" i="23" s="1"/>
  <c r="V15" i="11"/>
  <c r="V79" i="23" s="1"/>
  <c r="U15" i="11"/>
  <c r="U79" i="23" s="1"/>
  <c r="T15" i="11"/>
  <c r="T79" i="23" s="1"/>
  <c r="S15" i="11"/>
  <c r="S79" i="23" s="1"/>
  <c r="R15" i="11"/>
  <c r="R79" i="23" s="1"/>
  <c r="Q15" i="11"/>
  <c r="Q79" i="23" s="1"/>
  <c r="P15" i="11"/>
  <c r="P79" i="23" s="1"/>
  <c r="O15" i="11"/>
  <c r="O79" i="23" s="1"/>
  <c r="N15" i="11"/>
  <c r="N79" i="23" s="1"/>
  <c r="M15" i="11"/>
  <c r="M79" i="23" s="1"/>
  <c r="L15" i="11"/>
  <c r="L79" i="23" s="1"/>
  <c r="K15" i="11"/>
  <c r="K79" i="23" s="1"/>
  <c r="J15" i="11"/>
  <c r="J79" i="23" s="1"/>
  <c r="I15" i="11"/>
  <c r="I79" i="23" s="1"/>
  <c r="H15" i="11"/>
  <c r="H79" i="23" s="1"/>
  <c r="G15" i="11"/>
  <c r="G79" i="23" s="1"/>
  <c r="F15" i="11"/>
  <c r="F79" i="23" s="1"/>
  <c r="E15" i="11"/>
  <c r="E79" i="23" s="1"/>
  <c r="D15" i="11"/>
  <c r="D79" i="23" s="1"/>
  <c r="C15" i="11"/>
  <c r="C79" i="23" s="1"/>
  <c r="AL9" i="11"/>
  <c r="AK9" i="11"/>
  <c r="AJ9" i="11"/>
  <c r="AI9" i="11"/>
  <c r="AH9" i="11"/>
  <c r="AG9" i="11"/>
  <c r="AF9" i="11"/>
  <c r="AE9" i="11"/>
  <c r="AD9" i="11"/>
  <c r="AC9" i="11"/>
  <c r="AB9" i="11"/>
  <c r="AA9" i="11"/>
  <c r="F14" i="27" s="1"/>
  <c r="F16" i="27" s="1"/>
  <c r="Z9" i="11"/>
  <c r="Y9" i="11"/>
  <c r="X9" i="11"/>
  <c r="W9" i="11"/>
  <c r="V9" i="11"/>
  <c r="U9" i="11"/>
  <c r="T9" i="11"/>
  <c r="S9" i="11"/>
  <c r="R9" i="11"/>
  <c r="Q9" i="11"/>
  <c r="P9" i="11"/>
  <c r="O9" i="11"/>
  <c r="E14" i="27" s="1"/>
  <c r="E16" i="27" s="1"/>
  <c r="N9" i="11"/>
  <c r="M9" i="11"/>
  <c r="L9" i="11"/>
  <c r="K9" i="11"/>
  <c r="J9" i="11"/>
  <c r="I9" i="11"/>
  <c r="H9" i="11"/>
  <c r="G9" i="11"/>
  <c r="F9" i="11"/>
  <c r="E9" i="11"/>
  <c r="D9" i="11"/>
  <c r="C9" i="11"/>
  <c r="BJ9" i="2"/>
  <c r="BI9" i="2"/>
  <c r="BH9" i="2"/>
  <c r="BG9" i="2"/>
  <c r="BF9" i="2"/>
  <c r="BE9" i="2"/>
  <c r="BD9" i="2"/>
  <c r="BC9" i="2"/>
  <c r="BB9" i="2"/>
  <c r="BA9" i="2"/>
  <c r="AZ9" i="2"/>
  <c r="AY9" i="2"/>
  <c r="AX9" i="2"/>
  <c r="AW9" i="2"/>
  <c r="AV9" i="2"/>
  <c r="AU9" i="2"/>
  <c r="AT9" i="2"/>
  <c r="AS9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K27" i="13" l="1"/>
  <c r="AM27" i="26"/>
  <c r="AL27" i="26"/>
  <c r="AK27" i="26"/>
  <c r="AJ27" i="26"/>
  <c r="AI27" i="26"/>
  <c r="AH27" i="26"/>
  <c r="AG27" i="26"/>
  <c r="AF27" i="26"/>
  <c r="AE27" i="26"/>
  <c r="AD27" i="26"/>
  <c r="AC27" i="26"/>
  <c r="AB27" i="26"/>
  <c r="AA27" i="26"/>
  <c r="Z27" i="26"/>
  <c r="Y27" i="26"/>
  <c r="X27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BK25" i="26"/>
  <c r="BJ25" i="26"/>
  <c r="BI25" i="26"/>
  <c r="BH25" i="26"/>
  <c r="BG25" i="26"/>
  <c r="BF25" i="26"/>
  <c r="BE25" i="26"/>
  <c r="BD25" i="26"/>
  <c r="BC25" i="26"/>
  <c r="BB25" i="26"/>
  <c r="BA25" i="26"/>
  <c r="AZ25" i="26"/>
  <c r="AY25" i="26"/>
  <c r="AX25" i="26"/>
  <c r="AW25" i="26"/>
  <c r="AV25" i="26"/>
  <c r="AU25" i="26"/>
  <c r="AT25" i="26"/>
  <c r="AS25" i="26"/>
  <c r="AR25" i="26"/>
  <c r="AQ25" i="26"/>
  <c r="AP25" i="26"/>
  <c r="AO25" i="26"/>
  <c r="AN25" i="26"/>
  <c r="AM25" i="26"/>
  <c r="AL25" i="26"/>
  <c r="AK25" i="26"/>
  <c r="AJ25" i="26"/>
  <c r="AI25" i="26"/>
  <c r="AH25" i="26"/>
  <c r="AG25" i="26"/>
  <c r="AF25" i="26"/>
  <c r="AE25" i="26"/>
  <c r="AD25" i="26"/>
  <c r="AC25" i="26"/>
  <c r="AB25" i="26"/>
  <c r="AA25" i="26"/>
  <c r="Z25" i="26"/>
  <c r="Y25" i="26"/>
  <c r="X25" i="26"/>
  <c r="W25" i="26"/>
  <c r="V25" i="26"/>
  <c r="U25" i="26"/>
  <c r="T25" i="26"/>
  <c r="S25" i="26"/>
  <c r="R25" i="26"/>
  <c r="Q25" i="26"/>
  <c r="P25" i="26"/>
  <c r="O25" i="26"/>
  <c r="N25" i="26"/>
  <c r="M25" i="26"/>
  <c r="L25" i="26"/>
  <c r="K25" i="26"/>
  <c r="J25" i="26"/>
  <c r="I25" i="26"/>
  <c r="H25" i="26"/>
  <c r="G25" i="26"/>
  <c r="F25" i="26"/>
  <c r="E25" i="26"/>
  <c r="AM17" i="26"/>
  <c r="AL17" i="26"/>
  <c r="AK17" i="26"/>
  <c r="AJ17" i="26"/>
  <c r="AI17" i="26"/>
  <c r="AH17" i="26"/>
  <c r="AG17" i="26"/>
  <c r="AF17" i="26"/>
  <c r="AE17" i="26"/>
  <c r="AD17" i="26"/>
  <c r="AC17" i="26"/>
  <c r="AB17" i="26"/>
  <c r="AA17" i="26"/>
  <c r="Z17" i="26"/>
  <c r="Y17" i="26"/>
  <c r="X17" i="26"/>
  <c r="W17" i="26"/>
  <c r="V17" i="26"/>
  <c r="U17" i="26"/>
  <c r="T17" i="26"/>
  <c r="S17" i="26"/>
  <c r="R17" i="26"/>
  <c r="Q17" i="26"/>
  <c r="P17" i="26"/>
  <c r="O17" i="26"/>
  <c r="N17" i="26"/>
  <c r="M17" i="26"/>
  <c r="L17" i="26"/>
  <c r="K17" i="26"/>
  <c r="J17" i="26"/>
  <c r="I17" i="26"/>
  <c r="H17" i="26"/>
  <c r="G17" i="26"/>
  <c r="F17" i="26"/>
  <c r="E17" i="26"/>
  <c r="BK15" i="26"/>
  <c r="BJ15" i="26"/>
  <c r="BI15" i="26"/>
  <c r="BH15" i="26"/>
  <c r="BG15" i="26"/>
  <c r="BF15" i="26"/>
  <c r="BE15" i="26"/>
  <c r="BD15" i="26"/>
  <c r="BC15" i="26"/>
  <c r="BB15" i="26"/>
  <c r="BA15" i="26"/>
  <c r="AZ15" i="26"/>
  <c r="AY15" i="26"/>
  <c r="AX15" i="26"/>
  <c r="AW15" i="26"/>
  <c r="AV15" i="26"/>
  <c r="AU15" i="26"/>
  <c r="AT15" i="26"/>
  <c r="AS15" i="26"/>
  <c r="AR15" i="26"/>
  <c r="AQ15" i="26"/>
  <c r="AP15" i="26"/>
  <c r="AO15" i="26"/>
  <c r="AN15" i="26"/>
  <c r="AM15" i="26"/>
  <c r="AL15" i="26"/>
  <c r="AK15" i="26"/>
  <c r="AJ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E15" i="26"/>
  <c r="D27" i="26"/>
  <c r="D17" i="26"/>
  <c r="D25" i="26"/>
  <c r="D15" i="26"/>
  <c r="D23" i="26"/>
  <c r="BK13" i="26"/>
  <c r="BJ13" i="26"/>
  <c r="BI13" i="26"/>
  <c r="BH13" i="26"/>
  <c r="BG13" i="26"/>
  <c r="BF13" i="26"/>
  <c r="BE13" i="26"/>
  <c r="BD13" i="26"/>
  <c r="BC13" i="26"/>
  <c r="BB13" i="26"/>
  <c r="BA13" i="26"/>
  <c r="AZ13" i="26"/>
  <c r="AY13" i="26"/>
  <c r="AX13" i="26"/>
  <c r="AW13" i="26"/>
  <c r="AV13" i="26"/>
  <c r="AU13" i="26"/>
  <c r="AT13" i="26"/>
  <c r="AS13" i="26"/>
  <c r="AR13" i="26"/>
  <c r="AQ13" i="26"/>
  <c r="AP13" i="26"/>
  <c r="AO13" i="26"/>
  <c r="AN13" i="26"/>
  <c r="AM13" i="26"/>
  <c r="AL13" i="26"/>
  <c r="AK13" i="26"/>
  <c r="AJ13" i="26"/>
  <c r="AI13" i="26"/>
  <c r="AH13" i="26"/>
  <c r="AG13" i="26"/>
  <c r="AF13" i="26"/>
  <c r="AE13" i="26"/>
  <c r="AD13" i="26"/>
  <c r="AC13" i="26"/>
  <c r="AB13" i="26"/>
  <c r="AA13" i="26"/>
  <c r="Z13" i="26"/>
  <c r="Y13" i="26"/>
  <c r="X13" i="26"/>
  <c r="W13" i="26"/>
  <c r="V13" i="26"/>
  <c r="U13" i="26"/>
  <c r="T13" i="26"/>
  <c r="S13" i="26"/>
  <c r="R13" i="26"/>
  <c r="Q13" i="26"/>
  <c r="P13" i="26"/>
  <c r="O13" i="26"/>
  <c r="N13" i="26"/>
  <c r="M13" i="26"/>
  <c r="L13" i="26"/>
  <c r="K13" i="26"/>
  <c r="J13" i="26"/>
  <c r="I13" i="26"/>
  <c r="H13" i="26"/>
  <c r="G13" i="26"/>
  <c r="F13" i="26"/>
  <c r="E13" i="26"/>
  <c r="D13" i="26"/>
  <c r="BK23" i="26"/>
  <c r="BJ23" i="26"/>
  <c r="BI23" i="26"/>
  <c r="BH23" i="26"/>
  <c r="BG23" i="26"/>
  <c r="BF23" i="26"/>
  <c r="BE23" i="26"/>
  <c r="BD23" i="26"/>
  <c r="BC23" i="26"/>
  <c r="BB23" i="26"/>
  <c r="BA23" i="26"/>
  <c r="AZ23" i="26"/>
  <c r="AY23" i="26"/>
  <c r="AX23" i="26"/>
  <c r="AW23" i="26"/>
  <c r="AV23" i="26"/>
  <c r="AU23" i="26"/>
  <c r="AT23" i="26"/>
  <c r="AS23" i="26"/>
  <c r="AR23" i="26"/>
  <c r="AQ23" i="26"/>
  <c r="AP23" i="26"/>
  <c r="AO23" i="26"/>
  <c r="AN23" i="26"/>
  <c r="AM23" i="26"/>
  <c r="AL23" i="26"/>
  <c r="AK23" i="26"/>
  <c r="AJ23" i="26"/>
  <c r="AI23" i="26"/>
  <c r="AH23" i="26"/>
  <c r="AG23" i="26"/>
  <c r="AF23" i="26"/>
  <c r="AE23" i="26"/>
  <c r="AD23" i="26"/>
  <c r="AC23" i="26"/>
  <c r="AB23" i="26"/>
  <c r="AA23" i="26"/>
  <c r="Z23" i="26"/>
  <c r="Y23" i="26"/>
  <c r="X23" i="26"/>
  <c r="W23" i="26"/>
  <c r="V23" i="26"/>
  <c r="U23" i="26"/>
  <c r="T23" i="26"/>
  <c r="S23" i="26"/>
  <c r="R23" i="26"/>
  <c r="Q23" i="26"/>
  <c r="P23" i="26"/>
  <c r="O23" i="26"/>
  <c r="N23" i="26"/>
  <c r="M23" i="26"/>
  <c r="L23" i="26"/>
  <c r="K23" i="26"/>
  <c r="J23" i="26"/>
  <c r="I23" i="26"/>
  <c r="H23" i="26"/>
  <c r="G23" i="26"/>
  <c r="F23" i="26"/>
  <c r="E23" i="26"/>
  <c r="AM7" i="26"/>
  <c r="AL7" i="26"/>
  <c r="AK7" i="26"/>
  <c r="AJ7" i="26"/>
  <c r="AI7" i="26"/>
  <c r="AH7" i="26"/>
  <c r="AG7" i="26"/>
  <c r="AF7" i="26"/>
  <c r="AE7" i="26"/>
  <c r="AD7" i="26"/>
  <c r="AC7" i="26"/>
  <c r="AB7" i="26"/>
  <c r="AA7" i="26"/>
  <c r="Z7" i="26"/>
  <c r="Y7" i="26"/>
  <c r="X7" i="26"/>
  <c r="W7" i="26"/>
  <c r="V7" i="26"/>
  <c r="U7" i="26"/>
  <c r="T7" i="26"/>
  <c r="S7" i="26"/>
  <c r="R7" i="26"/>
  <c r="Q7" i="26"/>
  <c r="P7" i="26"/>
  <c r="O7" i="26"/>
  <c r="N7" i="26"/>
  <c r="M7" i="26"/>
  <c r="L7" i="26"/>
  <c r="K7" i="26"/>
  <c r="J7" i="26"/>
  <c r="I7" i="26"/>
  <c r="H7" i="26"/>
  <c r="G7" i="26"/>
  <c r="F7" i="26"/>
  <c r="E7" i="26"/>
  <c r="D7" i="26"/>
  <c r="BK5" i="26"/>
  <c r="BJ5" i="26"/>
  <c r="BI5" i="26"/>
  <c r="BH5" i="26"/>
  <c r="BG5" i="26"/>
  <c r="BF5" i="26"/>
  <c r="BE5" i="26"/>
  <c r="BD5" i="26"/>
  <c r="BC5" i="26"/>
  <c r="BB5" i="26"/>
  <c r="BA5" i="26"/>
  <c r="AZ5" i="26"/>
  <c r="AY5" i="26"/>
  <c r="AX5" i="26"/>
  <c r="AW5" i="26"/>
  <c r="AV5" i="26"/>
  <c r="AU5" i="26"/>
  <c r="AT5" i="26"/>
  <c r="AS5" i="26"/>
  <c r="AR5" i="26"/>
  <c r="AQ5" i="26"/>
  <c r="AP5" i="26"/>
  <c r="AO5" i="26"/>
  <c r="AN5" i="26"/>
  <c r="AM5" i="26"/>
  <c r="AL5" i="26"/>
  <c r="AK5" i="26"/>
  <c r="AJ5" i="26"/>
  <c r="AI5" i="26"/>
  <c r="AH5" i="26"/>
  <c r="AG5" i="26"/>
  <c r="AF5" i="26"/>
  <c r="AE5" i="26"/>
  <c r="AD5" i="26"/>
  <c r="AC5" i="26"/>
  <c r="AB5" i="26"/>
  <c r="AA5" i="26"/>
  <c r="Z5" i="26"/>
  <c r="Y5" i="26"/>
  <c r="X5" i="26"/>
  <c r="W5" i="26"/>
  <c r="V5" i="26"/>
  <c r="U5" i="26"/>
  <c r="T5" i="26"/>
  <c r="S5" i="26"/>
  <c r="R5" i="26"/>
  <c r="Q5" i="26"/>
  <c r="P5" i="26"/>
  <c r="O5" i="26"/>
  <c r="N5" i="26"/>
  <c r="M5" i="26"/>
  <c r="L5" i="26"/>
  <c r="K5" i="26"/>
  <c r="J5" i="26"/>
  <c r="I5" i="26"/>
  <c r="H5" i="26"/>
  <c r="G5" i="26"/>
  <c r="F5" i="26"/>
  <c r="E5" i="26"/>
  <c r="D5" i="26"/>
  <c r="BK3" i="26"/>
  <c r="BJ3" i="26"/>
  <c r="BI3" i="26"/>
  <c r="BH3" i="26"/>
  <c r="BG3" i="26"/>
  <c r="BF3" i="26"/>
  <c r="BE3" i="26"/>
  <c r="BD3" i="26"/>
  <c r="BC3" i="26"/>
  <c r="BB3" i="26"/>
  <c r="BA3" i="26"/>
  <c r="AZ3" i="26"/>
  <c r="AY3" i="26"/>
  <c r="AX3" i="26"/>
  <c r="AW3" i="26"/>
  <c r="AV3" i="26"/>
  <c r="AU3" i="26"/>
  <c r="AT3" i="26"/>
  <c r="AS3" i="26"/>
  <c r="AR3" i="26"/>
  <c r="AQ3" i="26"/>
  <c r="AP3" i="26"/>
  <c r="AO3" i="26"/>
  <c r="AN3" i="26"/>
  <c r="AM3" i="26"/>
  <c r="AL3" i="26"/>
  <c r="AK3" i="26"/>
  <c r="AJ3" i="26"/>
  <c r="AI3" i="26"/>
  <c r="AH3" i="26"/>
  <c r="AG3" i="26"/>
  <c r="AF3" i="26"/>
  <c r="AE3" i="26"/>
  <c r="AD3" i="26"/>
  <c r="AC3" i="26"/>
  <c r="AB3" i="26"/>
  <c r="AA3" i="26"/>
  <c r="Z3" i="26"/>
  <c r="Y3" i="26"/>
  <c r="X3" i="26"/>
  <c r="W3" i="26"/>
  <c r="V3" i="26"/>
  <c r="U3" i="26"/>
  <c r="T3" i="26"/>
  <c r="S3" i="26"/>
  <c r="R3" i="26"/>
  <c r="Q3" i="26"/>
  <c r="P3" i="26"/>
  <c r="O3" i="26"/>
  <c r="N3" i="26"/>
  <c r="M3" i="26"/>
  <c r="L3" i="26"/>
  <c r="K3" i="26"/>
  <c r="J3" i="26"/>
  <c r="I3" i="26"/>
  <c r="H3" i="26"/>
  <c r="G3" i="26"/>
  <c r="F3" i="26"/>
  <c r="E3" i="26"/>
  <c r="D3" i="26"/>
  <c r="D2" i="26"/>
  <c r="A12" i="25"/>
  <c r="A11" i="25"/>
  <c r="A10" i="25"/>
  <c r="A9" i="25"/>
  <c r="A6" i="25"/>
  <c r="A5" i="25"/>
  <c r="A4" i="25"/>
  <c r="A3" i="25"/>
  <c r="E3" i="4"/>
  <c r="C3" i="15"/>
  <c r="C2" i="6"/>
  <c r="C14" i="6" s="1"/>
  <c r="F4" i="10"/>
  <c r="C3" i="23"/>
  <c r="C9" i="13"/>
  <c r="C2" i="31" s="1"/>
  <c r="C8" i="31" l="1"/>
  <c r="D8" i="31" s="1"/>
  <c r="E8" i="31" s="1"/>
  <c r="F8" i="31" s="1"/>
  <c r="G8" i="31" s="1"/>
  <c r="H8" i="31" s="1"/>
  <c r="I8" i="31" s="1"/>
  <c r="J8" i="31" s="1"/>
  <c r="K8" i="31" s="1"/>
  <c r="L8" i="31" s="1"/>
  <c r="M8" i="31" s="1"/>
  <c r="N8" i="31" s="1"/>
  <c r="O8" i="31" s="1"/>
  <c r="P8" i="31" s="1"/>
  <c r="Q8" i="31" s="1"/>
  <c r="R8" i="31" s="1"/>
  <c r="S8" i="31" s="1"/>
  <c r="T8" i="31" s="1"/>
  <c r="U8" i="31" s="1"/>
  <c r="V8" i="31" s="1"/>
  <c r="W8" i="31" s="1"/>
  <c r="X8" i="31" s="1"/>
  <c r="Y8" i="31" s="1"/>
  <c r="Z8" i="31" s="1"/>
  <c r="AA8" i="31" s="1"/>
  <c r="AB8" i="31" s="1"/>
  <c r="AC8" i="31" s="1"/>
  <c r="AD8" i="31" s="1"/>
  <c r="AE8" i="31" s="1"/>
  <c r="AF8" i="31" s="1"/>
  <c r="AG8" i="31" s="1"/>
  <c r="AH8" i="31" s="1"/>
  <c r="AI8" i="31" s="1"/>
  <c r="AJ8" i="31" s="1"/>
  <c r="AK8" i="31" s="1"/>
  <c r="AL8" i="31" s="1"/>
  <c r="AM8" i="31" s="1"/>
  <c r="AN8" i="31" s="1"/>
  <c r="AO8" i="31" s="1"/>
  <c r="AP8" i="31" s="1"/>
  <c r="AQ8" i="31" s="1"/>
  <c r="AR8" i="31" s="1"/>
  <c r="AS8" i="31" s="1"/>
  <c r="AT8" i="31" s="1"/>
  <c r="AU8" i="31" s="1"/>
  <c r="AV8" i="31" s="1"/>
  <c r="AW8" i="31" s="1"/>
  <c r="AX8" i="31" s="1"/>
  <c r="AY8" i="31" s="1"/>
  <c r="AZ8" i="31" s="1"/>
  <c r="BA8" i="31" s="1"/>
  <c r="BB8" i="31" s="1"/>
  <c r="BC8" i="31" s="1"/>
  <c r="BD8" i="31" s="1"/>
  <c r="BE8" i="31" s="1"/>
  <c r="BF8" i="31" s="1"/>
  <c r="BG8" i="31" s="1"/>
  <c r="BH8" i="31" s="1"/>
  <c r="BI8" i="31" s="1"/>
  <c r="BJ8" i="31" s="1"/>
  <c r="D2" i="31"/>
  <c r="C14" i="31"/>
  <c r="C38" i="23"/>
  <c r="C86" i="23"/>
  <c r="D86" i="23" s="1"/>
  <c r="E86" i="23" s="1"/>
  <c r="F86" i="23" s="1"/>
  <c r="G86" i="23" s="1"/>
  <c r="H86" i="23" s="1"/>
  <c r="I86" i="23" s="1"/>
  <c r="J86" i="23" s="1"/>
  <c r="K86" i="23" s="1"/>
  <c r="L86" i="23" s="1"/>
  <c r="M86" i="23" s="1"/>
  <c r="N86" i="23" s="1"/>
  <c r="O86" i="23" s="1"/>
  <c r="P86" i="23" s="1"/>
  <c r="Q86" i="23" s="1"/>
  <c r="R86" i="23" s="1"/>
  <c r="S86" i="23" s="1"/>
  <c r="T86" i="23" s="1"/>
  <c r="U86" i="23" s="1"/>
  <c r="V86" i="23" s="1"/>
  <c r="W86" i="23" s="1"/>
  <c r="X86" i="23" s="1"/>
  <c r="Y86" i="23" s="1"/>
  <c r="Z86" i="23" s="1"/>
  <c r="AA86" i="23" s="1"/>
  <c r="AB86" i="23" s="1"/>
  <c r="AC86" i="23" s="1"/>
  <c r="AD86" i="23" s="1"/>
  <c r="AE86" i="23" s="1"/>
  <c r="AF86" i="23" s="1"/>
  <c r="AG86" i="23" s="1"/>
  <c r="AH86" i="23" s="1"/>
  <c r="AI86" i="23" s="1"/>
  <c r="AJ86" i="23" s="1"/>
  <c r="AK86" i="23" s="1"/>
  <c r="AL86" i="23" s="1"/>
  <c r="AM86" i="23" s="1"/>
  <c r="AN86" i="23" s="1"/>
  <c r="AO86" i="23" s="1"/>
  <c r="AP86" i="23" s="1"/>
  <c r="AQ86" i="23" s="1"/>
  <c r="AR86" i="23" s="1"/>
  <c r="AS86" i="23" s="1"/>
  <c r="AT86" i="23" s="1"/>
  <c r="AU86" i="23" s="1"/>
  <c r="AV86" i="23" s="1"/>
  <c r="AW86" i="23" s="1"/>
  <c r="AX86" i="23" s="1"/>
  <c r="AY86" i="23" s="1"/>
  <c r="AZ86" i="23" s="1"/>
  <c r="BA86" i="23" s="1"/>
  <c r="BB86" i="23" s="1"/>
  <c r="BC86" i="23" s="1"/>
  <c r="BD86" i="23" s="1"/>
  <c r="BE86" i="23" s="1"/>
  <c r="BF86" i="23" s="1"/>
  <c r="BG86" i="23" s="1"/>
  <c r="BH86" i="23" s="1"/>
  <c r="BI86" i="23" s="1"/>
  <c r="BJ86" i="23" s="1"/>
  <c r="C75" i="23"/>
  <c r="D75" i="23" s="1"/>
  <c r="E75" i="23" s="1"/>
  <c r="F75" i="23" s="1"/>
  <c r="G75" i="23" s="1"/>
  <c r="H75" i="23" s="1"/>
  <c r="I75" i="23" s="1"/>
  <c r="J75" i="23" s="1"/>
  <c r="K75" i="23" s="1"/>
  <c r="L75" i="23" s="1"/>
  <c r="M75" i="23" s="1"/>
  <c r="N75" i="23" s="1"/>
  <c r="O75" i="23" s="1"/>
  <c r="P75" i="23" s="1"/>
  <c r="Q75" i="23" s="1"/>
  <c r="R75" i="23" s="1"/>
  <c r="S75" i="23" s="1"/>
  <c r="T75" i="23" s="1"/>
  <c r="U75" i="23" s="1"/>
  <c r="V75" i="23" s="1"/>
  <c r="W75" i="23" s="1"/>
  <c r="X75" i="23" s="1"/>
  <c r="Y75" i="23" s="1"/>
  <c r="Z75" i="23" s="1"/>
  <c r="AA75" i="23" s="1"/>
  <c r="AB75" i="23" s="1"/>
  <c r="AC75" i="23" s="1"/>
  <c r="AD75" i="23" s="1"/>
  <c r="AE75" i="23" s="1"/>
  <c r="AF75" i="23" s="1"/>
  <c r="AG75" i="23" s="1"/>
  <c r="AH75" i="23" s="1"/>
  <c r="AI75" i="23" s="1"/>
  <c r="AJ75" i="23" s="1"/>
  <c r="AK75" i="23" s="1"/>
  <c r="AL75" i="23" s="1"/>
  <c r="AM75" i="23" s="1"/>
  <c r="AN75" i="23" s="1"/>
  <c r="AO75" i="23" s="1"/>
  <c r="AP75" i="23" s="1"/>
  <c r="AQ75" i="23" s="1"/>
  <c r="AR75" i="23" s="1"/>
  <c r="AS75" i="23" s="1"/>
  <c r="AT75" i="23" s="1"/>
  <c r="AU75" i="23" s="1"/>
  <c r="AV75" i="23" s="1"/>
  <c r="AW75" i="23" s="1"/>
  <c r="AX75" i="23" s="1"/>
  <c r="AY75" i="23" s="1"/>
  <c r="AZ75" i="23" s="1"/>
  <c r="BA75" i="23" s="1"/>
  <c r="BB75" i="23" s="1"/>
  <c r="BC75" i="23" s="1"/>
  <c r="BD75" i="23" s="1"/>
  <c r="BE75" i="23" s="1"/>
  <c r="BF75" i="23" s="1"/>
  <c r="BG75" i="23" s="1"/>
  <c r="BH75" i="23" s="1"/>
  <c r="BI75" i="23" s="1"/>
  <c r="BJ75" i="23" s="1"/>
  <c r="C91" i="23"/>
  <c r="D91" i="23" s="1"/>
  <c r="E91" i="23" s="1"/>
  <c r="F91" i="23" s="1"/>
  <c r="G91" i="23" s="1"/>
  <c r="H91" i="23" s="1"/>
  <c r="I91" i="23" s="1"/>
  <c r="J91" i="23" s="1"/>
  <c r="K91" i="23" s="1"/>
  <c r="L91" i="23" s="1"/>
  <c r="M91" i="23" s="1"/>
  <c r="N91" i="23" s="1"/>
  <c r="O91" i="23" s="1"/>
  <c r="P91" i="23" s="1"/>
  <c r="Q91" i="23" s="1"/>
  <c r="R91" i="23" s="1"/>
  <c r="S91" i="23" s="1"/>
  <c r="T91" i="23" s="1"/>
  <c r="U91" i="23" s="1"/>
  <c r="V91" i="23" s="1"/>
  <c r="W91" i="23" s="1"/>
  <c r="X91" i="23" s="1"/>
  <c r="Y91" i="23" s="1"/>
  <c r="Z91" i="23" s="1"/>
  <c r="AA91" i="23" s="1"/>
  <c r="AB91" i="23" s="1"/>
  <c r="AC91" i="23" s="1"/>
  <c r="AD91" i="23" s="1"/>
  <c r="AE91" i="23" s="1"/>
  <c r="AF91" i="23" s="1"/>
  <c r="AG91" i="23" s="1"/>
  <c r="AH91" i="23" s="1"/>
  <c r="AI91" i="23" s="1"/>
  <c r="AJ91" i="23" s="1"/>
  <c r="AK91" i="23" s="1"/>
  <c r="AL91" i="23" s="1"/>
  <c r="AM91" i="23" s="1"/>
  <c r="AN91" i="23" s="1"/>
  <c r="AO91" i="23" s="1"/>
  <c r="AP91" i="23" s="1"/>
  <c r="AQ91" i="23" s="1"/>
  <c r="AR91" i="23" s="1"/>
  <c r="AS91" i="23" s="1"/>
  <c r="AT91" i="23" s="1"/>
  <c r="AU91" i="23" s="1"/>
  <c r="AV91" i="23" s="1"/>
  <c r="AW91" i="23" s="1"/>
  <c r="AX91" i="23" s="1"/>
  <c r="AY91" i="23" s="1"/>
  <c r="AZ91" i="23" s="1"/>
  <c r="BA91" i="23" s="1"/>
  <c r="BB91" i="23" s="1"/>
  <c r="BC91" i="23" s="1"/>
  <c r="BD91" i="23" s="1"/>
  <c r="BE91" i="23" s="1"/>
  <c r="BF91" i="23" s="1"/>
  <c r="BG91" i="23" s="1"/>
  <c r="BH91" i="23" s="1"/>
  <c r="BI91" i="23" s="1"/>
  <c r="BJ91" i="23" s="1"/>
  <c r="C81" i="23"/>
  <c r="D81" i="23" s="1"/>
  <c r="E81" i="23" s="1"/>
  <c r="F81" i="23" s="1"/>
  <c r="G81" i="23" s="1"/>
  <c r="H81" i="23" s="1"/>
  <c r="I81" i="23" s="1"/>
  <c r="J81" i="23" s="1"/>
  <c r="K81" i="23" s="1"/>
  <c r="L81" i="23" s="1"/>
  <c r="M81" i="23" s="1"/>
  <c r="N81" i="23" s="1"/>
  <c r="O81" i="23" s="1"/>
  <c r="P81" i="23" s="1"/>
  <c r="Q81" i="23" s="1"/>
  <c r="R81" i="23" s="1"/>
  <c r="S81" i="23" s="1"/>
  <c r="T81" i="23" s="1"/>
  <c r="U81" i="23" s="1"/>
  <c r="V81" i="23" s="1"/>
  <c r="W81" i="23" s="1"/>
  <c r="X81" i="23" s="1"/>
  <c r="Y81" i="23" s="1"/>
  <c r="Z81" i="23" s="1"/>
  <c r="AA81" i="23" s="1"/>
  <c r="AB81" i="23" s="1"/>
  <c r="AC81" i="23" s="1"/>
  <c r="AD81" i="23" s="1"/>
  <c r="AE81" i="23" s="1"/>
  <c r="AF81" i="23" s="1"/>
  <c r="AG81" i="23" s="1"/>
  <c r="AH81" i="23" s="1"/>
  <c r="AI81" i="23" s="1"/>
  <c r="AJ81" i="23" s="1"/>
  <c r="AK81" i="23" s="1"/>
  <c r="AL81" i="23" s="1"/>
  <c r="AM81" i="23" s="1"/>
  <c r="AN81" i="23" s="1"/>
  <c r="AO81" i="23" s="1"/>
  <c r="AP81" i="23" s="1"/>
  <c r="AQ81" i="23" s="1"/>
  <c r="AR81" i="23" s="1"/>
  <c r="AS81" i="23" s="1"/>
  <c r="AT81" i="23" s="1"/>
  <c r="AU81" i="23" s="1"/>
  <c r="AV81" i="23" s="1"/>
  <c r="AW81" i="23" s="1"/>
  <c r="AX81" i="23" s="1"/>
  <c r="AY81" i="23" s="1"/>
  <c r="AZ81" i="23" s="1"/>
  <c r="BA81" i="23" s="1"/>
  <c r="BB81" i="23" s="1"/>
  <c r="BC81" i="23" s="1"/>
  <c r="BD81" i="23" s="1"/>
  <c r="BE81" i="23" s="1"/>
  <c r="BF81" i="23" s="1"/>
  <c r="BG81" i="23" s="1"/>
  <c r="BH81" i="23" s="1"/>
  <c r="BI81" i="23" s="1"/>
  <c r="BJ81" i="23" s="1"/>
  <c r="F24" i="10"/>
  <c r="F39" i="10"/>
  <c r="G39" i="10" s="1"/>
  <c r="H39" i="10" s="1"/>
  <c r="I39" i="10" s="1"/>
  <c r="J39" i="10" s="1"/>
  <c r="K39" i="10" s="1"/>
  <c r="L39" i="10" s="1"/>
  <c r="M39" i="10" s="1"/>
  <c r="N39" i="10" s="1"/>
  <c r="O39" i="10" s="1"/>
  <c r="P39" i="10" s="1"/>
  <c r="Q39" i="10" s="1"/>
  <c r="R39" i="10" s="1"/>
  <c r="S39" i="10" s="1"/>
  <c r="T39" i="10" s="1"/>
  <c r="U39" i="10" s="1"/>
  <c r="V39" i="10" s="1"/>
  <c r="W39" i="10" s="1"/>
  <c r="X39" i="10" s="1"/>
  <c r="Y39" i="10" s="1"/>
  <c r="Z39" i="10" s="1"/>
  <c r="AA39" i="10" s="1"/>
  <c r="AB39" i="10" s="1"/>
  <c r="AC39" i="10" s="1"/>
  <c r="AD39" i="10" s="1"/>
  <c r="AE39" i="10" s="1"/>
  <c r="AF39" i="10" s="1"/>
  <c r="AG39" i="10" s="1"/>
  <c r="AH39" i="10" s="1"/>
  <c r="AI39" i="10" s="1"/>
  <c r="AJ39" i="10" s="1"/>
  <c r="AK39" i="10" s="1"/>
  <c r="AL39" i="10" s="1"/>
  <c r="AM39" i="10" s="1"/>
  <c r="AN39" i="10" s="1"/>
  <c r="AO39" i="10" s="1"/>
  <c r="AP39" i="10" s="1"/>
  <c r="F34" i="10"/>
  <c r="G34" i="10" s="1"/>
  <c r="H34" i="10" s="1"/>
  <c r="I34" i="10" s="1"/>
  <c r="J34" i="10" s="1"/>
  <c r="K34" i="10" s="1"/>
  <c r="L34" i="10" s="1"/>
  <c r="M34" i="10" s="1"/>
  <c r="N34" i="10" s="1"/>
  <c r="O34" i="10" s="1"/>
  <c r="P34" i="10" s="1"/>
  <c r="Q34" i="10" s="1"/>
  <c r="R34" i="10" s="1"/>
  <c r="S34" i="10" s="1"/>
  <c r="T34" i="10" s="1"/>
  <c r="U34" i="10" s="1"/>
  <c r="V34" i="10" s="1"/>
  <c r="W34" i="10" s="1"/>
  <c r="X34" i="10" s="1"/>
  <c r="Y34" i="10" s="1"/>
  <c r="Z34" i="10" s="1"/>
  <c r="AA34" i="10" s="1"/>
  <c r="AB34" i="10" s="1"/>
  <c r="AC34" i="10" s="1"/>
  <c r="AD34" i="10" s="1"/>
  <c r="AE34" i="10" s="1"/>
  <c r="AF34" i="10" s="1"/>
  <c r="AG34" i="10" s="1"/>
  <c r="AH34" i="10" s="1"/>
  <c r="AI34" i="10" s="1"/>
  <c r="AJ34" i="10" s="1"/>
  <c r="AK34" i="10" s="1"/>
  <c r="AL34" i="10" s="1"/>
  <c r="AM34" i="10" s="1"/>
  <c r="AN34" i="10" s="1"/>
  <c r="AO34" i="10" s="1"/>
  <c r="AP34" i="10" s="1"/>
  <c r="F9" i="10"/>
  <c r="G9" i="10" s="1"/>
  <c r="H9" i="10" s="1"/>
  <c r="I9" i="10" s="1"/>
  <c r="J9" i="10" s="1"/>
  <c r="K9" i="10" s="1"/>
  <c r="L9" i="10" s="1"/>
  <c r="M9" i="10" s="1"/>
  <c r="N9" i="10" s="1"/>
  <c r="O9" i="10" s="1"/>
  <c r="P9" i="10" s="1"/>
  <c r="Q9" i="10" s="1"/>
  <c r="R9" i="10" s="1"/>
  <c r="S9" i="10" s="1"/>
  <c r="T9" i="10" s="1"/>
  <c r="U9" i="10" s="1"/>
  <c r="V9" i="10" s="1"/>
  <c r="W9" i="10" s="1"/>
  <c r="X9" i="10" s="1"/>
  <c r="Y9" i="10" s="1"/>
  <c r="Z9" i="10" s="1"/>
  <c r="AA9" i="10" s="1"/>
  <c r="AB9" i="10" s="1"/>
  <c r="AC9" i="10" s="1"/>
  <c r="E29" i="26"/>
  <c r="M29" i="26"/>
  <c r="U29" i="26"/>
  <c r="AC29" i="26"/>
  <c r="AK29" i="26"/>
  <c r="Z29" i="26"/>
  <c r="D29" i="26"/>
  <c r="W19" i="26"/>
  <c r="H19" i="26"/>
  <c r="K29" i="26"/>
  <c r="S29" i="26"/>
  <c r="AA29" i="26"/>
  <c r="AI29" i="26"/>
  <c r="J19" i="26"/>
  <c r="R19" i="26"/>
  <c r="Z19" i="26"/>
  <c r="AH19" i="26"/>
  <c r="X19" i="26"/>
  <c r="AF19" i="26"/>
  <c r="AE19" i="26"/>
  <c r="L19" i="26"/>
  <c r="T19" i="26"/>
  <c r="AB19" i="26"/>
  <c r="AJ19" i="26"/>
  <c r="F29" i="26"/>
  <c r="N29" i="26"/>
  <c r="V29" i="26"/>
  <c r="AD29" i="26"/>
  <c r="AL29" i="26"/>
  <c r="J9" i="26"/>
  <c r="R9" i="26"/>
  <c r="D19" i="26"/>
  <c r="L9" i="26"/>
  <c r="E19" i="26"/>
  <c r="M19" i="26"/>
  <c r="U19" i="26"/>
  <c r="AC19" i="26"/>
  <c r="AK19" i="26"/>
  <c r="G29" i="26"/>
  <c r="O29" i="26"/>
  <c r="W29" i="26"/>
  <c r="AE29" i="26"/>
  <c r="AM29" i="26"/>
  <c r="F9" i="26"/>
  <c r="N9" i="26"/>
  <c r="V9" i="26"/>
  <c r="AD9" i="26"/>
  <c r="AL9" i="26"/>
  <c r="F29" i="10"/>
  <c r="G9" i="26"/>
  <c r="W9" i="26"/>
  <c r="AE9" i="26"/>
  <c r="C2" i="22"/>
  <c r="C38" i="22" s="1"/>
  <c r="C2" i="25"/>
  <c r="C2" i="11"/>
  <c r="H9" i="26"/>
  <c r="P9" i="26"/>
  <c r="X9" i="26"/>
  <c r="C2" i="20"/>
  <c r="C8" i="20" s="1"/>
  <c r="C14" i="20" s="1"/>
  <c r="D14" i="20" s="1"/>
  <c r="E14" i="20" s="1"/>
  <c r="F14" i="20" s="1"/>
  <c r="G14" i="20" s="1"/>
  <c r="H14" i="20" s="1"/>
  <c r="I14" i="20" s="1"/>
  <c r="J14" i="20" s="1"/>
  <c r="K14" i="20" s="1"/>
  <c r="L14" i="20" s="1"/>
  <c r="M14" i="20" s="1"/>
  <c r="N14" i="20" s="1"/>
  <c r="O14" i="20" s="1"/>
  <c r="P14" i="20" s="1"/>
  <c r="Q14" i="20" s="1"/>
  <c r="R14" i="20" s="1"/>
  <c r="S14" i="20" s="1"/>
  <c r="T14" i="20" s="1"/>
  <c r="U14" i="20" s="1"/>
  <c r="V14" i="20" s="1"/>
  <c r="W14" i="20" s="1"/>
  <c r="X14" i="20" s="1"/>
  <c r="Y14" i="20" s="1"/>
  <c r="Z14" i="20" s="1"/>
  <c r="AA14" i="20" s="1"/>
  <c r="AB14" i="20" s="1"/>
  <c r="AC14" i="20" s="1"/>
  <c r="AD14" i="20" s="1"/>
  <c r="AE14" i="20" s="1"/>
  <c r="AF14" i="20" s="1"/>
  <c r="AG14" i="20" s="1"/>
  <c r="AH14" i="20" s="1"/>
  <c r="AI14" i="20" s="1"/>
  <c r="AJ14" i="20" s="1"/>
  <c r="AK14" i="20" s="1"/>
  <c r="AL14" i="20" s="1"/>
  <c r="AM14" i="20" s="1"/>
  <c r="AN14" i="20" s="1"/>
  <c r="AO14" i="20" s="1"/>
  <c r="AP14" i="20" s="1"/>
  <c r="AQ14" i="20" s="1"/>
  <c r="AR14" i="20" s="1"/>
  <c r="AS14" i="20" s="1"/>
  <c r="AT14" i="20" s="1"/>
  <c r="AU14" i="20" s="1"/>
  <c r="AV14" i="20" s="1"/>
  <c r="AW14" i="20" s="1"/>
  <c r="AX14" i="20" s="1"/>
  <c r="AY14" i="20" s="1"/>
  <c r="AZ14" i="20" s="1"/>
  <c r="BA14" i="20" s="1"/>
  <c r="BB14" i="20" s="1"/>
  <c r="BC14" i="20" s="1"/>
  <c r="BD14" i="20" s="1"/>
  <c r="BE14" i="20" s="1"/>
  <c r="BF14" i="20" s="1"/>
  <c r="BG14" i="20" s="1"/>
  <c r="BH14" i="20" s="1"/>
  <c r="BI14" i="20" s="1"/>
  <c r="BJ14" i="20" s="1"/>
  <c r="I9" i="26"/>
  <c r="Q9" i="26"/>
  <c r="Y9" i="26"/>
  <c r="AG9" i="26"/>
  <c r="V19" i="26"/>
  <c r="C9" i="15"/>
  <c r="K9" i="26"/>
  <c r="S9" i="26"/>
  <c r="AI9" i="26"/>
  <c r="J29" i="26"/>
  <c r="R29" i="26"/>
  <c r="AH29" i="26"/>
  <c r="AA9" i="26"/>
  <c r="G19" i="26"/>
  <c r="O19" i="26"/>
  <c r="AM19" i="26"/>
  <c r="O9" i="26"/>
  <c r="AM9" i="26"/>
  <c r="P19" i="26"/>
  <c r="L27" i="13"/>
  <c r="AH9" i="26"/>
  <c r="Z9" i="26"/>
  <c r="AJ9" i="26"/>
  <c r="AB9" i="26"/>
  <c r="T9" i="26"/>
  <c r="C43" i="23"/>
  <c r="C51" i="23"/>
  <c r="C9" i="23"/>
  <c r="C57" i="23"/>
  <c r="C14" i="23"/>
  <c r="C62" i="23"/>
  <c r="C19" i="23"/>
  <c r="C67" i="23"/>
  <c r="C27" i="23"/>
  <c r="C33" i="23"/>
  <c r="F14" i="10"/>
  <c r="F19" i="10"/>
  <c r="AF9" i="26"/>
  <c r="E2" i="26"/>
  <c r="F2" i="26" s="1"/>
  <c r="G2" i="26" s="1"/>
  <c r="H2" i="26" s="1"/>
  <c r="I2" i="26" s="1"/>
  <c r="J2" i="26" s="1"/>
  <c r="K2" i="26" s="1"/>
  <c r="L2" i="26" s="1"/>
  <c r="M2" i="26" s="1"/>
  <c r="N2" i="26" s="1"/>
  <c r="O2" i="26" s="1"/>
  <c r="P2" i="26" s="1"/>
  <c r="Q2" i="26" s="1"/>
  <c r="R2" i="26" s="1"/>
  <c r="S2" i="26" s="1"/>
  <c r="T2" i="26" s="1"/>
  <c r="U2" i="26" s="1"/>
  <c r="V2" i="26" s="1"/>
  <c r="W2" i="26" s="1"/>
  <c r="X2" i="26" s="1"/>
  <c r="Y2" i="26" s="1"/>
  <c r="Z2" i="26" s="1"/>
  <c r="AA2" i="26" s="1"/>
  <c r="AB2" i="26" s="1"/>
  <c r="AC2" i="26" s="1"/>
  <c r="AD2" i="26" s="1"/>
  <c r="AE2" i="26" s="1"/>
  <c r="AF2" i="26" s="1"/>
  <c r="AG2" i="26" s="1"/>
  <c r="AH2" i="26" s="1"/>
  <c r="AI2" i="26" s="1"/>
  <c r="AJ2" i="26" s="1"/>
  <c r="AK2" i="26" s="1"/>
  <c r="AL2" i="26" s="1"/>
  <c r="AM2" i="26" s="1"/>
  <c r="AN2" i="26" s="1"/>
  <c r="AO2" i="26" s="1"/>
  <c r="AP2" i="26" s="1"/>
  <c r="AQ2" i="26" s="1"/>
  <c r="AR2" i="26" s="1"/>
  <c r="AS2" i="26" s="1"/>
  <c r="AT2" i="26" s="1"/>
  <c r="AU2" i="26" s="1"/>
  <c r="AV2" i="26" s="1"/>
  <c r="AW2" i="26" s="1"/>
  <c r="AX2" i="26" s="1"/>
  <c r="AY2" i="26" s="1"/>
  <c r="AZ2" i="26" s="1"/>
  <c r="BA2" i="26" s="1"/>
  <c r="BB2" i="26" s="1"/>
  <c r="BC2" i="26" s="1"/>
  <c r="BD2" i="26" s="1"/>
  <c r="BE2" i="26" s="1"/>
  <c r="BF2" i="26" s="1"/>
  <c r="BG2" i="26" s="1"/>
  <c r="BH2" i="26" s="1"/>
  <c r="BI2" i="26" s="1"/>
  <c r="BJ2" i="26" s="1"/>
  <c r="BK2" i="26" s="1"/>
  <c r="D12" i="26"/>
  <c r="E12" i="26" s="1"/>
  <c r="F12" i="26" s="1"/>
  <c r="G12" i="26" s="1"/>
  <c r="H12" i="26" s="1"/>
  <c r="I12" i="26" s="1"/>
  <c r="J12" i="26" s="1"/>
  <c r="K12" i="26" s="1"/>
  <c r="L12" i="26" s="1"/>
  <c r="M12" i="26" s="1"/>
  <c r="N12" i="26" s="1"/>
  <c r="O12" i="26" s="1"/>
  <c r="P12" i="26" s="1"/>
  <c r="Q12" i="26" s="1"/>
  <c r="R12" i="26" s="1"/>
  <c r="S12" i="26" s="1"/>
  <c r="T12" i="26" s="1"/>
  <c r="U12" i="26" s="1"/>
  <c r="V12" i="26" s="1"/>
  <c r="W12" i="26" s="1"/>
  <c r="X12" i="26" s="1"/>
  <c r="Y12" i="26" s="1"/>
  <c r="Z12" i="26" s="1"/>
  <c r="AA12" i="26" s="1"/>
  <c r="AB12" i="26" s="1"/>
  <c r="AC12" i="26" s="1"/>
  <c r="AD12" i="26" s="1"/>
  <c r="AE12" i="26" s="1"/>
  <c r="AF12" i="26" s="1"/>
  <c r="AG12" i="26" s="1"/>
  <c r="AH12" i="26" s="1"/>
  <c r="AI12" i="26" s="1"/>
  <c r="AJ12" i="26" s="1"/>
  <c r="AK12" i="26" s="1"/>
  <c r="AL12" i="26" s="1"/>
  <c r="AM12" i="26" s="1"/>
  <c r="AN12" i="26" s="1"/>
  <c r="AO12" i="26" s="1"/>
  <c r="AP12" i="26" s="1"/>
  <c r="AQ12" i="26" s="1"/>
  <c r="AR12" i="26" s="1"/>
  <c r="AS12" i="26" s="1"/>
  <c r="AT12" i="26" s="1"/>
  <c r="AU12" i="26" s="1"/>
  <c r="AV12" i="26" s="1"/>
  <c r="AW12" i="26" s="1"/>
  <c r="AX12" i="26" s="1"/>
  <c r="AY12" i="26" s="1"/>
  <c r="AZ12" i="26" s="1"/>
  <c r="BA12" i="26" s="1"/>
  <c r="BB12" i="26" s="1"/>
  <c r="BC12" i="26" s="1"/>
  <c r="BD12" i="26" s="1"/>
  <c r="BE12" i="26" s="1"/>
  <c r="BF12" i="26" s="1"/>
  <c r="BG12" i="26" s="1"/>
  <c r="BH12" i="26" s="1"/>
  <c r="BI12" i="26" s="1"/>
  <c r="BJ12" i="26" s="1"/>
  <c r="BK12" i="26" s="1"/>
  <c r="D22" i="26"/>
  <c r="E22" i="26" s="1"/>
  <c r="F22" i="26" s="1"/>
  <c r="G22" i="26" s="1"/>
  <c r="H22" i="26" s="1"/>
  <c r="I22" i="26" s="1"/>
  <c r="J22" i="26" s="1"/>
  <c r="K22" i="26" s="1"/>
  <c r="L22" i="26" s="1"/>
  <c r="M22" i="26" s="1"/>
  <c r="N22" i="26" s="1"/>
  <c r="O22" i="26" s="1"/>
  <c r="P22" i="26" s="1"/>
  <c r="Q22" i="26" s="1"/>
  <c r="R22" i="26" s="1"/>
  <c r="S22" i="26" s="1"/>
  <c r="T22" i="26" s="1"/>
  <c r="U22" i="26" s="1"/>
  <c r="V22" i="26" s="1"/>
  <c r="W22" i="26" s="1"/>
  <c r="X22" i="26" s="1"/>
  <c r="Y22" i="26" s="1"/>
  <c r="Z22" i="26" s="1"/>
  <c r="AA22" i="26" s="1"/>
  <c r="AB22" i="26" s="1"/>
  <c r="AC22" i="26" s="1"/>
  <c r="AD22" i="26" s="1"/>
  <c r="AE22" i="26" s="1"/>
  <c r="AF22" i="26" s="1"/>
  <c r="AG22" i="26" s="1"/>
  <c r="AH22" i="26" s="1"/>
  <c r="AI22" i="26" s="1"/>
  <c r="AJ22" i="26" s="1"/>
  <c r="AK22" i="26" s="1"/>
  <c r="AL22" i="26" s="1"/>
  <c r="AM22" i="26" s="1"/>
  <c r="AN22" i="26" s="1"/>
  <c r="AO22" i="26" s="1"/>
  <c r="AP22" i="26" s="1"/>
  <c r="AQ22" i="26" s="1"/>
  <c r="AR22" i="26" s="1"/>
  <c r="AS22" i="26" s="1"/>
  <c r="AT22" i="26" s="1"/>
  <c r="AU22" i="26" s="1"/>
  <c r="AV22" i="26" s="1"/>
  <c r="AW22" i="26" s="1"/>
  <c r="AX22" i="26" s="1"/>
  <c r="AY22" i="26" s="1"/>
  <c r="AZ22" i="26" s="1"/>
  <c r="BA22" i="26" s="1"/>
  <c r="BB22" i="26" s="1"/>
  <c r="BC22" i="26" s="1"/>
  <c r="BD22" i="26" s="1"/>
  <c r="BE22" i="26" s="1"/>
  <c r="BF22" i="26" s="1"/>
  <c r="BG22" i="26" s="1"/>
  <c r="BH22" i="26" s="1"/>
  <c r="BI22" i="26" s="1"/>
  <c r="BJ22" i="26" s="1"/>
  <c r="BK22" i="26" s="1"/>
  <c r="C8" i="6"/>
  <c r="F19" i="26"/>
  <c r="N19" i="26"/>
  <c r="AD19" i="26"/>
  <c r="AL19" i="26"/>
  <c r="H29" i="26"/>
  <c r="P29" i="26"/>
  <c r="X29" i="26"/>
  <c r="AF29" i="26"/>
  <c r="E9" i="26"/>
  <c r="M9" i="26"/>
  <c r="U9" i="26"/>
  <c r="AC9" i="26"/>
  <c r="AK9" i="26"/>
  <c r="D9" i="26"/>
  <c r="Q19" i="26"/>
  <c r="L29" i="26"/>
  <c r="T29" i="26"/>
  <c r="AB29" i="26"/>
  <c r="AJ29" i="26"/>
  <c r="K19" i="26"/>
  <c r="S19" i="26"/>
  <c r="AA19" i="26"/>
  <c r="AI19" i="26"/>
  <c r="I29" i="26"/>
  <c r="Q29" i="26"/>
  <c r="Y29" i="26"/>
  <c r="AG29" i="26"/>
  <c r="I19" i="26"/>
  <c r="Y19" i="26"/>
  <c r="AG19" i="26"/>
  <c r="C32" i="22" l="1"/>
  <c r="C14" i="11"/>
  <c r="C21" i="11"/>
  <c r="D21" i="11" s="1"/>
  <c r="E21" i="11" s="1"/>
  <c r="F21" i="11" s="1"/>
  <c r="G21" i="11" s="1"/>
  <c r="H21" i="11" s="1"/>
  <c r="I21" i="11" s="1"/>
  <c r="J21" i="11" s="1"/>
  <c r="K21" i="11" s="1"/>
  <c r="L21" i="11" s="1"/>
  <c r="M21" i="11" s="1"/>
  <c r="N21" i="11" s="1"/>
  <c r="O21" i="11" s="1"/>
  <c r="P21" i="11" s="1"/>
  <c r="Q21" i="11" s="1"/>
  <c r="R21" i="11" s="1"/>
  <c r="S21" i="11" s="1"/>
  <c r="T21" i="11" s="1"/>
  <c r="U21" i="11" s="1"/>
  <c r="V21" i="11" s="1"/>
  <c r="W21" i="11" s="1"/>
  <c r="X21" i="11" s="1"/>
  <c r="Y21" i="11" s="1"/>
  <c r="Z21" i="11" s="1"/>
  <c r="AA21" i="11" s="1"/>
  <c r="AB21" i="11" s="1"/>
  <c r="AC21" i="11" s="1"/>
  <c r="AD21" i="11" s="1"/>
  <c r="AE21" i="11" s="1"/>
  <c r="AF21" i="11" s="1"/>
  <c r="AG21" i="11" s="1"/>
  <c r="AH21" i="11" s="1"/>
  <c r="AI21" i="11" s="1"/>
  <c r="AJ21" i="11" s="1"/>
  <c r="AK21" i="11" s="1"/>
  <c r="AL21" i="11" s="1"/>
  <c r="AM21" i="11" s="1"/>
  <c r="AD9" i="10"/>
  <c r="AE9" i="10" s="1"/>
  <c r="AF9" i="10" s="1"/>
  <c r="AG9" i="10" s="1"/>
  <c r="AH9" i="10" s="1"/>
  <c r="AI9" i="10" s="1"/>
  <c r="AJ9" i="10" s="1"/>
  <c r="AK9" i="10" s="1"/>
  <c r="AL9" i="10" s="1"/>
  <c r="AM9" i="10" s="1"/>
  <c r="AN9" i="10" s="1"/>
  <c r="AO9" i="10" s="1"/>
  <c r="AP9" i="10" s="1"/>
  <c r="C62" i="31"/>
  <c r="C20" i="31"/>
  <c r="D14" i="31"/>
  <c r="E14" i="31" s="1"/>
  <c r="F14" i="31" s="1"/>
  <c r="G14" i="31" s="1"/>
  <c r="H14" i="31" s="1"/>
  <c r="I14" i="31" s="1"/>
  <c r="J14" i="31" s="1"/>
  <c r="K14" i="31" s="1"/>
  <c r="L14" i="31" s="1"/>
  <c r="M14" i="31" s="1"/>
  <c r="N14" i="31" s="1"/>
  <c r="O14" i="31" s="1"/>
  <c r="P14" i="31" s="1"/>
  <c r="Q14" i="31" s="1"/>
  <c r="R14" i="31" s="1"/>
  <c r="S14" i="31" s="1"/>
  <c r="T14" i="31" s="1"/>
  <c r="U14" i="31" s="1"/>
  <c r="V14" i="31" s="1"/>
  <c r="W14" i="31" s="1"/>
  <c r="X14" i="31" s="1"/>
  <c r="Y14" i="31" s="1"/>
  <c r="Z14" i="31" s="1"/>
  <c r="AA14" i="31" s="1"/>
  <c r="AB14" i="31" s="1"/>
  <c r="AC14" i="31" s="1"/>
  <c r="AD14" i="31" s="1"/>
  <c r="AE14" i="31" s="1"/>
  <c r="AF14" i="31" s="1"/>
  <c r="AG14" i="31" s="1"/>
  <c r="AH14" i="31" s="1"/>
  <c r="AI14" i="31" s="1"/>
  <c r="AJ14" i="31" s="1"/>
  <c r="AK14" i="31" s="1"/>
  <c r="AL14" i="31" s="1"/>
  <c r="AM14" i="31" s="1"/>
  <c r="AN14" i="31" s="1"/>
  <c r="AO14" i="31" s="1"/>
  <c r="AP14" i="31" s="1"/>
  <c r="AQ14" i="31" s="1"/>
  <c r="AR14" i="31" s="1"/>
  <c r="AS14" i="31" s="1"/>
  <c r="AT14" i="31" s="1"/>
  <c r="AU14" i="31" s="1"/>
  <c r="AV14" i="31" s="1"/>
  <c r="AW14" i="31" s="1"/>
  <c r="AX14" i="31" s="1"/>
  <c r="AY14" i="31" s="1"/>
  <c r="AZ14" i="31" s="1"/>
  <c r="BA14" i="31" s="1"/>
  <c r="BB14" i="31" s="1"/>
  <c r="BC14" i="31" s="1"/>
  <c r="BD14" i="31" s="1"/>
  <c r="BE14" i="31" s="1"/>
  <c r="BF14" i="31" s="1"/>
  <c r="BG14" i="31" s="1"/>
  <c r="BH14" i="31" s="1"/>
  <c r="BI14" i="31" s="1"/>
  <c r="BJ14" i="31" s="1"/>
  <c r="E2" i="31"/>
  <c r="D2" i="25"/>
  <c r="E2" i="25" s="1"/>
  <c r="F2" i="25" s="1"/>
  <c r="G2" i="25" s="1"/>
  <c r="H2" i="25" s="1"/>
  <c r="I2" i="25" s="1"/>
  <c r="J2" i="25" s="1"/>
  <c r="K2" i="25" s="1"/>
  <c r="L2" i="25" s="1"/>
  <c r="M2" i="25" s="1"/>
  <c r="N2" i="25" s="1"/>
  <c r="O2" i="25" s="1"/>
  <c r="P2" i="25" s="1"/>
  <c r="Q2" i="25" s="1"/>
  <c r="R2" i="25" s="1"/>
  <c r="S2" i="25" s="1"/>
  <c r="T2" i="25" s="1"/>
  <c r="U2" i="25" s="1"/>
  <c r="V2" i="25" s="1"/>
  <c r="W2" i="25" s="1"/>
  <c r="X2" i="25" s="1"/>
  <c r="Y2" i="25" s="1"/>
  <c r="Z2" i="25" s="1"/>
  <c r="AA2" i="25" s="1"/>
  <c r="AB2" i="25" s="1"/>
  <c r="AC2" i="25" s="1"/>
  <c r="AD2" i="25" s="1"/>
  <c r="AE2" i="25" s="1"/>
  <c r="AF2" i="25" s="1"/>
  <c r="AG2" i="25" s="1"/>
  <c r="AH2" i="25" s="1"/>
  <c r="AI2" i="25" s="1"/>
  <c r="AJ2" i="25" s="1"/>
  <c r="AK2" i="25" s="1"/>
  <c r="AL2" i="25" s="1"/>
  <c r="AM2" i="25" s="1"/>
  <c r="AN2" i="25" s="1"/>
  <c r="AO2" i="25" s="1"/>
  <c r="AP2" i="25" s="1"/>
  <c r="AQ2" i="25" s="1"/>
  <c r="AR2" i="25" s="1"/>
  <c r="AS2" i="25" s="1"/>
  <c r="AT2" i="25" s="1"/>
  <c r="AU2" i="25" s="1"/>
  <c r="AV2" i="25" s="1"/>
  <c r="AW2" i="25" s="1"/>
  <c r="AX2" i="25" s="1"/>
  <c r="AY2" i="25" s="1"/>
  <c r="AZ2" i="25" s="1"/>
  <c r="BA2" i="25" s="1"/>
  <c r="BB2" i="25" s="1"/>
  <c r="BC2" i="25" s="1"/>
  <c r="BD2" i="25" s="1"/>
  <c r="BE2" i="25" s="1"/>
  <c r="BF2" i="25" s="1"/>
  <c r="BG2" i="25" s="1"/>
  <c r="BH2" i="25" s="1"/>
  <c r="BI2" i="25" s="1"/>
  <c r="BJ2" i="25" s="1"/>
  <c r="C14" i="25"/>
  <c r="C26" i="25" s="1"/>
  <c r="C8" i="25"/>
  <c r="C26" i="22"/>
  <c r="C20" i="22"/>
  <c r="C14" i="22"/>
  <c r="C8" i="22"/>
  <c r="C44" i="22"/>
  <c r="C8" i="11"/>
  <c r="C27" i="11" s="1"/>
  <c r="D27" i="11" s="1"/>
  <c r="E27" i="11" s="1"/>
  <c r="F27" i="11" s="1"/>
  <c r="G27" i="11" s="1"/>
  <c r="H27" i="11" s="1"/>
  <c r="I27" i="11" s="1"/>
  <c r="J27" i="11" s="1"/>
  <c r="K27" i="11" s="1"/>
  <c r="L27" i="11" s="1"/>
  <c r="M27" i="11" s="1"/>
  <c r="N27" i="11" s="1"/>
  <c r="O27" i="11" s="1"/>
  <c r="P27" i="11" s="1"/>
  <c r="Q27" i="11" s="1"/>
  <c r="R27" i="11" s="1"/>
  <c r="S27" i="11" s="1"/>
  <c r="T27" i="11" s="1"/>
  <c r="U27" i="11" s="1"/>
  <c r="V27" i="11" s="1"/>
  <c r="W27" i="11" s="1"/>
  <c r="X27" i="11" s="1"/>
  <c r="Y27" i="11" s="1"/>
  <c r="Z27" i="11" s="1"/>
  <c r="AA27" i="11" s="1"/>
  <c r="AB27" i="11" s="1"/>
  <c r="AC27" i="11" s="1"/>
  <c r="AD27" i="11" s="1"/>
  <c r="AE27" i="11" s="1"/>
  <c r="AF27" i="11" s="1"/>
  <c r="AG27" i="11" s="1"/>
  <c r="AH27" i="11" s="1"/>
  <c r="AI27" i="11" s="1"/>
  <c r="AJ27" i="11" s="1"/>
  <c r="AK27" i="11" s="1"/>
  <c r="AL27" i="11" s="1"/>
  <c r="AM27" i="11" s="1"/>
  <c r="M27" i="13"/>
  <c r="D67" i="23"/>
  <c r="E67" i="23" s="1"/>
  <c r="F67" i="23" s="1"/>
  <c r="G67" i="23" s="1"/>
  <c r="H67" i="23" s="1"/>
  <c r="I67" i="23" s="1"/>
  <c r="J67" i="23" s="1"/>
  <c r="K67" i="23" s="1"/>
  <c r="L67" i="23" s="1"/>
  <c r="M67" i="23" s="1"/>
  <c r="N67" i="23" s="1"/>
  <c r="O67" i="23" s="1"/>
  <c r="P67" i="23" s="1"/>
  <c r="Q67" i="23" s="1"/>
  <c r="R67" i="23" s="1"/>
  <c r="S67" i="23" s="1"/>
  <c r="T67" i="23" s="1"/>
  <c r="U67" i="23" s="1"/>
  <c r="V67" i="23" s="1"/>
  <c r="W67" i="23" s="1"/>
  <c r="X67" i="23" s="1"/>
  <c r="Y67" i="23" s="1"/>
  <c r="Z67" i="23" s="1"/>
  <c r="AA67" i="23" s="1"/>
  <c r="AB67" i="23" s="1"/>
  <c r="AC67" i="23" s="1"/>
  <c r="AD67" i="23" s="1"/>
  <c r="AE67" i="23" s="1"/>
  <c r="AF67" i="23" s="1"/>
  <c r="AG67" i="23" s="1"/>
  <c r="AH67" i="23" s="1"/>
  <c r="AI67" i="23" s="1"/>
  <c r="AJ67" i="23" s="1"/>
  <c r="AK67" i="23" s="1"/>
  <c r="AL67" i="23" s="1"/>
  <c r="AM67" i="23" s="1"/>
  <c r="AN67" i="23" s="1"/>
  <c r="AO67" i="23" s="1"/>
  <c r="AP67" i="23" s="1"/>
  <c r="AQ67" i="23" s="1"/>
  <c r="AR67" i="23" s="1"/>
  <c r="AS67" i="23" s="1"/>
  <c r="AT67" i="23" s="1"/>
  <c r="AU67" i="23" s="1"/>
  <c r="AV67" i="23" s="1"/>
  <c r="AW67" i="23" s="1"/>
  <c r="AX67" i="23" s="1"/>
  <c r="AY67" i="23" s="1"/>
  <c r="AZ67" i="23" s="1"/>
  <c r="BA67" i="23" s="1"/>
  <c r="BB67" i="23" s="1"/>
  <c r="BC67" i="23" s="1"/>
  <c r="BD67" i="23" s="1"/>
  <c r="BE67" i="23" s="1"/>
  <c r="BF67" i="23" s="1"/>
  <c r="BG67" i="23" s="1"/>
  <c r="BH67" i="23" s="1"/>
  <c r="BI67" i="23" s="1"/>
  <c r="BJ67" i="23" s="1"/>
  <c r="BJ65" i="23"/>
  <c r="BI65" i="23"/>
  <c r="BH65" i="23"/>
  <c r="BG65" i="23"/>
  <c r="BF65" i="23"/>
  <c r="BE65" i="23"/>
  <c r="BD65" i="23"/>
  <c r="BC65" i="23"/>
  <c r="BB65" i="23"/>
  <c r="BA65" i="23"/>
  <c r="AZ65" i="23"/>
  <c r="AY65" i="23"/>
  <c r="AX65" i="23"/>
  <c r="AW65" i="23"/>
  <c r="AV65" i="23"/>
  <c r="AU65" i="23"/>
  <c r="AT65" i="23"/>
  <c r="AS65" i="23"/>
  <c r="AR65" i="23"/>
  <c r="AQ65" i="23"/>
  <c r="AP65" i="23"/>
  <c r="AO65" i="23"/>
  <c r="AN65" i="23"/>
  <c r="AM65" i="23"/>
  <c r="AL65" i="23"/>
  <c r="AK65" i="23"/>
  <c r="AJ65" i="23"/>
  <c r="AI65" i="23"/>
  <c r="AH65" i="23"/>
  <c r="AG65" i="23"/>
  <c r="AF65" i="23"/>
  <c r="AE65" i="23"/>
  <c r="AD65" i="23"/>
  <c r="AC65" i="23"/>
  <c r="AB65" i="23"/>
  <c r="AA65" i="23"/>
  <c r="Z65" i="23"/>
  <c r="Y65" i="23"/>
  <c r="X65" i="23"/>
  <c r="W65" i="23"/>
  <c r="V65" i="23"/>
  <c r="U65" i="23"/>
  <c r="T65" i="23"/>
  <c r="S65" i="23"/>
  <c r="R65" i="23"/>
  <c r="Q65" i="23"/>
  <c r="P65" i="23"/>
  <c r="O65" i="23"/>
  <c r="N65" i="23"/>
  <c r="M65" i="23"/>
  <c r="L65" i="23"/>
  <c r="K65" i="23"/>
  <c r="J65" i="23"/>
  <c r="I65" i="23"/>
  <c r="H65" i="23"/>
  <c r="G65" i="23"/>
  <c r="F65" i="23"/>
  <c r="E65" i="23"/>
  <c r="D65" i="23"/>
  <c r="C65" i="23"/>
  <c r="BJ64" i="23"/>
  <c r="BI64" i="23"/>
  <c r="BH64" i="23"/>
  <c r="BG64" i="23"/>
  <c r="BF64" i="23"/>
  <c r="BE64" i="23"/>
  <c r="BD64" i="23"/>
  <c r="BC64" i="23"/>
  <c r="BB64" i="23"/>
  <c r="BA64" i="23"/>
  <c r="AZ64" i="23"/>
  <c r="AY64" i="23"/>
  <c r="AX64" i="23"/>
  <c r="AW64" i="23"/>
  <c r="AV64" i="23"/>
  <c r="AU64" i="23"/>
  <c r="AT64" i="23"/>
  <c r="AS64" i="23"/>
  <c r="AR64" i="23"/>
  <c r="AQ64" i="23"/>
  <c r="AP64" i="23"/>
  <c r="AO64" i="23"/>
  <c r="AN64" i="23"/>
  <c r="AM64" i="23"/>
  <c r="AL64" i="23"/>
  <c r="AK64" i="23"/>
  <c r="AJ64" i="23"/>
  <c r="AI64" i="23"/>
  <c r="AH64" i="23"/>
  <c r="AG64" i="23"/>
  <c r="AF64" i="23"/>
  <c r="AE64" i="23"/>
  <c r="AD64" i="23"/>
  <c r="AC64" i="23"/>
  <c r="AB64" i="23"/>
  <c r="AA64" i="23"/>
  <c r="Z64" i="23"/>
  <c r="Y64" i="23"/>
  <c r="X64" i="23"/>
  <c r="W64" i="23"/>
  <c r="V64" i="23"/>
  <c r="U64" i="23"/>
  <c r="T64" i="23"/>
  <c r="S64" i="23"/>
  <c r="R64" i="23"/>
  <c r="Q64" i="23"/>
  <c r="P64" i="23"/>
  <c r="O64" i="23"/>
  <c r="N64" i="23"/>
  <c r="M64" i="23"/>
  <c r="L64" i="23"/>
  <c r="K64" i="23"/>
  <c r="J64" i="23"/>
  <c r="I64" i="23"/>
  <c r="H64" i="23"/>
  <c r="G64" i="23"/>
  <c r="F64" i="23"/>
  <c r="E64" i="23"/>
  <c r="D64" i="23"/>
  <c r="C64" i="23"/>
  <c r="D62" i="23"/>
  <c r="E62" i="23" s="1"/>
  <c r="F62" i="23" s="1"/>
  <c r="G62" i="23" s="1"/>
  <c r="H62" i="23" s="1"/>
  <c r="I62" i="23" s="1"/>
  <c r="J62" i="23" s="1"/>
  <c r="K62" i="23" s="1"/>
  <c r="L62" i="23" s="1"/>
  <c r="M62" i="23" s="1"/>
  <c r="N62" i="23" s="1"/>
  <c r="O62" i="23" s="1"/>
  <c r="P62" i="23" s="1"/>
  <c r="Q62" i="23" s="1"/>
  <c r="R62" i="23" s="1"/>
  <c r="S62" i="23" s="1"/>
  <c r="T62" i="23" s="1"/>
  <c r="U62" i="23" s="1"/>
  <c r="V62" i="23" s="1"/>
  <c r="W62" i="23" s="1"/>
  <c r="X62" i="23" s="1"/>
  <c r="Y62" i="23" s="1"/>
  <c r="Z62" i="23" s="1"/>
  <c r="AA62" i="23" s="1"/>
  <c r="AB62" i="23" s="1"/>
  <c r="AC62" i="23" s="1"/>
  <c r="AD62" i="23" s="1"/>
  <c r="AE62" i="23" s="1"/>
  <c r="AF62" i="23" s="1"/>
  <c r="AG62" i="23" s="1"/>
  <c r="AH62" i="23" s="1"/>
  <c r="AI62" i="23" s="1"/>
  <c r="AJ62" i="23" s="1"/>
  <c r="AK62" i="23" s="1"/>
  <c r="AL62" i="23" s="1"/>
  <c r="AM62" i="23" s="1"/>
  <c r="AN62" i="23" s="1"/>
  <c r="AO62" i="23" s="1"/>
  <c r="AP62" i="23" s="1"/>
  <c r="AQ62" i="23" s="1"/>
  <c r="AR62" i="23" s="1"/>
  <c r="AS62" i="23" s="1"/>
  <c r="AT62" i="23" s="1"/>
  <c r="AU62" i="23" s="1"/>
  <c r="AV62" i="23" s="1"/>
  <c r="AW62" i="23" s="1"/>
  <c r="AX62" i="23" s="1"/>
  <c r="AY62" i="23" s="1"/>
  <c r="AZ62" i="23" s="1"/>
  <c r="BA62" i="23" s="1"/>
  <c r="BB62" i="23" s="1"/>
  <c r="BC62" i="23" s="1"/>
  <c r="BD62" i="23" s="1"/>
  <c r="BE62" i="23" s="1"/>
  <c r="BF62" i="23" s="1"/>
  <c r="BG62" i="23" s="1"/>
  <c r="BH62" i="23" s="1"/>
  <c r="BI62" i="23" s="1"/>
  <c r="BJ62" i="23" s="1"/>
  <c r="D57" i="23"/>
  <c r="E57" i="23" s="1"/>
  <c r="F57" i="23" s="1"/>
  <c r="G57" i="23" s="1"/>
  <c r="H57" i="23" s="1"/>
  <c r="I57" i="23" s="1"/>
  <c r="J57" i="23" s="1"/>
  <c r="K57" i="23" s="1"/>
  <c r="L57" i="23" s="1"/>
  <c r="M57" i="23" s="1"/>
  <c r="N57" i="23" s="1"/>
  <c r="O57" i="23" s="1"/>
  <c r="P57" i="23" s="1"/>
  <c r="Q57" i="23" s="1"/>
  <c r="R57" i="23" s="1"/>
  <c r="S57" i="23" s="1"/>
  <c r="T57" i="23" s="1"/>
  <c r="U57" i="23" s="1"/>
  <c r="V57" i="23" s="1"/>
  <c r="W57" i="23" s="1"/>
  <c r="X57" i="23" s="1"/>
  <c r="Y57" i="23" s="1"/>
  <c r="Z57" i="23" s="1"/>
  <c r="AA57" i="23" s="1"/>
  <c r="AB57" i="23" s="1"/>
  <c r="AC57" i="23" s="1"/>
  <c r="AD57" i="23" s="1"/>
  <c r="AE57" i="23" s="1"/>
  <c r="AF57" i="23" s="1"/>
  <c r="AG57" i="23" s="1"/>
  <c r="AH57" i="23" s="1"/>
  <c r="AI57" i="23" s="1"/>
  <c r="AJ57" i="23" s="1"/>
  <c r="AK57" i="23" s="1"/>
  <c r="AL57" i="23" s="1"/>
  <c r="AM57" i="23" s="1"/>
  <c r="AN57" i="23" s="1"/>
  <c r="AO57" i="23" s="1"/>
  <c r="AP57" i="23" s="1"/>
  <c r="AQ57" i="23" s="1"/>
  <c r="AR57" i="23" s="1"/>
  <c r="AS57" i="23" s="1"/>
  <c r="AT57" i="23" s="1"/>
  <c r="AU57" i="23" s="1"/>
  <c r="AV57" i="23" s="1"/>
  <c r="AW57" i="23" s="1"/>
  <c r="AX57" i="23" s="1"/>
  <c r="AY57" i="23" s="1"/>
  <c r="AZ57" i="23" s="1"/>
  <c r="BA57" i="23" s="1"/>
  <c r="BB57" i="23" s="1"/>
  <c r="BC57" i="23" s="1"/>
  <c r="BD57" i="23" s="1"/>
  <c r="BE57" i="23" s="1"/>
  <c r="BF57" i="23" s="1"/>
  <c r="BG57" i="23" s="1"/>
  <c r="BH57" i="23" s="1"/>
  <c r="BI57" i="23" s="1"/>
  <c r="BJ57" i="23" s="1"/>
  <c r="D51" i="23"/>
  <c r="E51" i="23" s="1"/>
  <c r="F51" i="23" s="1"/>
  <c r="G51" i="23" s="1"/>
  <c r="H51" i="23" s="1"/>
  <c r="I51" i="23" s="1"/>
  <c r="J51" i="23" s="1"/>
  <c r="K51" i="23" s="1"/>
  <c r="L51" i="23" s="1"/>
  <c r="M51" i="23" s="1"/>
  <c r="N51" i="23" s="1"/>
  <c r="O51" i="23" s="1"/>
  <c r="P51" i="23" s="1"/>
  <c r="Q51" i="23" s="1"/>
  <c r="R51" i="23" s="1"/>
  <c r="S51" i="23" s="1"/>
  <c r="T51" i="23" s="1"/>
  <c r="U51" i="23" s="1"/>
  <c r="V51" i="23" s="1"/>
  <c r="W51" i="23" s="1"/>
  <c r="X51" i="23" s="1"/>
  <c r="Y51" i="23" s="1"/>
  <c r="Z51" i="23" s="1"/>
  <c r="AA51" i="23" s="1"/>
  <c r="AB51" i="23" s="1"/>
  <c r="AC51" i="23" s="1"/>
  <c r="AD51" i="23" s="1"/>
  <c r="AE51" i="23" s="1"/>
  <c r="AF51" i="23" s="1"/>
  <c r="AG51" i="23" s="1"/>
  <c r="AH51" i="23" s="1"/>
  <c r="AI51" i="23" s="1"/>
  <c r="AJ51" i="23" s="1"/>
  <c r="AK51" i="23" s="1"/>
  <c r="AL51" i="23" s="1"/>
  <c r="AM51" i="23" s="1"/>
  <c r="AN51" i="23" s="1"/>
  <c r="AO51" i="23" s="1"/>
  <c r="AP51" i="23" s="1"/>
  <c r="AQ51" i="23" s="1"/>
  <c r="AR51" i="23" s="1"/>
  <c r="AS51" i="23" s="1"/>
  <c r="AT51" i="23" s="1"/>
  <c r="AU51" i="23" s="1"/>
  <c r="AV51" i="23" s="1"/>
  <c r="AW51" i="23" s="1"/>
  <c r="AX51" i="23" s="1"/>
  <c r="AY51" i="23" s="1"/>
  <c r="AZ51" i="23" s="1"/>
  <c r="BA51" i="23" s="1"/>
  <c r="BB51" i="23" s="1"/>
  <c r="BC51" i="23" s="1"/>
  <c r="BD51" i="23" s="1"/>
  <c r="BE51" i="23" s="1"/>
  <c r="BF51" i="23" s="1"/>
  <c r="BG51" i="23" s="1"/>
  <c r="BH51" i="23" s="1"/>
  <c r="BI51" i="23" s="1"/>
  <c r="BJ51" i="23" s="1"/>
  <c r="F2" i="31" l="1"/>
  <c r="C26" i="31"/>
  <c r="D20" i="31"/>
  <c r="E20" i="31" s="1"/>
  <c r="F20" i="31" s="1"/>
  <c r="G20" i="31" s="1"/>
  <c r="H20" i="31" s="1"/>
  <c r="I20" i="31" s="1"/>
  <c r="J20" i="31" s="1"/>
  <c r="K20" i="31" s="1"/>
  <c r="L20" i="31" s="1"/>
  <c r="M20" i="31" s="1"/>
  <c r="N20" i="31" s="1"/>
  <c r="O20" i="31" s="1"/>
  <c r="P20" i="31" s="1"/>
  <c r="Q20" i="31" s="1"/>
  <c r="R20" i="31" s="1"/>
  <c r="S20" i="31" s="1"/>
  <c r="T20" i="31" s="1"/>
  <c r="U20" i="31" s="1"/>
  <c r="V20" i="31" s="1"/>
  <c r="W20" i="31" s="1"/>
  <c r="X20" i="31" s="1"/>
  <c r="Y20" i="31" s="1"/>
  <c r="Z20" i="31" s="1"/>
  <c r="AA20" i="31" s="1"/>
  <c r="AB20" i="31" s="1"/>
  <c r="AC20" i="31" s="1"/>
  <c r="AD20" i="31" s="1"/>
  <c r="AE20" i="31" s="1"/>
  <c r="AF20" i="31" s="1"/>
  <c r="AG20" i="31" s="1"/>
  <c r="AH20" i="31" s="1"/>
  <c r="AI20" i="31" s="1"/>
  <c r="AJ20" i="31" s="1"/>
  <c r="AK20" i="31" s="1"/>
  <c r="AL20" i="31" s="1"/>
  <c r="AM20" i="31" s="1"/>
  <c r="AN20" i="31" s="1"/>
  <c r="AO20" i="31" s="1"/>
  <c r="AP20" i="31" s="1"/>
  <c r="AQ20" i="31" s="1"/>
  <c r="AR20" i="31" s="1"/>
  <c r="AS20" i="31" s="1"/>
  <c r="AT20" i="31" s="1"/>
  <c r="AU20" i="31" s="1"/>
  <c r="AV20" i="31" s="1"/>
  <c r="AW20" i="31" s="1"/>
  <c r="AX20" i="31" s="1"/>
  <c r="AY20" i="31" s="1"/>
  <c r="AZ20" i="31" s="1"/>
  <c r="BA20" i="31" s="1"/>
  <c r="BB20" i="31" s="1"/>
  <c r="BC20" i="31" s="1"/>
  <c r="BD20" i="31" s="1"/>
  <c r="BE20" i="31" s="1"/>
  <c r="BF20" i="31" s="1"/>
  <c r="BG20" i="31" s="1"/>
  <c r="BH20" i="31" s="1"/>
  <c r="BI20" i="31" s="1"/>
  <c r="BJ20" i="31" s="1"/>
  <c r="D62" i="31"/>
  <c r="E62" i="31" s="1"/>
  <c r="F62" i="31" s="1"/>
  <c r="G62" i="31" s="1"/>
  <c r="H62" i="31" s="1"/>
  <c r="I62" i="31" s="1"/>
  <c r="J62" i="31" s="1"/>
  <c r="K62" i="31" s="1"/>
  <c r="L62" i="31" s="1"/>
  <c r="M62" i="31" s="1"/>
  <c r="N62" i="31" s="1"/>
  <c r="O62" i="31" s="1"/>
  <c r="P62" i="31" s="1"/>
  <c r="Q62" i="31" s="1"/>
  <c r="R62" i="31" s="1"/>
  <c r="S62" i="31" s="1"/>
  <c r="T62" i="31" s="1"/>
  <c r="U62" i="31" s="1"/>
  <c r="V62" i="31" s="1"/>
  <c r="W62" i="31" s="1"/>
  <c r="X62" i="31" s="1"/>
  <c r="Y62" i="31" s="1"/>
  <c r="Z62" i="31" s="1"/>
  <c r="AA62" i="31" s="1"/>
  <c r="AB62" i="31" s="1"/>
  <c r="AC62" i="31" s="1"/>
  <c r="AD62" i="31" s="1"/>
  <c r="AE62" i="31" s="1"/>
  <c r="AF62" i="31" s="1"/>
  <c r="AG62" i="31" s="1"/>
  <c r="AH62" i="31" s="1"/>
  <c r="AI62" i="31" s="1"/>
  <c r="AJ62" i="31" s="1"/>
  <c r="AK62" i="31" s="1"/>
  <c r="AL62" i="31" s="1"/>
  <c r="AM62" i="31" s="1"/>
  <c r="AN62" i="31" s="1"/>
  <c r="AO62" i="31" s="1"/>
  <c r="AP62" i="31" s="1"/>
  <c r="AQ62" i="31" s="1"/>
  <c r="AR62" i="31" s="1"/>
  <c r="AS62" i="31" s="1"/>
  <c r="AT62" i="31" s="1"/>
  <c r="AU62" i="31" s="1"/>
  <c r="AV62" i="31" s="1"/>
  <c r="AW62" i="31" s="1"/>
  <c r="AX62" i="31" s="1"/>
  <c r="AY62" i="31" s="1"/>
  <c r="AZ62" i="31" s="1"/>
  <c r="BA62" i="31" s="1"/>
  <c r="BB62" i="31" s="1"/>
  <c r="BC62" i="31" s="1"/>
  <c r="BD62" i="31" s="1"/>
  <c r="BE62" i="31" s="1"/>
  <c r="BF62" i="31" s="1"/>
  <c r="BG62" i="31" s="1"/>
  <c r="BH62" i="31" s="1"/>
  <c r="BI62" i="31" s="1"/>
  <c r="BJ62" i="31" s="1"/>
  <c r="C68" i="31"/>
  <c r="D68" i="31" s="1"/>
  <c r="E68" i="31" s="1"/>
  <c r="F68" i="31" s="1"/>
  <c r="G68" i="31" s="1"/>
  <c r="H68" i="31" s="1"/>
  <c r="I68" i="31" s="1"/>
  <c r="J68" i="31" s="1"/>
  <c r="K68" i="31" s="1"/>
  <c r="L68" i="31" s="1"/>
  <c r="M68" i="31" s="1"/>
  <c r="N68" i="31" s="1"/>
  <c r="O68" i="31" s="1"/>
  <c r="P68" i="31" s="1"/>
  <c r="Q68" i="31" s="1"/>
  <c r="R68" i="31" s="1"/>
  <c r="S68" i="31" s="1"/>
  <c r="T68" i="31" s="1"/>
  <c r="U68" i="31" s="1"/>
  <c r="V68" i="31" s="1"/>
  <c r="W68" i="31" s="1"/>
  <c r="X68" i="31" s="1"/>
  <c r="Y68" i="31" s="1"/>
  <c r="Z68" i="31" s="1"/>
  <c r="AA68" i="31" s="1"/>
  <c r="AB68" i="31" s="1"/>
  <c r="AC68" i="31" s="1"/>
  <c r="AD68" i="31" s="1"/>
  <c r="AE68" i="31" s="1"/>
  <c r="AF68" i="31" s="1"/>
  <c r="AG68" i="31" s="1"/>
  <c r="AH68" i="31" s="1"/>
  <c r="AI68" i="31" s="1"/>
  <c r="AJ68" i="31" s="1"/>
  <c r="AK68" i="31" s="1"/>
  <c r="AL68" i="31" s="1"/>
  <c r="AM68" i="31" s="1"/>
  <c r="AN68" i="31" s="1"/>
  <c r="AO68" i="31" s="1"/>
  <c r="AP68" i="31" s="1"/>
  <c r="AQ68" i="31" s="1"/>
  <c r="AR68" i="31" s="1"/>
  <c r="AS68" i="31" s="1"/>
  <c r="AT68" i="31" s="1"/>
  <c r="AU68" i="31" s="1"/>
  <c r="AV68" i="31" s="1"/>
  <c r="AW68" i="31" s="1"/>
  <c r="AX68" i="31" s="1"/>
  <c r="AY68" i="31" s="1"/>
  <c r="AZ68" i="31" s="1"/>
  <c r="BA68" i="31" s="1"/>
  <c r="BB68" i="31" s="1"/>
  <c r="BC68" i="31" s="1"/>
  <c r="BD68" i="31" s="1"/>
  <c r="BE68" i="31" s="1"/>
  <c r="BF68" i="31" s="1"/>
  <c r="BG68" i="31" s="1"/>
  <c r="BH68" i="31" s="1"/>
  <c r="BI68" i="31" s="1"/>
  <c r="BJ68" i="31" s="1"/>
  <c r="C32" i="25"/>
  <c r="D32" i="25" s="1"/>
  <c r="E32" i="25" s="1"/>
  <c r="F32" i="25" s="1"/>
  <c r="G32" i="25" s="1"/>
  <c r="H32" i="25" s="1"/>
  <c r="I32" i="25" s="1"/>
  <c r="J32" i="25" s="1"/>
  <c r="K32" i="25" s="1"/>
  <c r="L32" i="25" s="1"/>
  <c r="M32" i="25" s="1"/>
  <c r="N32" i="25" s="1"/>
  <c r="O32" i="25" s="1"/>
  <c r="P32" i="25" s="1"/>
  <c r="Q32" i="25" s="1"/>
  <c r="R32" i="25" s="1"/>
  <c r="S32" i="25" s="1"/>
  <c r="T32" i="25" s="1"/>
  <c r="U32" i="25" s="1"/>
  <c r="V32" i="25" s="1"/>
  <c r="W32" i="25" s="1"/>
  <c r="X32" i="25" s="1"/>
  <c r="Y32" i="25" s="1"/>
  <c r="Z32" i="25" s="1"/>
  <c r="AA32" i="25" s="1"/>
  <c r="AB32" i="25" s="1"/>
  <c r="AC32" i="25" s="1"/>
  <c r="AD32" i="25" s="1"/>
  <c r="AE32" i="25" s="1"/>
  <c r="AF32" i="25" s="1"/>
  <c r="AG32" i="25" s="1"/>
  <c r="AH32" i="25" s="1"/>
  <c r="AI32" i="25" s="1"/>
  <c r="AJ32" i="25" s="1"/>
  <c r="AK32" i="25" s="1"/>
  <c r="AL32" i="25" s="1"/>
  <c r="AM32" i="25" s="1"/>
  <c r="AN32" i="25" s="1"/>
  <c r="AO32" i="25" s="1"/>
  <c r="AP32" i="25" s="1"/>
  <c r="AQ32" i="25" s="1"/>
  <c r="AR32" i="25" s="1"/>
  <c r="AS32" i="25" s="1"/>
  <c r="AT32" i="25" s="1"/>
  <c r="AU32" i="25" s="1"/>
  <c r="AV32" i="25" s="1"/>
  <c r="AW32" i="25" s="1"/>
  <c r="AX32" i="25" s="1"/>
  <c r="AY32" i="25" s="1"/>
  <c r="AZ32" i="25" s="1"/>
  <c r="BA32" i="25" s="1"/>
  <c r="BB32" i="25" s="1"/>
  <c r="BC32" i="25" s="1"/>
  <c r="BD32" i="25" s="1"/>
  <c r="BE32" i="25" s="1"/>
  <c r="BF32" i="25" s="1"/>
  <c r="BG32" i="25" s="1"/>
  <c r="BH32" i="25" s="1"/>
  <c r="BI32" i="25" s="1"/>
  <c r="BJ32" i="25" s="1"/>
  <c r="D26" i="25"/>
  <c r="E26" i="25" s="1"/>
  <c r="F26" i="25" s="1"/>
  <c r="G26" i="25" s="1"/>
  <c r="H26" i="25" s="1"/>
  <c r="I26" i="25" s="1"/>
  <c r="J26" i="25" s="1"/>
  <c r="K26" i="25" s="1"/>
  <c r="L26" i="25" s="1"/>
  <c r="M26" i="25" s="1"/>
  <c r="N26" i="25" s="1"/>
  <c r="O26" i="25" s="1"/>
  <c r="P26" i="25" s="1"/>
  <c r="Q26" i="25" s="1"/>
  <c r="R26" i="25" s="1"/>
  <c r="S26" i="25" s="1"/>
  <c r="T26" i="25" s="1"/>
  <c r="U26" i="25" s="1"/>
  <c r="V26" i="25" s="1"/>
  <c r="W26" i="25" s="1"/>
  <c r="X26" i="25" s="1"/>
  <c r="Y26" i="25" s="1"/>
  <c r="Z26" i="25" s="1"/>
  <c r="AA26" i="25" s="1"/>
  <c r="AB26" i="25" s="1"/>
  <c r="AC26" i="25" s="1"/>
  <c r="AD26" i="25" s="1"/>
  <c r="AE26" i="25" s="1"/>
  <c r="AF26" i="25" s="1"/>
  <c r="AG26" i="25" s="1"/>
  <c r="AH26" i="25" s="1"/>
  <c r="AI26" i="25" s="1"/>
  <c r="AJ26" i="25" s="1"/>
  <c r="AK26" i="25" s="1"/>
  <c r="AL26" i="25" s="1"/>
  <c r="AM26" i="25" s="1"/>
  <c r="AN26" i="25" s="1"/>
  <c r="AO26" i="25" s="1"/>
  <c r="AP26" i="25" s="1"/>
  <c r="AQ26" i="25" s="1"/>
  <c r="AR26" i="25" s="1"/>
  <c r="AS26" i="25" s="1"/>
  <c r="AT26" i="25" s="1"/>
  <c r="AU26" i="25" s="1"/>
  <c r="AV26" i="25" s="1"/>
  <c r="AW26" i="25" s="1"/>
  <c r="AX26" i="25" s="1"/>
  <c r="AY26" i="25" s="1"/>
  <c r="AZ26" i="25" s="1"/>
  <c r="BA26" i="25" s="1"/>
  <c r="BB26" i="25" s="1"/>
  <c r="BC26" i="25" s="1"/>
  <c r="BD26" i="25" s="1"/>
  <c r="BE26" i="25" s="1"/>
  <c r="BF26" i="25" s="1"/>
  <c r="BG26" i="25" s="1"/>
  <c r="BH26" i="25" s="1"/>
  <c r="BI26" i="25" s="1"/>
  <c r="BJ26" i="25" s="1"/>
  <c r="C20" i="25"/>
  <c r="D20" i="25" s="1"/>
  <c r="E20" i="25" s="1"/>
  <c r="F20" i="25" s="1"/>
  <c r="G20" i="25" s="1"/>
  <c r="H20" i="25" s="1"/>
  <c r="I20" i="25" s="1"/>
  <c r="J20" i="25" s="1"/>
  <c r="K20" i="25" s="1"/>
  <c r="L20" i="25" s="1"/>
  <c r="M20" i="25" s="1"/>
  <c r="N20" i="25" s="1"/>
  <c r="O20" i="25" s="1"/>
  <c r="P20" i="25" s="1"/>
  <c r="Q20" i="25" s="1"/>
  <c r="R20" i="25" s="1"/>
  <c r="S20" i="25" s="1"/>
  <c r="T20" i="25" s="1"/>
  <c r="U20" i="25" s="1"/>
  <c r="V20" i="25" s="1"/>
  <c r="W20" i="25" s="1"/>
  <c r="X20" i="25" s="1"/>
  <c r="Y20" i="25" s="1"/>
  <c r="Z20" i="25" s="1"/>
  <c r="AA20" i="25" s="1"/>
  <c r="AB20" i="25" s="1"/>
  <c r="AC20" i="25" s="1"/>
  <c r="AD20" i="25" s="1"/>
  <c r="AE20" i="25" s="1"/>
  <c r="AF20" i="25" s="1"/>
  <c r="AG20" i="25" s="1"/>
  <c r="AH20" i="25" s="1"/>
  <c r="AI20" i="25" s="1"/>
  <c r="AJ20" i="25" s="1"/>
  <c r="AK20" i="25" s="1"/>
  <c r="AL20" i="25" s="1"/>
  <c r="AM20" i="25" s="1"/>
  <c r="AN20" i="25" s="1"/>
  <c r="AO20" i="25" s="1"/>
  <c r="AP20" i="25" s="1"/>
  <c r="AQ20" i="25" s="1"/>
  <c r="AR20" i="25" s="1"/>
  <c r="AS20" i="25" s="1"/>
  <c r="AT20" i="25" s="1"/>
  <c r="AU20" i="25" s="1"/>
  <c r="AV20" i="25" s="1"/>
  <c r="AW20" i="25" s="1"/>
  <c r="AX20" i="25" s="1"/>
  <c r="AY20" i="25" s="1"/>
  <c r="AZ20" i="25" s="1"/>
  <c r="BA20" i="25" s="1"/>
  <c r="BB20" i="25" s="1"/>
  <c r="BC20" i="25" s="1"/>
  <c r="BD20" i="25" s="1"/>
  <c r="BE20" i="25" s="1"/>
  <c r="BF20" i="25" s="1"/>
  <c r="BG20" i="25" s="1"/>
  <c r="BH20" i="25" s="1"/>
  <c r="BI20" i="25" s="1"/>
  <c r="BJ20" i="25" s="1"/>
  <c r="D14" i="25"/>
  <c r="E14" i="25" s="1"/>
  <c r="F14" i="25" s="1"/>
  <c r="G14" i="25" s="1"/>
  <c r="H14" i="25" s="1"/>
  <c r="I14" i="25" s="1"/>
  <c r="J14" i="25" s="1"/>
  <c r="K14" i="25" s="1"/>
  <c r="L14" i="25" s="1"/>
  <c r="M14" i="25" s="1"/>
  <c r="N14" i="25" s="1"/>
  <c r="O14" i="25" s="1"/>
  <c r="P14" i="25" s="1"/>
  <c r="Q14" i="25" s="1"/>
  <c r="R14" i="25" s="1"/>
  <c r="S14" i="25" s="1"/>
  <c r="T14" i="25" s="1"/>
  <c r="U14" i="25" s="1"/>
  <c r="V14" i="25" s="1"/>
  <c r="W14" i="25" s="1"/>
  <c r="X14" i="25" s="1"/>
  <c r="Y14" i="25" s="1"/>
  <c r="Z14" i="25" s="1"/>
  <c r="AA14" i="25" s="1"/>
  <c r="AB14" i="25" s="1"/>
  <c r="AC14" i="25" s="1"/>
  <c r="AD14" i="25" s="1"/>
  <c r="AE14" i="25" s="1"/>
  <c r="AF14" i="25" s="1"/>
  <c r="AG14" i="25" s="1"/>
  <c r="AH14" i="25" s="1"/>
  <c r="AI14" i="25" s="1"/>
  <c r="AJ14" i="25" s="1"/>
  <c r="AK14" i="25" s="1"/>
  <c r="AL14" i="25" s="1"/>
  <c r="AM14" i="25" s="1"/>
  <c r="AN14" i="25" s="1"/>
  <c r="AO14" i="25" s="1"/>
  <c r="AP14" i="25" s="1"/>
  <c r="AQ14" i="25" s="1"/>
  <c r="AR14" i="25" s="1"/>
  <c r="AS14" i="25" s="1"/>
  <c r="AT14" i="25" s="1"/>
  <c r="AU14" i="25" s="1"/>
  <c r="AV14" i="25" s="1"/>
  <c r="AW14" i="25" s="1"/>
  <c r="AX14" i="25" s="1"/>
  <c r="AY14" i="25" s="1"/>
  <c r="AZ14" i="25" s="1"/>
  <c r="BA14" i="25" s="1"/>
  <c r="BB14" i="25" s="1"/>
  <c r="BC14" i="25" s="1"/>
  <c r="BD14" i="25" s="1"/>
  <c r="BE14" i="25" s="1"/>
  <c r="BF14" i="25" s="1"/>
  <c r="BG14" i="25" s="1"/>
  <c r="BH14" i="25" s="1"/>
  <c r="BI14" i="25" s="1"/>
  <c r="BJ14" i="25" s="1"/>
  <c r="D8" i="25"/>
  <c r="E8" i="25" s="1"/>
  <c r="F8" i="25" s="1"/>
  <c r="G8" i="25" s="1"/>
  <c r="H8" i="25" s="1"/>
  <c r="I8" i="25" s="1"/>
  <c r="J8" i="25" s="1"/>
  <c r="K8" i="25" s="1"/>
  <c r="L8" i="25" s="1"/>
  <c r="M8" i="25" s="1"/>
  <c r="N8" i="25" s="1"/>
  <c r="O8" i="25" s="1"/>
  <c r="P8" i="25" s="1"/>
  <c r="Q8" i="25" s="1"/>
  <c r="R8" i="25" s="1"/>
  <c r="S8" i="25" s="1"/>
  <c r="T8" i="25" s="1"/>
  <c r="U8" i="25" s="1"/>
  <c r="V8" i="25" s="1"/>
  <c r="W8" i="25" s="1"/>
  <c r="X8" i="25" s="1"/>
  <c r="Y8" i="25" s="1"/>
  <c r="Z8" i="25" s="1"/>
  <c r="AA8" i="25" s="1"/>
  <c r="AB8" i="25" s="1"/>
  <c r="AC8" i="25" s="1"/>
  <c r="AD8" i="25" s="1"/>
  <c r="AE8" i="25" s="1"/>
  <c r="AF8" i="25" s="1"/>
  <c r="AG8" i="25" s="1"/>
  <c r="AH8" i="25" s="1"/>
  <c r="AI8" i="25" s="1"/>
  <c r="AJ8" i="25" s="1"/>
  <c r="AK8" i="25" s="1"/>
  <c r="AL8" i="25" s="1"/>
  <c r="AM8" i="25" s="1"/>
  <c r="AN8" i="25" s="1"/>
  <c r="AO8" i="25" s="1"/>
  <c r="AP8" i="25" s="1"/>
  <c r="AQ8" i="25" s="1"/>
  <c r="AR8" i="25" s="1"/>
  <c r="AS8" i="25" s="1"/>
  <c r="AT8" i="25" s="1"/>
  <c r="AU8" i="25" s="1"/>
  <c r="AV8" i="25" s="1"/>
  <c r="AW8" i="25" s="1"/>
  <c r="AX8" i="25" s="1"/>
  <c r="AY8" i="25" s="1"/>
  <c r="AZ8" i="25" s="1"/>
  <c r="BA8" i="25" s="1"/>
  <c r="BB8" i="25" s="1"/>
  <c r="BC8" i="25" s="1"/>
  <c r="BD8" i="25" s="1"/>
  <c r="BE8" i="25" s="1"/>
  <c r="BF8" i="25" s="1"/>
  <c r="BG8" i="25" s="1"/>
  <c r="BH8" i="25" s="1"/>
  <c r="BI8" i="25" s="1"/>
  <c r="BJ8" i="25" s="1"/>
  <c r="C38" i="25"/>
  <c r="N27" i="13"/>
  <c r="D43" i="23"/>
  <c r="E43" i="23" s="1"/>
  <c r="F43" i="23" s="1"/>
  <c r="G43" i="23" s="1"/>
  <c r="H43" i="23" s="1"/>
  <c r="I43" i="23" s="1"/>
  <c r="J43" i="23" s="1"/>
  <c r="K43" i="23" s="1"/>
  <c r="L43" i="23" s="1"/>
  <c r="M43" i="23" s="1"/>
  <c r="N43" i="23" s="1"/>
  <c r="O43" i="23" s="1"/>
  <c r="P43" i="23" s="1"/>
  <c r="Q43" i="23" s="1"/>
  <c r="R43" i="23" s="1"/>
  <c r="S43" i="23" s="1"/>
  <c r="T43" i="23" s="1"/>
  <c r="U43" i="23" s="1"/>
  <c r="V43" i="23" s="1"/>
  <c r="W43" i="23" s="1"/>
  <c r="X43" i="23" s="1"/>
  <c r="Y43" i="23" s="1"/>
  <c r="Z43" i="23" s="1"/>
  <c r="AA43" i="23" s="1"/>
  <c r="AB43" i="23" s="1"/>
  <c r="AC43" i="23" s="1"/>
  <c r="AD43" i="23" s="1"/>
  <c r="AE43" i="23" s="1"/>
  <c r="AF43" i="23" s="1"/>
  <c r="AG43" i="23" s="1"/>
  <c r="AH43" i="23" s="1"/>
  <c r="AI43" i="23" s="1"/>
  <c r="AJ43" i="23" s="1"/>
  <c r="AK43" i="23" s="1"/>
  <c r="AL43" i="23" s="1"/>
  <c r="AM43" i="23" s="1"/>
  <c r="AN43" i="23" s="1"/>
  <c r="AO43" i="23" s="1"/>
  <c r="AP43" i="23" s="1"/>
  <c r="AQ43" i="23" s="1"/>
  <c r="AR43" i="23" s="1"/>
  <c r="AS43" i="23" s="1"/>
  <c r="AT43" i="23" s="1"/>
  <c r="AU43" i="23" s="1"/>
  <c r="AV43" i="23" s="1"/>
  <c r="AW43" i="23" s="1"/>
  <c r="AX43" i="23" s="1"/>
  <c r="AY43" i="23" s="1"/>
  <c r="AZ43" i="23" s="1"/>
  <c r="BA43" i="23" s="1"/>
  <c r="BB43" i="23" s="1"/>
  <c r="BC43" i="23" s="1"/>
  <c r="BD43" i="23" s="1"/>
  <c r="BE43" i="23" s="1"/>
  <c r="BF43" i="23" s="1"/>
  <c r="BG43" i="23" s="1"/>
  <c r="BH43" i="23" s="1"/>
  <c r="BI43" i="23" s="1"/>
  <c r="BJ43" i="23" s="1"/>
  <c r="BJ41" i="23"/>
  <c r="BI41" i="23"/>
  <c r="BH41" i="23"/>
  <c r="BG41" i="23"/>
  <c r="BF41" i="23"/>
  <c r="BE41" i="23"/>
  <c r="BD41" i="23"/>
  <c r="BC41" i="23"/>
  <c r="BB41" i="23"/>
  <c r="BA41" i="23"/>
  <c r="AZ41" i="23"/>
  <c r="AY41" i="23"/>
  <c r="AX41" i="23"/>
  <c r="AW41" i="23"/>
  <c r="AV41" i="23"/>
  <c r="AU41" i="23"/>
  <c r="AT41" i="23"/>
  <c r="AS41" i="23"/>
  <c r="AR41" i="23"/>
  <c r="AQ41" i="23"/>
  <c r="AP41" i="23"/>
  <c r="AO41" i="23"/>
  <c r="AN41" i="23"/>
  <c r="AM41" i="23"/>
  <c r="AL41" i="23"/>
  <c r="AK41" i="23"/>
  <c r="AJ41" i="23"/>
  <c r="AI41" i="23"/>
  <c r="AH41" i="23"/>
  <c r="AG41" i="23"/>
  <c r="AF41" i="23"/>
  <c r="AE41" i="23"/>
  <c r="AD41" i="23"/>
  <c r="AC41" i="23"/>
  <c r="AB41" i="23"/>
  <c r="AA41" i="23"/>
  <c r="Z41" i="23"/>
  <c r="Y41" i="23"/>
  <c r="X41" i="23"/>
  <c r="W41" i="23"/>
  <c r="V41" i="23"/>
  <c r="U41" i="23"/>
  <c r="T41" i="23"/>
  <c r="S41" i="23"/>
  <c r="R41" i="23"/>
  <c r="Q41" i="23"/>
  <c r="P41" i="23"/>
  <c r="O41" i="23"/>
  <c r="N41" i="23"/>
  <c r="M41" i="23"/>
  <c r="L41" i="23"/>
  <c r="K41" i="23"/>
  <c r="J41" i="23"/>
  <c r="I41" i="23"/>
  <c r="H41" i="23"/>
  <c r="G41" i="23"/>
  <c r="C41" i="23"/>
  <c r="BJ40" i="23"/>
  <c r="BI40" i="23"/>
  <c r="BH40" i="23"/>
  <c r="BG40" i="23"/>
  <c r="BF40" i="23"/>
  <c r="BE40" i="23"/>
  <c r="BD40" i="23"/>
  <c r="BC40" i="23"/>
  <c r="BB40" i="23"/>
  <c r="BA40" i="23"/>
  <c r="AZ40" i="23"/>
  <c r="AY40" i="23"/>
  <c r="AX40" i="23"/>
  <c r="AW40" i="23"/>
  <c r="AV40" i="23"/>
  <c r="AU40" i="23"/>
  <c r="AT40" i="23"/>
  <c r="AS40" i="23"/>
  <c r="AR40" i="23"/>
  <c r="AQ40" i="23"/>
  <c r="AP40" i="23"/>
  <c r="AO40" i="23"/>
  <c r="AN40" i="23"/>
  <c r="AM40" i="23"/>
  <c r="AL40" i="23"/>
  <c r="AK40" i="23"/>
  <c r="AJ40" i="23"/>
  <c r="AI40" i="23"/>
  <c r="AH40" i="23"/>
  <c r="AG40" i="23"/>
  <c r="AF40" i="23"/>
  <c r="AE40" i="23"/>
  <c r="AD40" i="23"/>
  <c r="AC40" i="23"/>
  <c r="AB40" i="23"/>
  <c r="AA40" i="23"/>
  <c r="Z40" i="23"/>
  <c r="Y40" i="23"/>
  <c r="X40" i="23"/>
  <c r="W40" i="23"/>
  <c r="V40" i="23"/>
  <c r="U40" i="23"/>
  <c r="T40" i="23"/>
  <c r="S40" i="23"/>
  <c r="R40" i="23"/>
  <c r="Q40" i="23"/>
  <c r="P40" i="23"/>
  <c r="O40" i="23"/>
  <c r="N40" i="23"/>
  <c r="M40" i="23"/>
  <c r="L40" i="23"/>
  <c r="K40" i="23"/>
  <c r="J40" i="23"/>
  <c r="I40" i="23"/>
  <c r="H40" i="23"/>
  <c r="G40" i="23"/>
  <c r="C40" i="23"/>
  <c r="D38" i="23"/>
  <c r="E38" i="23" s="1"/>
  <c r="F38" i="23" s="1"/>
  <c r="G38" i="23" s="1"/>
  <c r="H38" i="23" s="1"/>
  <c r="I38" i="23" s="1"/>
  <c r="J38" i="23" s="1"/>
  <c r="K38" i="23" s="1"/>
  <c r="L38" i="23" s="1"/>
  <c r="M38" i="23" s="1"/>
  <c r="N38" i="23" s="1"/>
  <c r="O38" i="23" s="1"/>
  <c r="P38" i="23" s="1"/>
  <c r="Q38" i="23" s="1"/>
  <c r="R38" i="23" s="1"/>
  <c r="S38" i="23" s="1"/>
  <c r="T38" i="23" s="1"/>
  <c r="U38" i="23" s="1"/>
  <c r="V38" i="23" s="1"/>
  <c r="W38" i="23" s="1"/>
  <c r="X38" i="23" s="1"/>
  <c r="Y38" i="23" s="1"/>
  <c r="Z38" i="23" s="1"/>
  <c r="AA38" i="23" s="1"/>
  <c r="AB38" i="23" s="1"/>
  <c r="AC38" i="23" s="1"/>
  <c r="AD38" i="23" s="1"/>
  <c r="AE38" i="23" s="1"/>
  <c r="AF38" i="23" s="1"/>
  <c r="AG38" i="23" s="1"/>
  <c r="AH38" i="23" s="1"/>
  <c r="AI38" i="23" s="1"/>
  <c r="AJ38" i="23" s="1"/>
  <c r="AK38" i="23" s="1"/>
  <c r="AL38" i="23" s="1"/>
  <c r="AM38" i="23" s="1"/>
  <c r="AN38" i="23" s="1"/>
  <c r="AO38" i="23" s="1"/>
  <c r="AP38" i="23" s="1"/>
  <c r="AQ38" i="23" s="1"/>
  <c r="AR38" i="23" s="1"/>
  <c r="AS38" i="23" s="1"/>
  <c r="AT38" i="23" s="1"/>
  <c r="AU38" i="23" s="1"/>
  <c r="AV38" i="23" s="1"/>
  <c r="AW38" i="23" s="1"/>
  <c r="AX38" i="23" s="1"/>
  <c r="AY38" i="23" s="1"/>
  <c r="AZ38" i="23" s="1"/>
  <c r="BA38" i="23" s="1"/>
  <c r="BB38" i="23" s="1"/>
  <c r="BC38" i="23" s="1"/>
  <c r="BD38" i="23" s="1"/>
  <c r="BE38" i="23" s="1"/>
  <c r="BF38" i="23" s="1"/>
  <c r="BG38" i="23" s="1"/>
  <c r="BH38" i="23" s="1"/>
  <c r="BI38" i="23" s="1"/>
  <c r="BJ38" i="23" s="1"/>
  <c r="D33" i="23"/>
  <c r="E33" i="23" s="1"/>
  <c r="F33" i="23" s="1"/>
  <c r="G33" i="23" s="1"/>
  <c r="H33" i="23" s="1"/>
  <c r="I33" i="23" s="1"/>
  <c r="J33" i="23" s="1"/>
  <c r="K33" i="23" s="1"/>
  <c r="L33" i="23" s="1"/>
  <c r="M33" i="23" s="1"/>
  <c r="N33" i="23" s="1"/>
  <c r="O33" i="23" s="1"/>
  <c r="P33" i="23" s="1"/>
  <c r="Q33" i="23" s="1"/>
  <c r="R33" i="23" s="1"/>
  <c r="S33" i="23" s="1"/>
  <c r="T33" i="23" s="1"/>
  <c r="U33" i="23" s="1"/>
  <c r="V33" i="23" s="1"/>
  <c r="W33" i="23" s="1"/>
  <c r="X33" i="23" s="1"/>
  <c r="Y33" i="23" s="1"/>
  <c r="Z33" i="23" s="1"/>
  <c r="AA33" i="23" s="1"/>
  <c r="AB33" i="23" s="1"/>
  <c r="AC33" i="23" s="1"/>
  <c r="AD33" i="23" s="1"/>
  <c r="AE33" i="23" s="1"/>
  <c r="AF33" i="23" s="1"/>
  <c r="AG33" i="23" s="1"/>
  <c r="AH33" i="23" s="1"/>
  <c r="AI33" i="23" s="1"/>
  <c r="AJ33" i="23" s="1"/>
  <c r="AK33" i="23" s="1"/>
  <c r="AL33" i="23" s="1"/>
  <c r="AM33" i="23" s="1"/>
  <c r="AN33" i="23" s="1"/>
  <c r="AO33" i="23" s="1"/>
  <c r="AP33" i="23" s="1"/>
  <c r="AQ33" i="23" s="1"/>
  <c r="AR33" i="23" s="1"/>
  <c r="AS33" i="23" s="1"/>
  <c r="AT33" i="23" s="1"/>
  <c r="AU33" i="23" s="1"/>
  <c r="AV33" i="23" s="1"/>
  <c r="AW33" i="23" s="1"/>
  <c r="AX33" i="23" s="1"/>
  <c r="AY33" i="23" s="1"/>
  <c r="AZ33" i="23" s="1"/>
  <c r="BA33" i="23" s="1"/>
  <c r="BB33" i="23" s="1"/>
  <c r="BC33" i="23" s="1"/>
  <c r="BD33" i="23" s="1"/>
  <c r="BE33" i="23" s="1"/>
  <c r="BF33" i="23" s="1"/>
  <c r="BG33" i="23" s="1"/>
  <c r="BH33" i="23" s="1"/>
  <c r="BI33" i="23" s="1"/>
  <c r="BJ33" i="23" s="1"/>
  <c r="D27" i="23"/>
  <c r="E27" i="23" s="1"/>
  <c r="F27" i="23" s="1"/>
  <c r="G27" i="23" s="1"/>
  <c r="H27" i="23" s="1"/>
  <c r="I27" i="23" s="1"/>
  <c r="J27" i="23" s="1"/>
  <c r="K27" i="23" s="1"/>
  <c r="L27" i="23" s="1"/>
  <c r="M27" i="23" s="1"/>
  <c r="N27" i="23" s="1"/>
  <c r="O27" i="23" s="1"/>
  <c r="P27" i="23" s="1"/>
  <c r="Q27" i="23" s="1"/>
  <c r="R27" i="23" s="1"/>
  <c r="S27" i="23" s="1"/>
  <c r="T27" i="23" s="1"/>
  <c r="U27" i="23" s="1"/>
  <c r="V27" i="23" s="1"/>
  <c r="W27" i="23" s="1"/>
  <c r="X27" i="23" s="1"/>
  <c r="Y27" i="23" s="1"/>
  <c r="Z27" i="23" s="1"/>
  <c r="AA27" i="23" s="1"/>
  <c r="AB27" i="23" s="1"/>
  <c r="AC27" i="23" s="1"/>
  <c r="AD27" i="23" s="1"/>
  <c r="AE27" i="23" s="1"/>
  <c r="AF27" i="23" s="1"/>
  <c r="AG27" i="23" s="1"/>
  <c r="AH27" i="23" s="1"/>
  <c r="AI27" i="23" s="1"/>
  <c r="AJ27" i="23" s="1"/>
  <c r="AK27" i="23" s="1"/>
  <c r="AL27" i="23" s="1"/>
  <c r="AM27" i="23" s="1"/>
  <c r="AN27" i="23" s="1"/>
  <c r="AO27" i="23" s="1"/>
  <c r="AP27" i="23" s="1"/>
  <c r="AQ27" i="23" s="1"/>
  <c r="AR27" i="23" s="1"/>
  <c r="AS27" i="23" s="1"/>
  <c r="AT27" i="23" s="1"/>
  <c r="AU27" i="23" s="1"/>
  <c r="AV27" i="23" s="1"/>
  <c r="AW27" i="23" s="1"/>
  <c r="AX27" i="23" s="1"/>
  <c r="AY27" i="23" s="1"/>
  <c r="AZ27" i="23" s="1"/>
  <c r="BA27" i="23" s="1"/>
  <c r="BB27" i="23" s="1"/>
  <c r="BC27" i="23" s="1"/>
  <c r="BD27" i="23" s="1"/>
  <c r="BE27" i="23" s="1"/>
  <c r="BF27" i="23" s="1"/>
  <c r="BG27" i="23" s="1"/>
  <c r="BH27" i="23" s="1"/>
  <c r="BI27" i="23" s="1"/>
  <c r="BJ27" i="23" s="1"/>
  <c r="D26" i="31" l="1"/>
  <c r="E26" i="31" s="1"/>
  <c r="F26" i="31" s="1"/>
  <c r="G26" i="31" s="1"/>
  <c r="H26" i="31" s="1"/>
  <c r="I26" i="31" s="1"/>
  <c r="J26" i="31" s="1"/>
  <c r="K26" i="31" s="1"/>
  <c r="L26" i="31" s="1"/>
  <c r="M26" i="31" s="1"/>
  <c r="N26" i="31" s="1"/>
  <c r="O26" i="31" s="1"/>
  <c r="P26" i="31" s="1"/>
  <c r="Q26" i="31" s="1"/>
  <c r="R26" i="31" s="1"/>
  <c r="S26" i="31" s="1"/>
  <c r="T26" i="31" s="1"/>
  <c r="U26" i="31" s="1"/>
  <c r="V26" i="31" s="1"/>
  <c r="W26" i="31" s="1"/>
  <c r="X26" i="31" s="1"/>
  <c r="Y26" i="31" s="1"/>
  <c r="Z26" i="31" s="1"/>
  <c r="AA26" i="31" s="1"/>
  <c r="AB26" i="31" s="1"/>
  <c r="AC26" i="31" s="1"/>
  <c r="AD26" i="31" s="1"/>
  <c r="AE26" i="31" s="1"/>
  <c r="AF26" i="31" s="1"/>
  <c r="AG26" i="31" s="1"/>
  <c r="AH26" i="31" s="1"/>
  <c r="AI26" i="31" s="1"/>
  <c r="AJ26" i="31" s="1"/>
  <c r="AK26" i="31" s="1"/>
  <c r="AL26" i="31" s="1"/>
  <c r="AM26" i="31" s="1"/>
  <c r="AN26" i="31" s="1"/>
  <c r="AO26" i="31" s="1"/>
  <c r="AP26" i="31" s="1"/>
  <c r="AQ26" i="31" s="1"/>
  <c r="AR26" i="31" s="1"/>
  <c r="AS26" i="31" s="1"/>
  <c r="AT26" i="31" s="1"/>
  <c r="AU26" i="31" s="1"/>
  <c r="AV26" i="31" s="1"/>
  <c r="AW26" i="31" s="1"/>
  <c r="AX26" i="31" s="1"/>
  <c r="AY26" i="31" s="1"/>
  <c r="AZ26" i="31" s="1"/>
  <c r="BA26" i="31" s="1"/>
  <c r="BB26" i="31" s="1"/>
  <c r="BC26" i="31" s="1"/>
  <c r="BD26" i="31" s="1"/>
  <c r="BE26" i="31" s="1"/>
  <c r="BF26" i="31" s="1"/>
  <c r="BG26" i="31" s="1"/>
  <c r="BH26" i="31" s="1"/>
  <c r="BI26" i="31" s="1"/>
  <c r="BJ26" i="31" s="1"/>
  <c r="C32" i="31"/>
  <c r="G2" i="31"/>
  <c r="D38" i="25"/>
  <c r="E38" i="25" s="1"/>
  <c r="F38" i="25" s="1"/>
  <c r="G38" i="25" s="1"/>
  <c r="H38" i="25" s="1"/>
  <c r="I38" i="25" s="1"/>
  <c r="J38" i="25" s="1"/>
  <c r="K38" i="25" s="1"/>
  <c r="L38" i="25" s="1"/>
  <c r="M38" i="25" s="1"/>
  <c r="N38" i="25" s="1"/>
  <c r="O38" i="25" s="1"/>
  <c r="P38" i="25" s="1"/>
  <c r="Q38" i="25" s="1"/>
  <c r="R38" i="25" s="1"/>
  <c r="S38" i="25" s="1"/>
  <c r="T38" i="25" s="1"/>
  <c r="U38" i="25" s="1"/>
  <c r="V38" i="25" s="1"/>
  <c r="W38" i="25" s="1"/>
  <c r="X38" i="25" s="1"/>
  <c r="Y38" i="25" s="1"/>
  <c r="Z38" i="25" s="1"/>
  <c r="AA38" i="25" s="1"/>
  <c r="AB38" i="25" s="1"/>
  <c r="AC38" i="25" s="1"/>
  <c r="AD38" i="25" s="1"/>
  <c r="AE38" i="25" s="1"/>
  <c r="AF38" i="25" s="1"/>
  <c r="AG38" i="25" s="1"/>
  <c r="AH38" i="25" s="1"/>
  <c r="AI38" i="25" s="1"/>
  <c r="AJ38" i="25" s="1"/>
  <c r="AK38" i="25" s="1"/>
  <c r="AL38" i="25" s="1"/>
  <c r="AM38" i="25" s="1"/>
  <c r="AN38" i="25" s="1"/>
  <c r="AO38" i="25" s="1"/>
  <c r="AP38" i="25" s="1"/>
  <c r="AQ38" i="25" s="1"/>
  <c r="AR38" i="25" s="1"/>
  <c r="AS38" i="25" s="1"/>
  <c r="AT38" i="25" s="1"/>
  <c r="AU38" i="25" s="1"/>
  <c r="AV38" i="25" s="1"/>
  <c r="AW38" i="25" s="1"/>
  <c r="AX38" i="25" s="1"/>
  <c r="AY38" i="25" s="1"/>
  <c r="AZ38" i="25" s="1"/>
  <c r="BA38" i="25" s="1"/>
  <c r="BB38" i="25" s="1"/>
  <c r="BC38" i="25" s="1"/>
  <c r="BD38" i="25" s="1"/>
  <c r="BE38" i="25" s="1"/>
  <c r="BF38" i="25" s="1"/>
  <c r="BG38" i="25" s="1"/>
  <c r="BH38" i="25" s="1"/>
  <c r="BI38" i="25" s="1"/>
  <c r="BJ38" i="25" s="1"/>
  <c r="C44" i="25"/>
  <c r="O27" i="13"/>
  <c r="BJ17" i="23"/>
  <c r="BI17" i="23"/>
  <c r="BH17" i="23"/>
  <c r="BG17" i="23"/>
  <c r="BF17" i="23"/>
  <c r="BE17" i="23"/>
  <c r="BD17" i="23"/>
  <c r="BC17" i="23"/>
  <c r="BB17" i="23"/>
  <c r="BA17" i="23"/>
  <c r="AZ17" i="23"/>
  <c r="AY17" i="23"/>
  <c r="AX17" i="23"/>
  <c r="AW17" i="23"/>
  <c r="AV17" i="23"/>
  <c r="AU17" i="23"/>
  <c r="AT17" i="23"/>
  <c r="AS17" i="23"/>
  <c r="AR17" i="23"/>
  <c r="AQ17" i="23"/>
  <c r="AP17" i="23"/>
  <c r="AO17" i="23"/>
  <c r="AN17" i="23"/>
  <c r="AM17" i="23"/>
  <c r="AL17" i="23"/>
  <c r="AK17" i="23"/>
  <c r="AJ17" i="23"/>
  <c r="AI17" i="23"/>
  <c r="AH17" i="23"/>
  <c r="AG17" i="23"/>
  <c r="AF17" i="23"/>
  <c r="AE17" i="23"/>
  <c r="AD17" i="23"/>
  <c r="AC17" i="23"/>
  <c r="AB17" i="23"/>
  <c r="AA17" i="23"/>
  <c r="Z17" i="23"/>
  <c r="Y17" i="23"/>
  <c r="X17" i="23"/>
  <c r="W17" i="23"/>
  <c r="V17" i="23"/>
  <c r="U17" i="23"/>
  <c r="T17" i="23"/>
  <c r="S17" i="23"/>
  <c r="R17" i="23"/>
  <c r="Q17" i="23"/>
  <c r="P17" i="23"/>
  <c r="O17" i="23"/>
  <c r="N17" i="23"/>
  <c r="M17" i="23"/>
  <c r="L17" i="23"/>
  <c r="K17" i="23"/>
  <c r="J17" i="23"/>
  <c r="I17" i="23"/>
  <c r="H17" i="23"/>
  <c r="G17" i="23"/>
  <c r="F17" i="23"/>
  <c r="BJ16" i="23"/>
  <c r="BI16" i="23"/>
  <c r="BH16" i="23"/>
  <c r="BG16" i="23"/>
  <c r="BF16" i="23"/>
  <c r="BE16" i="23"/>
  <c r="BD16" i="23"/>
  <c r="BC16" i="23"/>
  <c r="BB16" i="23"/>
  <c r="BA16" i="23"/>
  <c r="AZ16" i="23"/>
  <c r="AY16" i="23"/>
  <c r="AX16" i="23"/>
  <c r="AW16" i="23"/>
  <c r="AV16" i="23"/>
  <c r="AU16" i="23"/>
  <c r="AT16" i="23"/>
  <c r="AS16" i="23"/>
  <c r="AR16" i="23"/>
  <c r="AQ16" i="23"/>
  <c r="AP16" i="23"/>
  <c r="AO16" i="23"/>
  <c r="AN16" i="23"/>
  <c r="AM16" i="23"/>
  <c r="AL16" i="23"/>
  <c r="AK16" i="23"/>
  <c r="AJ16" i="23"/>
  <c r="AI16" i="23"/>
  <c r="AH16" i="23"/>
  <c r="AG16" i="23"/>
  <c r="AF16" i="23"/>
  <c r="AE16" i="23"/>
  <c r="AD16" i="23"/>
  <c r="AC16" i="23"/>
  <c r="AB16" i="23"/>
  <c r="AA16" i="23"/>
  <c r="Z16" i="23"/>
  <c r="Y16" i="23"/>
  <c r="X16" i="23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6" i="23"/>
  <c r="F16" i="23"/>
  <c r="H2" i="31" l="1"/>
  <c r="C38" i="31"/>
  <c r="D32" i="31"/>
  <c r="E32" i="31" s="1"/>
  <c r="F32" i="31" s="1"/>
  <c r="G32" i="31" s="1"/>
  <c r="H32" i="31" s="1"/>
  <c r="I32" i="31" s="1"/>
  <c r="J32" i="31" s="1"/>
  <c r="K32" i="31" s="1"/>
  <c r="L32" i="31" s="1"/>
  <c r="M32" i="31" s="1"/>
  <c r="N32" i="31" s="1"/>
  <c r="O32" i="31" s="1"/>
  <c r="P32" i="31" s="1"/>
  <c r="Q32" i="31" s="1"/>
  <c r="R32" i="31" s="1"/>
  <c r="S32" i="31" s="1"/>
  <c r="T32" i="31" s="1"/>
  <c r="U32" i="31" s="1"/>
  <c r="V32" i="31" s="1"/>
  <c r="W32" i="31" s="1"/>
  <c r="X32" i="31" s="1"/>
  <c r="Y32" i="31" s="1"/>
  <c r="Z32" i="31" s="1"/>
  <c r="AA32" i="31" s="1"/>
  <c r="AB32" i="31" s="1"/>
  <c r="AC32" i="31" s="1"/>
  <c r="AD32" i="31" s="1"/>
  <c r="AE32" i="31" s="1"/>
  <c r="AF32" i="31" s="1"/>
  <c r="AG32" i="31" s="1"/>
  <c r="AH32" i="31" s="1"/>
  <c r="AI32" i="31" s="1"/>
  <c r="AJ32" i="31" s="1"/>
  <c r="AK32" i="31" s="1"/>
  <c r="AL32" i="31" s="1"/>
  <c r="AM32" i="31" s="1"/>
  <c r="AN32" i="31" s="1"/>
  <c r="AO32" i="31" s="1"/>
  <c r="AP32" i="31" s="1"/>
  <c r="AQ32" i="31" s="1"/>
  <c r="AR32" i="31" s="1"/>
  <c r="AS32" i="31" s="1"/>
  <c r="AT32" i="31" s="1"/>
  <c r="AU32" i="31" s="1"/>
  <c r="AV32" i="31" s="1"/>
  <c r="AW32" i="31" s="1"/>
  <c r="AX32" i="31" s="1"/>
  <c r="AY32" i="31" s="1"/>
  <c r="AZ32" i="31" s="1"/>
  <c r="BA32" i="31" s="1"/>
  <c r="BB32" i="31" s="1"/>
  <c r="BC32" i="31" s="1"/>
  <c r="BD32" i="31" s="1"/>
  <c r="BE32" i="31" s="1"/>
  <c r="BF32" i="31" s="1"/>
  <c r="BG32" i="31" s="1"/>
  <c r="BH32" i="31" s="1"/>
  <c r="BI32" i="31" s="1"/>
  <c r="BJ32" i="31" s="1"/>
  <c r="D44" i="25"/>
  <c r="E44" i="25" s="1"/>
  <c r="F44" i="25" s="1"/>
  <c r="G44" i="25" s="1"/>
  <c r="H44" i="25" s="1"/>
  <c r="I44" i="25" s="1"/>
  <c r="J44" i="25" s="1"/>
  <c r="K44" i="25" s="1"/>
  <c r="L44" i="25" s="1"/>
  <c r="M44" i="25" s="1"/>
  <c r="N44" i="25" s="1"/>
  <c r="O44" i="25" s="1"/>
  <c r="P44" i="25" s="1"/>
  <c r="Q44" i="25" s="1"/>
  <c r="R44" i="25" s="1"/>
  <c r="S44" i="25" s="1"/>
  <c r="T44" i="25" s="1"/>
  <c r="U44" i="25" s="1"/>
  <c r="V44" i="25" s="1"/>
  <c r="W44" i="25" s="1"/>
  <c r="X44" i="25" s="1"/>
  <c r="Y44" i="25" s="1"/>
  <c r="Z44" i="25" s="1"/>
  <c r="AA44" i="25" s="1"/>
  <c r="AB44" i="25" s="1"/>
  <c r="AC44" i="25" s="1"/>
  <c r="AD44" i="25" s="1"/>
  <c r="AE44" i="25" s="1"/>
  <c r="AF44" i="25" s="1"/>
  <c r="AG44" i="25" s="1"/>
  <c r="AH44" i="25" s="1"/>
  <c r="AI44" i="25" s="1"/>
  <c r="AJ44" i="25" s="1"/>
  <c r="AK44" i="25" s="1"/>
  <c r="AL44" i="25" s="1"/>
  <c r="AM44" i="25" s="1"/>
  <c r="C50" i="25"/>
  <c r="P27" i="13"/>
  <c r="B5" i="24"/>
  <c r="B4" i="24"/>
  <c r="B9" i="24"/>
  <c r="B8" i="24"/>
  <c r="B13" i="24"/>
  <c r="B12" i="24"/>
  <c r="B17" i="24"/>
  <c r="B16" i="24"/>
  <c r="C44" i="31" l="1"/>
  <c r="D44" i="31" s="1"/>
  <c r="E44" i="31" s="1"/>
  <c r="F44" i="31" s="1"/>
  <c r="G44" i="31" s="1"/>
  <c r="H44" i="31" s="1"/>
  <c r="I44" i="31" s="1"/>
  <c r="J44" i="31" s="1"/>
  <c r="K44" i="31" s="1"/>
  <c r="L44" i="31" s="1"/>
  <c r="M44" i="31" s="1"/>
  <c r="N44" i="31" s="1"/>
  <c r="O44" i="31" s="1"/>
  <c r="P44" i="31" s="1"/>
  <c r="Q44" i="31" s="1"/>
  <c r="R44" i="31" s="1"/>
  <c r="S44" i="31" s="1"/>
  <c r="T44" i="31" s="1"/>
  <c r="U44" i="31" s="1"/>
  <c r="V44" i="31" s="1"/>
  <c r="W44" i="31" s="1"/>
  <c r="X44" i="31" s="1"/>
  <c r="Y44" i="31" s="1"/>
  <c r="Z44" i="31" s="1"/>
  <c r="AA44" i="31" s="1"/>
  <c r="AB44" i="31" s="1"/>
  <c r="AC44" i="31" s="1"/>
  <c r="AD44" i="31" s="1"/>
  <c r="AE44" i="31" s="1"/>
  <c r="AF44" i="31" s="1"/>
  <c r="AG44" i="31" s="1"/>
  <c r="AH44" i="31" s="1"/>
  <c r="AI44" i="31" s="1"/>
  <c r="AJ44" i="31" s="1"/>
  <c r="AK44" i="31" s="1"/>
  <c r="AL44" i="31" s="1"/>
  <c r="AM44" i="31" s="1"/>
  <c r="AN44" i="31" s="1"/>
  <c r="AO44" i="31" s="1"/>
  <c r="AP44" i="31" s="1"/>
  <c r="AQ44" i="31" s="1"/>
  <c r="AR44" i="31" s="1"/>
  <c r="AS44" i="31" s="1"/>
  <c r="AT44" i="31" s="1"/>
  <c r="AU44" i="31" s="1"/>
  <c r="AV44" i="31" s="1"/>
  <c r="AW44" i="31" s="1"/>
  <c r="AX44" i="31" s="1"/>
  <c r="AY44" i="31" s="1"/>
  <c r="AZ44" i="31" s="1"/>
  <c r="BA44" i="31" s="1"/>
  <c r="BB44" i="31" s="1"/>
  <c r="BC44" i="31" s="1"/>
  <c r="BD44" i="31" s="1"/>
  <c r="BE44" i="31" s="1"/>
  <c r="BF44" i="31" s="1"/>
  <c r="BG44" i="31" s="1"/>
  <c r="BH44" i="31" s="1"/>
  <c r="BI44" i="31" s="1"/>
  <c r="BJ44" i="31" s="1"/>
  <c r="D38" i="31"/>
  <c r="E38" i="31" s="1"/>
  <c r="F38" i="31" s="1"/>
  <c r="G38" i="31" s="1"/>
  <c r="H38" i="31" s="1"/>
  <c r="I38" i="31" s="1"/>
  <c r="J38" i="31" s="1"/>
  <c r="K38" i="31" s="1"/>
  <c r="L38" i="31" s="1"/>
  <c r="M38" i="31" s="1"/>
  <c r="N38" i="31" s="1"/>
  <c r="O38" i="31" s="1"/>
  <c r="P38" i="31" s="1"/>
  <c r="Q38" i="31" s="1"/>
  <c r="R38" i="31" s="1"/>
  <c r="S38" i="31" s="1"/>
  <c r="T38" i="31" s="1"/>
  <c r="U38" i="31" s="1"/>
  <c r="V38" i="31" s="1"/>
  <c r="W38" i="31" s="1"/>
  <c r="X38" i="31" s="1"/>
  <c r="Y38" i="31" s="1"/>
  <c r="Z38" i="31" s="1"/>
  <c r="AA38" i="31" s="1"/>
  <c r="AB38" i="31" s="1"/>
  <c r="AC38" i="31" s="1"/>
  <c r="AD38" i="31" s="1"/>
  <c r="AE38" i="31" s="1"/>
  <c r="AF38" i="31" s="1"/>
  <c r="AG38" i="31" s="1"/>
  <c r="AH38" i="31" s="1"/>
  <c r="AI38" i="31" s="1"/>
  <c r="AJ38" i="31" s="1"/>
  <c r="AK38" i="31" s="1"/>
  <c r="AL38" i="31" s="1"/>
  <c r="AM38" i="31" s="1"/>
  <c r="AN38" i="31" s="1"/>
  <c r="AO38" i="31" s="1"/>
  <c r="AP38" i="31" s="1"/>
  <c r="AQ38" i="31" s="1"/>
  <c r="AR38" i="31" s="1"/>
  <c r="AS38" i="31" s="1"/>
  <c r="AT38" i="31" s="1"/>
  <c r="AU38" i="31" s="1"/>
  <c r="AV38" i="31" s="1"/>
  <c r="AW38" i="31" s="1"/>
  <c r="AX38" i="31" s="1"/>
  <c r="AY38" i="31" s="1"/>
  <c r="AZ38" i="31" s="1"/>
  <c r="BA38" i="31" s="1"/>
  <c r="BB38" i="31" s="1"/>
  <c r="BC38" i="31" s="1"/>
  <c r="BD38" i="31" s="1"/>
  <c r="BE38" i="31" s="1"/>
  <c r="BF38" i="31" s="1"/>
  <c r="BG38" i="31" s="1"/>
  <c r="BH38" i="31" s="1"/>
  <c r="BI38" i="31" s="1"/>
  <c r="BJ38" i="31" s="1"/>
  <c r="C50" i="31"/>
  <c r="I2" i="31"/>
  <c r="C56" i="25"/>
  <c r="D50" i="25"/>
  <c r="E50" i="25" s="1"/>
  <c r="F50" i="25" s="1"/>
  <c r="G50" i="25" s="1"/>
  <c r="H50" i="25" s="1"/>
  <c r="I50" i="25" s="1"/>
  <c r="J50" i="25" s="1"/>
  <c r="K50" i="25" s="1"/>
  <c r="L50" i="25" s="1"/>
  <c r="M50" i="25" s="1"/>
  <c r="N50" i="25" s="1"/>
  <c r="O50" i="25" s="1"/>
  <c r="P50" i="25" s="1"/>
  <c r="Q50" i="25" s="1"/>
  <c r="R50" i="25" s="1"/>
  <c r="S50" i="25" s="1"/>
  <c r="T50" i="25" s="1"/>
  <c r="U50" i="25" s="1"/>
  <c r="V50" i="25" s="1"/>
  <c r="W50" i="25" s="1"/>
  <c r="X50" i="25" s="1"/>
  <c r="Y50" i="25" s="1"/>
  <c r="Z50" i="25" s="1"/>
  <c r="AA50" i="25" s="1"/>
  <c r="AB50" i="25" s="1"/>
  <c r="AC50" i="25" s="1"/>
  <c r="AD50" i="25" s="1"/>
  <c r="AE50" i="25" s="1"/>
  <c r="AF50" i="25" s="1"/>
  <c r="AG50" i="25" s="1"/>
  <c r="AH50" i="25" s="1"/>
  <c r="AI50" i="25" s="1"/>
  <c r="AJ50" i="25" s="1"/>
  <c r="AK50" i="25" s="1"/>
  <c r="AL50" i="25" s="1"/>
  <c r="AM50" i="25" s="1"/>
  <c r="AN50" i="25" s="1"/>
  <c r="AO50" i="25" s="1"/>
  <c r="AP50" i="25" s="1"/>
  <c r="AQ50" i="25" s="1"/>
  <c r="AR50" i="25" s="1"/>
  <c r="AS50" i="25" s="1"/>
  <c r="AT50" i="25" s="1"/>
  <c r="AU50" i="25" s="1"/>
  <c r="AV50" i="25" s="1"/>
  <c r="AW50" i="25" s="1"/>
  <c r="AX50" i="25" s="1"/>
  <c r="AY50" i="25" s="1"/>
  <c r="AZ50" i="25" s="1"/>
  <c r="BA50" i="25" s="1"/>
  <c r="BB50" i="25" s="1"/>
  <c r="BC50" i="25" s="1"/>
  <c r="BD50" i="25" s="1"/>
  <c r="BE50" i="25" s="1"/>
  <c r="BF50" i="25" s="1"/>
  <c r="BG50" i="25" s="1"/>
  <c r="BH50" i="25" s="1"/>
  <c r="BI50" i="25" s="1"/>
  <c r="BJ50" i="25" s="1"/>
  <c r="Q27" i="13"/>
  <c r="A28" i="10"/>
  <c r="A18" i="10"/>
  <c r="A8" i="10"/>
  <c r="G29" i="10"/>
  <c r="H29" i="10" s="1"/>
  <c r="I29" i="10" s="1"/>
  <c r="J29" i="10" s="1"/>
  <c r="K29" i="10" s="1"/>
  <c r="L29" i="10" s="1"/>
  <c r="M29" i="10" s="1"/>
  <c r="N29" i="10" s="1"/>
  <c r="O29" i="10" s="1"/>
  <c r="P29" i="10" s="1"/>
  <c r="Q29" i="10" s="1"/>
  <c r="R29" i="10" s="1"/>
  <c r="S29" i="10" s="1"/>
  <c r="T29" i="10" s="1"/>
  <c r="U29" i="10" s="1"/>
  <c r="V29" i="10" s="1"/>
  <c r="W29" i="10" s="1"/>
  <c r="X29" i="10" s="1"/>
  <c r="Y29" i="10" s="1"/>
  <c r="Z29" i="10" s="1"/>
  <c r="AA29" i="10" s="1"/>
  <c r="AB29" i="10" s="1"/>
  <c r="AC29" i="10" s="1"/>
  <c r="AD29" i="10" s="1"/>
  <c r="AE29" i="10" s="1"/>
  <c r="AF29" i="10" s="1"/>
  <c r="AG29" i="10" s="1"/>
  <c r="AH29" i="10" s="1"/>
  <c r="AI29" i="10" s="1"/>
  <c r="AJ29" i="10" s="1"/>
  <c r="AK29" i="10" s="1"/>
  <c r="AL29" i="10" s="1"/>
  <c r="AM29" i="10" s="1"/>
  <c r="AN29" i="10" s="1"/>
  <c r="AO29" i="10" s="1"/>
  <c r="AP29" i="10" s="1"/>
  <c r="AQ29" i="10" s="1"/>
  <c r="AR29" i="10" s="1"/>
  <c r="AS29" i="10" s="1"/>
  <c r="AT29" i="10" s="1"/>
  <c r="AU29" i="10" s="1"/>
  <c r="AV29" i="10" s="1"/>
  <c r="AW29" i="10" s="1"/>
  <c r="AX29" i="10" s="1"/>
  <c r="AY29" i="10" s="1"/>
  <c r="AZ29" i="10" s="1"/>
  <c r="BA29" i="10" s="1"/>
  <c r="BB29" i="10" s="1"/>
  <c r="BC29" i="10" s="1"/>
  <c r="BD29" i="10" s="1"/>
  <c r="BE29" i="10" s="1"/>
  <c r="BF29" i="10" s="1"/>
  <c r="BG29" i="10" s="1"/>
  <c r="BH29" i="10" s="1"/>
  <c r="BI29" i="10" s="1"/>
  <c r="BJ29" i="10" s="1"/>
  <c r="BK29" i="10" s="1"/>
  <c r="BL29" i="10" s="1"/>
  <c r="BM29" i="10" s="1"/>
  <c r="G24" i="10"/>
  <c r="H24" i="10" s="1"/>
  <c r="I24" i="10" s="1"/>
  <c r="J24" i="10" s="1"/>
  <c r="K24" i="10" s="1"/>
  <c r="L24" i="10" s="1"/>
  <c r="M24" i="10" s="1"/>
  <c r="N24" i="10" s="1"/>
  <c r="O24" i="10" s="1"/>
  <c r="P24" i="10" s="1"/>
  <c r="Q24" i="10" s="1"/>
  <c r="R24" i="10" s="1"/>
  <c r="S24" i="10" s="1"/>
  <c r="T24" i="10" s="1"/>
  <c r="U24" i="10" s="1"/>
  <c r="V24" i="10" s="1"/>
  <c r="W24" i="10" s="1"/>
  <c r="X24" i="10" s="1"/>
  <c r="Y24" i="10" s="1"/>
  <c r="Z24" i="10" s="1"/>
  <c r="AA24" i="10" s="1"/>
  <c r="AB24" i="10" s="1"/>
  <c r="AC24" i="10" s="1"/>
  <c r="AD24" i="10" s="1"/>
  <c r="AE24" i="10" s="1"/>
  <c r="AF24" i="10" s="1"/>
  <c r="AG24" i="10" s="1"/>
  <c r="AH24" i="10" s="1"/>
  <c r="AI24" i="10" s="1"/>
  <c r="AJ24" i="10" s="1"/>
  <c r="AK24" i="10" s="1"/>
  <c r="AL24" i="10" s="1"/>
  <c r="AM24" i="10" s="1"/>
  <c r="AN24" i="10" s="1"/>
  <c r="AO24" i="10" s="1"/>
  <c r="AP24" i="10" s="1"/>
  <c r="AQ24" i="10" s="1"/>
  <c r="AR24" i="10" s="1"/>
  <c r="AS24" i="10" s="1"/>
  <c r="AT24" i="10" s="1"/>
  <c r="AU24" i="10" s="1"/>
  <c r="AV24" i="10" s="1"/>
  <c r="AW24" i="10" s="1"/>
  <c r="AX24" i="10" s="1"/>
  <c r="AY24" i="10" s="1"/>
  <c r="AZ24" i="10" s="1"/>
  <c r="BA24" i="10" s="1"/>
  <c r="BB24" i="10" s="1"/>
  <c r="BC24" i="10" s="1"/>
  <c r="BD24" i="10" s="1"/>
  <c r="BE24" i="10" s="1"/>
  <c r="BF24" i="10" s="1"/>
  <c r="BG24" i="10" s="1"/>
  <c r="BH24" i="10" s="1"/>
  <c r="BI24" i="10" s="1"/>
  <c r="BJ24" i="10" s="1"/>
  <c r="BK24" i="10" s="1"/>
  <c r="BL24" i="10" s="1"/>
  <c r="BM24" i="10" s="1"/>
  <c r="G19" i="10"/>
  <c r="H19" i="10" s="1"/>
  <c r="I19" i="10" s="1"/>
  <c r="J19" i="10" s="1"/>
  <c r="K19" i="10" s="1"/>
  <c r="L19" i="10" s="1"/>
  <c r="M19" i="10" s="1"/>
  <c r="N19" i="10" s="1"/>
  <c r="O19" i="10" s="1"/>
  <c r="P19" i="10" s="1"/>
  <c r="G14" i="10"/>
  <c r="H14" i="10" s="1"/>
  <c r="I14" i="10" s="1"/>
  <c r="J14" i="10" s="1"/>
  <c r="K14" i="10" s="1"/>
  <c r="L14" i="10" s="1"/>
  <c r="M14" i="10" s="1"/>
  <c r="N14" i="10" s="1"/>
  <c r="O14" i="10" s="1"/>
  <c r="P14" i="10" s="1"/>
  <c r="Q14" i="10" s="1"/>
  <c r="R14" i="10" s="1"/>
  <c r="S14" i="10" s="1"/>
  <c r="T14" i="10" s="1"/>
  <c r="U14" i="10" s="1"/>
  <c r="V14" i="10" s="1"/>
  <c r="W14" i="10" s="1"/>
  <c r="X14" i="10" s="1"/>
  <c r="Y14" i="10" s="1"/>
  <c r="Z14" i="10" s="1"/>
  <c r="AA14" i="10" s="1"/>
  <c r="AB14" i="10" s="1"/>
  <c r="AC14" i="10" s="1"/>
  <c r="AD14" i="10" s="1"/>
  <c r="AE14" i="10" s="1"/>
  <c r="AF14" i="10" s="1"/>
  <c r="AG14" i="10" s="1"/>
  <c r="AH14" i="10" s="1"/>
  <c r="AI14" i="10" s="1"/>
  <c r="AJ14" i="10" s="1"/>
  <c r="AK14" i="10" s="1"/>
  <c r="AL14" i="10" s="1"/>
  <c r="AM14" i="10" s="1"/>
  <c r="AN14" i="10" s="1"/>
  <c r="AO14" i="10" s="1"/>
  <c r="AP14" i="10" s="1"/>
  <c r="AQ14" i="10" s="1"/>
  <c r="AR14" i="10" s="1"/>
  <c r="AS14" i="10" s="1"/>
  <c r="AT14" i="10" s="1"/>
  <c r="AU14" i="10" s="1"/>
  <c r="AV14" i="10" s="1"/>
  <c r="AW14" i="10" s="1"/>
  <c r="AX14" i="10" s="1"/>
  <c r="AY14" i="10" s="1"/>
  <c r="AZ14" i="10" s="1"/>
  <c r="BA14" i="10" s="1"/>
  <c r="BB14" i="10" s="1"/>
  <c r="BC14" i="10" s="1"/>
  <c r="BD14" i="10" s="1"/>
  <c r="BE14" i="10" s="1"/>
  <c r="BF14" i="10" s="1"/>
  <c r="BG14" i="10" s="1"/>
  <c r="BH14" i="10" s="1"/>
  <c r="BI14" i="10" s="1"/>
  <c r="BJ14" i="10" s="1"/>
  <c r="BK14" i="10" s="1"/>
  <c r="BL14" i="10" s="1"/>
  <c r="BM14" i="10" s="1"/>
  <c r="Q19" i="10" l="1"/>
  <c r="R19" i="10" s="1"/>
  <c r="S19" i="10" s="1"/>
  <c r="T19" i="10" s="1"/>
  <c r="U19" i="10" s="1"/>
  <c r="V19" i="10" s="1"/>
  <c r="W19" i="10" s="1"/>
  <c r="X19" i="10" s="1"/>
  <c r="Y19" i="10" s="1"/>
  <c r="Z19" i="10" s="1"/>
  <c r="AA19" i="10" s="1"/>
  <c r="AB19" i="10" s="1"/>
  <c r="J2" i="31"/>
  <c r="D50" i="31"/>
  <c r="E50" i="31" s="1"/>
  <c r="F50" i="31" s="1"/>
  <c r="G50" i="31" s="1"/>
  <c r="H50" i="31" s="1"/>
  <c r="I50" i="31" s="1"/>
  <c r="J50" i="31" s="1"/>
  <c r="K50" i="31" s="1"/>
  <c r="L50" i="31" s="1"/>
  <c r="M50" i="31" s="1"/>
  <c r="N50" i="31" s="1"/>
  <c r="O50" i="31" s="1"/>
  <c r="P50" i="31" s="1"/>
  <c r="Q50" i="31" s="1"/>
  <c r="R50" i="31" s="1"/>
  <c r="S50" i="31" s="1"/>
  <c r="T50" i="31" s="1"/>
  <c r="U50" i="31" s="1"/>
  <c r="V50" i="31" s="1"/>
  <c r="W50" i="31" s="1"/>
  <c r="X50" i="31" s="1"/>
  <c r="Y50" i="31" s="1"/>
  <c r="Z50" i="31" s="1"/>
  <c r="AA50" i="31" s="1"/>
  <c r="AB50" i="31" s="1"/>
  <c r="AC50" i="31" s="1"/>
  <c r="AD50" i="31" s="1"/>
  <c r="AE50" i="31" s="1"/>
  <c r="AF50" i="31" s="1"/>
  <c r="AG50" i="31" s="1"/>
  <c r="AH50" i="31" s="1"/>
  <c r="AI50" i="31" s="1"/>
  <c r="AJ50" i="31" s="1"/>
  <c r="AK50" i="31" s="1"/>
  <c r="AL50" i="31" s="1"/>
  <c r="AM50" i="31" s="1"/>
  <c r="AN50" i="31" s="1"/>
  <c r="AO50" i="31" s="1"/>
  <c r="AP50" i="31" s="1"/>
  <c r="AQ50" i="31" s="1"/>
  <c r="AR50" i="31" s="1"/>
  <c r="AS50" i="31" s="1"/>
  <c r="AT50" i="31" s="1"/>
  <c r="AU50" i="31" s="1"/>
  <c r="AV50" i="31" s="1"/>
  <c r="AW50" i="31" s="1"/>
  <c r="AX50" i="31" s="1"/>
  <c r="AY50" i="31" s="1"/>
  <c r="AZ50" i="31" s="1"/>
  <c r="BA50" i="31" s="1"/>
  <c r="BB50" i="31" s="1"/>
  <c r="BC50" i="31" s="1"/>
  <c r="BD50" i="31" s="1"/>
  <c r="BE50" i="31" s="1"/>
  <c r="BF50" i="31" s="1"/>
  <c r="BG50" i="31" s="1"/>
  <c r="BH50" i="31" s="1"/>
  <c r="BI50" i="31" s="1"/>
  <c r="BJ50" i="31" s="1"/>
  <c r="C56" i="31"/>
  <c r="D56" i="31" s="1"/>
  <c r="E56" i="31" s="1"/>
  <c r="F56" i="31" s="1"/>
  <c r="G56" i="31" s="1"/>
  <c r="H56" i="31" s="1"/>
  <c r="I56" i="31" s="1"/>
  <c r="J56" i="31" s="1"/>
  <c r="K56" i="31" s="1"/>
  <c r="L56" i="31" s="1"/>
  <c r="M56" i="31" s="1"/>
  <c r="N56" i="31" s="1"/>
  <c r="O56" i="31" s="1"/>
  <c r="P56" i="31" s="1"/>
  <c r="Q56" i="31" s="1"/>
  <c r="R56" i="31" s="1"/>
  <c r="S56" i="31" s="1"/>
  <c r="T56" i="31" s="1"/>
  <c r="U56" i="31" s="1"/>
  <c r="V56" i="31" s="1"/>
  <c r="W56" i="31" s="1"/>
  <c r="X56" i="31" s="1"/>
  <c r="Y56" i="31" s="1"/>
  <c r="Z56" i="31" s="1"/>
  <c r="AA56" i="31" s="1"/>
  <c r="AB56" i="31" s="1"/>
  <c r="AC56" i="31" s="1"/>
  <c r="AD56" i="31" s="1"/>
  <c r="AE56" i="31" s="1"/>
  <c r="AF56" i="31" s="1"/>
  <c r="AG56" i="31" s="1"/>
  <c r="AH56" i="31" s="1"/>
  <c r="AI56" i="31" s="1"/>
  <c r="AJ56" i="31" s="1"/>
  <c r="AK56" i="31" s="1"/>
  <c r="AL56" i="31" s="1"/>
  <c r="AM56" i="31" s="1"/>
  <c r="AN56" i="31" s="1"/>
  <c r="AO56" i="31" s="1"/>
  <c r="AP56" i="31" s="1"/>
  <c r="AQ56" i="31" s="1"/>
  <c r="AR56" i="31" s="1"/>
  <c r="AS56" i="31" s="1"/>
  <c r="AT56" i="31" s="1"/>
  <c r="AU56" i="31" s="1"/>
  <c r="AV56" i="31" s="1"/>
  <c r="AW56" i="31" s="1"/>
  <c r="AX56" i="31" s="1"/>
  <c r="AY56" i="31" s="1"/>
  <c r="AZ56" i="31" s="1"/>
  <c r="BA56" i="31" s="1"/>
  <c r="BB56" i="31" s="1"/>
  <c r="BC56" i="31" s="1"/>
  <c r="BD56" i="31" s="1"/>
  <c r="BE56" i="31" s="1"/>
  <c r="BF56" i="31" s="1"/>
  <c r="BG56" i="31" s="1"/>
  <c r="BH56" i="31" s="1"/>
  <c r="BI56" i="31" s="1"/>
  <c r="BJ56" i="31" s="1"/>
  <c r="D56" i="25"/>
  <c r="E56" i="25" s="1"/>
  <c r="F56" i="25" s="1"/>
  <c r="G56" i="25" s="1"/>
  <c r="H56" i="25" s="1"/>
  <c r="I56" i="25" s="1"/>
  <c r="J56" i="25" s="1"/>
  <c r="K56" i="25" s="1"/>
  <c r="L56" i="25" s="1"/>
  <c r="M56" i="25" s="1"/>
  <c r="N56" i="25" s="1"/>
  <c r="O56" i="25" s="1"/>
  <c r="P56" i="25" s="1"/>
  <c r="Q56" i="25" s="1"/>
  <c r="R56" i="25" s="1"/>
  <c r="S56" i="25" s="1"/>
  <c r="T56" i="25" s="1"/>
  <c r="U56" i="25" s="1"/>
  <c r="V56" i="25" s="1"/>
  <c r="W56" i="25" s="1"/>
  <c r="X56" i="25" s="1"/>
  <c r="Y56" i="25" s="1"/>
  <c r="Z56" i="25" s="1"/>
  <c r="AA56" i="25" s="1"/>
  <c r="AB56" i="25" s="1"/>
  <c r="AC56" i="25" s="1"/>
  <c r="AD56" i="25" s="1"/>
  <c r="AE56" i="25" s="1"/>
  <c r="AF56" i="25" s="1"/>
  <c r="AG56" i="25" s="1"/>
  <c r="AH56" i="25" s="1"/>
  <c r="AI56" i="25" s="1"/>
  <c r="AJ56" i="25" s="1"/>
  <c r="AK56" i="25" s="1"/>
  <c r="AL56" i="25" s="1"/>
  <c r="AM56" i="25" s="1"/>
  <c r="C62" i="25"/>
  <c r="R27" i="13"/>
  <c r="D9" i="23"/>
  <c r="E9" i="23" s="1"/>
  <c r="F9" i="23" s="1"/>
  <c r="G9" i="23" s="1"/>
  <c r="H9" i="23" s="1"/>
  <c r="I9" i="23" s="1"/>
  <c r="J9" i="23" s="1"/>
  <c r="K9" i="23" s="1"/>
  <c r="L9" i="23" s="1"/>
  <c r="M9" i="23" s="1"/>
  <c r="N9" i="23" s="1"/>
  <c r="O9" i="23" s="1"/>
  <c r="P9" i="23" s="1"/>
  <c r="Q9" i="23" s="1"/>
  <c r="R9" i="23" s="1"/>
  <c r="S9" i="23" s="1"/>
  <c r="T9" i="23" s="1"/>
  <c r="U9" i="23" s="1"/>
  <c r="V9" i="23" s="1"/>
  <c r="W9" i="23" s="1"/>
  <c r="X9" i="23" s="1"/>
  <c r="Y9" i="23" s="1"/>
  <c r="Z9" i="23" s="1"/>
  <c r="AA9" i="23" s="1"/>
  <c r="AB9" i="23" s="1"/>
  <c r="AC9" i="23" s="1"/>
  <c r="AD9" i="23" s="1"/>
  <c r="AE9" i="23" s="1"/>
  <c r="AF9" i="23" s="1"/>
  <c r="AG9" i="23" s="1"/>
  <c r="AH9" i="23" s="1"/>
  <c r="AI9" i="23" s="1"/>
  <c r="AJ9" i="23" s="1"/>
  <c r="AK9" i="23" s="1"/>
  <c r="AL9" i="23" s="1"/>
  <c r="AM9" i="23" s="1"/>
  <c r="AN9" i="23" s="1"/>
  <c r="AO9" i="23" s="1"/>
  <c r="AP9" i="23" s="1"/>
  <c r="AQ9" i="23" s="1"/>
  <c r="AR9" i="23" s="1"/>
  <c r="AS9" i="23" s="1"/>
  <c r="AT9" i="23" s="1"/>
  <c r="AU9" i="23" s="1"/>
  <c r="AV9" i="23" s="1"/>
  <c r="AW9" i="23" s="1"/>
  <c r="AX9" i="23" s="1"/>
  <c r="AY9" i="23" s="1"/>
  <c r="AZ9" i="23" s="1"/>
  <c r="BA9" i="23" s="1"/>
  <c r="BB9" i="23" s="1"/>
  <c r="BC9" i="23" s="1"/>
  <c r="BD9" i="23" s="1"/>
  <c r="BE9" i="23" s="1"/>
  <c r="BF9" i="23" s="1"/>
  <c r="BG9" i="23" s="1"/>
  <c r="BH9" i="23" s="1"/>
  <c r="BI9" i="23" s="1"/>
  <c r="BJ9" i="23" s="1"/>
  <c r="AC19" i="10" l="1"/>
  <c r="AD19" i="10" s="1"/>
  <c r="AE19" i="10" s="1"/>
  <c r="AF19" i="10" s="1"/>
  <c r="AG19" i="10" s="1"/>
  <c r="AH19" i="10" s="1"/>
  <c r="AI19" i="10" s="1"/>
  <c r="AJ19" i="10" s="1"/>
  <c r="AK19" i="10" s="1"/>
  <c r="AL19" i="10" s="1"/>
  <c r="AM19" i="10" s="1"/>
  <c r="AN19" i="10" s="1"/>
  <c r="AO19" i="10" s="1"/>
  <c r="AP19" i="10" s="1"/>
  <c r="AQ19" i="10" s="1"/>
  <c r="AR19" i="10" s="1"/>
  <c r="AS19" i="10" s="1"/>
  <c r="AT19" i="10" s="1"/>
  <c r="AU19" i="10" s="1"/>
  <c r="AV19" i="10" s="1"/>
  <c r="AW19" i="10" s="1"/>
  <c r="AX19" i="10" s="1"/>
  <c r="AY19" i="10" s="1"/>
  <c r="AZ19" i="10" s="1"/>
  <c r="BA19" i="10" s="1"/>
  <c r="BB19" i="10" s="1"/>
  <c r="BC19" i="10" s="1"/>
  <c r="BD19" i="10" s="1"/>
  <c r="BE19" i="10" s="1"/>
  <c r="BF19" i="10" s="1"/>
  <c r="BG19" i="10" s="1"/>
  <c r="BH19" i="10" s="1"/>
  <c r="BI19" i="10" s="1"/>
  <c r="BJ19" i="10" s="1"/>
  <c r="BK19" i="10" s="1"/>
  <c r="BL19" i="10" s="1"/>
  <c r="BM19" i="10" s="1"/>
  <c r="K2" i="31"/>
  <c r="D62" i="25"/>
  <c r="E62" i="25" s="1"/>
  <c r="F62" i="25" s="1"/>
  <c r="G62" i="25" s="1"/>
  <c r="H62" i="25" s="1"/>
  <c r="I62" i="25" s="1"/>
  <c r="J62" i="25" s="1"/>
  <c r="K62" i="25" s="1"/>
  <c r="L62" i="25" s="1"/>
  <c r="M62" i="25" s="1"/>
  <c r="N62" i="25" s="1"/>
  <c r="O62" i="25" s="1"/>
  <c r="P62" i="25" s="1"/>
  <c r="Q62" i="25" s="1"/>
  <c r="R62" i="25" s="1"/>
  <c r="S62" i="25" s="1"/>
  <c r="T62" i="25" s="1"/>
  <c r="U62" i="25" s="1"/>
  <c r="V62" i="25" s="1"/>
  <c r="W62" i="25" s="1"/>
  <c r="X62" i="25" s="1"/>
  <c r="Y62" i="25" s="1"/>
  <c r="Z62" i="25" s="1"/>
  <c r="AA62" i="25" s="1"/>
  <c r="AB62" i="25" s="1"/>
  <c r="AC62" i="25" s="1"/>
  <c r="AD62" i="25" s="1"/>
  <c r="AE62" i="25" s="1"/>
  <c r="AF62" i="25" s="1"/>
  <c r="AG62" i="25" s="1"/>
  <c r="AH62" i="25" s="1"/>
  <c r="AI62" i="25" s="1"/>
  <c r="AJ62" i="25" s="1"/>
  <c r="AK62" i="25" s="1"/>
  <c r="AL62" i="25" s="1"/>
  <c r="AM62" i="25" s="1"/>
  <c r="C68" i="25"/>
  <c r="S27" i="13"/>
  <c r="BK8" i="26"/>
  <c r="BJ8" i="26"/>
  <c r="BI8" i="26"/>
  <c r="BH8" i="26"/>
  <c r="BG8" i="26"/>
  <c r="BF8" i="26"/>
  <c r="BE8" i="26"/>
  <c r="BD8" i="26"/>
  <c r="BC8" i="26"/>
  <c r="BB8" i="26"/>
  <c r="BA8" i="26"/>
  <c r="AZ8" i="26"/>
  <c r="AY8" i="26"/>
  <c r="AX8" i="26"/>
  <c r="AW8" i="26"/>
  <c r="AV8" i="26"/>
  <c r="AU8" i="26"/>
  <c r="AT8" i="26"/>
  <c r="AS8" i="26"/>
  <c r="AR8" i="26"/>
  <c r="AQ8" i="26"/>
  <c r="AP8" i="26"/>
  <c r="AO8" i="26"/>
  <c r="AN8" i="26"/>
  <c r="AM8" i="26"/>
  <c r="AL8" i="26"/>
  <c r="AK8" i="26"/>
  <c r="AJ8" i="26"/>
  <c r="AI8" i="26"/>
  <c r="AH8" i="26"/>
  <c r="AG8" i="26"/>
  <c r="AF8" i="26"/>
  <c r="AE8" i="26"/>
  <c r="AD8" i="26"/>
  <c r="AC8" i="26"/>
  <c r="AB8" i="26"/>
  <c r="AA8" i="26"/>
  <c r="Z8" i="26"/>
  <c r="Y8" i="26"/>
  <c r="X8" i="26"/>
  <c r="W8" i="26"/>
  <c r="V8" i="26"/>
  <c r="U8" i="26"/>
  <c r="T8" i="26"/>
  <c r="S8" i="26"/>
  <c r="R8" i="26"/>
  <c r="Q8" i="26"/>
  <c r="P8" i="26"/>
  <c r="O8" i="26"/>
  <c r="N8" i="26"/>
  <c r="M8" i="26"/>
  <c r="L8" i="26"/>
  <c r="K8" i="26"/>
  <c r="J8" i="26"/>
  <c r="I8" i="26"/>
  <c r="H8" i="26"/>
  <c r="G8" i="26"/>
  <c r="F8" i="26"/>
  <c r="E8" i="26"/>
  <c r="D8" i="26"/>
  <c r="D14" i="23"/>
  <c r="E14" i="23" s="1"/>
  <c r="F14" i="23" s="1"/>
  <c r="G14" i="23" s="1"/>
  <c r="H14" i="23" s="1"/>
  <c r="I14" i="23" s="1"/>
  <c r="J14" i="23" s="1"/>
  <c r="K14" i="23" s="1"/>
  <c r="L14" i="23" s="1"/>
  <c r="M14" i="23" s="1"/>
  <c r="N14" i="23" s="1"/>
  <c r="O14" i="23" s="1"/>
  <c r="P14" i="23" s="1"/>
  <c r="Q14" i="23" s="1"/>
  <c r="R14" i="23" s="1"/>
  <c r="S14" i="23" s="1"/>
  <c r="T14" i="23" s="1"/>
  <c r="U14" i="23" s="1"/>
  <c r="V14" i="23" s="1"/>
  <c r="W14" i="23" s="1"/>
  <c r="X14" i="23" s="1"/>
  <c r="Y14" i="23" s="1"/>
  <c r="Z14" i="23" s="1"/>
  <c r="AA14" i="23" s="1"/>
  <c r="AB14" i="23" s="1"/>
  <c r="AC14" i="23" s="1"/>
  <c r="AD14" i="23" s="1"/>
  <c r="AE14" i="23" s="1"/>
  <c r="AF14" i="23" s="1"/>
  <c r="AG14" i="23" s="1"/>
  <c r="AH14" i="23" s="1"/>
  <c r="AI14" i="23" s="1"/>
  <c r="AJ14" i="23" s="1"/>
  <c r="AK14" i="23" s="1"/>
  <c r="AL14" i="23" s="1"/>
  <c r="AM14" i="23" s="1"/>
  <c r="AN14" i="23" s="1"/>
  <c r="AO14" i="23" s="1"/>
  <c r="AP14" i="23" s="1"/>
  <c r="AQ14" i="23" s="1"/>
  <c r="AR14" i="23" s="1"/>
  <c r="AS14" i="23" s="1"/>
  <c r="AT14" i="23" s="1"/>
  <c r="AU14" i="23" s="1"/>
  <c r="AV14" i="23" s="1"/>
  <c r="AW14" i="23" s="1"/>
  <c r="AX14" i="23" s="1"/>
  <c r="AY14" i="23" s="1"/>
  <c r="AZ14" i="23" s="1"/>
  <c r="BA14" i="23" s="1"/>
  <c r="BB14" i="23" s="1"/>
  <c r="BC14" i="23" s="1"/>
  <c r="BD14" i="23" s="1"/>
  <c r="BE14" i="23" s="1"/>
  <c r="BF14" i="23" s="1"/>
  <c r="BG14" i="23" s="1"/>
  <c r="BH14" i="23" s="1"/>
  <c r="BI14" i="23" s="1"/>
  <c r="BJ14" i="23" s="1"/>
  <c r="D19" i="23"/>
  <c r="E19" i="23" s="1"/>
  <c r="F19" i="23" s="1"/>
  <c r="G19" i="23" s="1"/>
  <c r="H19" i="23" s="1"/>
  <c r="I19" i="23" s="1"/>
  <c r="J19" i="23" s="1"/>
  <c r="K19" i="23" s="1"/>
  <c r="L19" i="23" s="1"/>
  <c r="M19" i="23" s="1"/>
  <c r="N19" i="23" s="1"/>
  <c r="O19" i="23" s="1"/>
  <c r="P19" i="23" s="1"/>
  <c r="Q19" i="23" s="1"/>
  <c r="R19" i="23" s="1"/>
  <c r="S19" i="23" s="1"/>
  <c r="T19" i="23" s="1"/>
  <c r="U19" i="23" s="1"/>
  <c r="V19" i="23" s="1"/>
  <c r="W19" i="23" s="1"/>
  <c r="X19" i="23" s="1"/>
  <c r="Y19" i="23" s="1"/>
  <c r="Z19" i="23" s="1"/>
  <c r="AA19" i="23" s="1"/>
  <c r="AB19" i="23" s="1"/>
  <c r="AC19" i="23" s="1"/>
  <c r="AD19" i="23" s="1"/>
  <c r="AE19" i="23" s="1"/>
  <c r="AF19" i="23" s="1"/>
  <c r="AG19" i="23" s="1"/>
  <c r="AH19" i="23" s="1"/>
  <c r="AI19" i="23" s="1"/>
  <c r="AJ19" i="23" s="1"/>
  <c r="AK19" i="23" s="1"/>
  <c r="AL19" i="23" s="1"/>
  <c r="AM19" i="23" s="1"/>
  <c r="AN19" i="23" s="1"/>
  <c r="AO19" i="23" s="1"/>
  <c r="AP19" i="23" s="1"/>
  <c r="AQ19" i="23" s="1"/>
  <c r="AR19" i="23" s="1"/>
  <c r="AS19" i="23" s="1"/>
  <c r="AT19" i="23" s="1"/>
  <c r="AU19" i="23" s="1"/>
  <c r="AV19" i="23" s="1"/>
  <c r="AW19" i="23" s="1"/>
  <c r="AX19" i="23" s="1"/>
  <c r="AY19" i="23" s="1"/>
  <c r="AZ19" i="23" s="1"/>
  <c r="BA19" i="23" s="1"/>
  <c r="BB19" i="23" s="1"/>
  <c r="BC19" i="23" s="1"/>
  <c r="BD19" i="23" s="1"/>
  <c r="BE19" i="23" s="1"/>
  <c r="BF19" i="23" s="1"/>
  <c r="BG19" i="23" s="1"/>
  <c r="BH19" i="23" s="1"/>
  <c r="BI19" i="23" s="1"/>
  <c r="BJ19" i="23" s="1"/>
  <c r="D3" i="23"/>
  <c r="L2" i="31" l="1"/>
  <c r="D68" i="25"/>
  <c r="E68" i="25" s="1"/>
  <c r="F68" i="25" s="1"/>
  <c r="G68" i="25" s="1"/>
  <c r="H68" i="25" s="1"/>
  <c r="I68" i="25" s="1"/>
  <c r="J68" i="25" s="1"/>
  <c r="K68" i="25" s="1"/>
  <c r="L68" i="25" s="1"/>
  <c r="M68" i="25" s="1"/>
  <c r="N68" i="25" s="1"/>
  <c r="O68" i="25" s="1"/>
  <c r="P68" i="25" s="1"/>
  <c r="Q68" i="25" s="1"/>
  <c r="R68" i="25" s="1"/>
  <c r="S68" i="25" s="1"/>
  <c r="T68" i="25" s="1"/>
  <c r="U68" i="25" s="1"/>
  <c r="V68" i="25" s="1"/>
  <c r="W68" i="25" s="1"/>
  <c r="X68" i="25" s="1"/>
  <c r="Y68" i="25" s="1"/>
  <c r="Z68" i="25" s="1"/>
  <c r="AA68" i="25" s="1"/>
  <c r="AB68" i="25" s="1"/>
  <c r="AC68" i="25" s="1"/>
  <c r="AD68" i="25" s="1"/>
  <c r="AE68" i="25" s="1"/>
  <c r="AF68" i="25" s="1"/>
  <c r="AG68" i="25" s="1"/>
  <c r="AH68" i="25" s="1"/>
  <c r="AI68" i="25" s="1"/>
  <c r="AJ68" i="25" s="1"/>
  <c r="AK68" i="25" s="1"/>
  <c r="AL68" i="25" s="1"/>
  <c r="AM68" i="25" s="1"/>
  <c r="C74" i="25"/>
  <c r="T27" i="13"/>
  <c r="E3" i="23"/>
  <c r="M2" i="31" l="1"/>
  <c r="C80" i="25"/>
  <c r="D74" i="25"/>
  <c r="E74" i="25" s="1"/>
  <c r="F74" i="25" s="1"/>
  <c r="G74" i="25" s="1"/>
  <c r="H74" i="25" s="1"/>
  <c r="I74" i="25" s="1"/>
  <c r="J74" i="25" s="1"/>
  <c r="K74" i="25" s="1"/>
  <c r="L74" i="25" s="1"/>
  <c r="M74" i="25" s="1"/>
  <c r="N74" i="25" s="1"/>
  <c r="O74" i="25" s="1"/>
  <c r="P74" i="25" s="1"/>
  <c r="Q74" i="25" s="1"/>
  <c r="R74" i="25" s="1"/>
  <c r="S74" i="25" s="1"/>
  <c r="T74" i="25" s="1"/>
  <c r="U74" i="25" s="1"/>
  <c r="V74" i="25" s="1"/>
  <c r="W74" i="25" s="1"/>
  <c r="X74" i="25" s="1"/>
  <c r="Y74" i="25" s="1"/>
  <c r="Z74" i="25" s="1"/>
  <c r="AA74" i="25" s="1"/>
  <c r="AB74" i="25" s="1"/>
  <c r="AC74" i="25" s="1"/>
  <c r="AD74" i="25" s="1"/>
  <c r="AE74" i="25" s="1"/>
  <c r="AF74" i="25" s="1"/>
  <c r="AG74" i="25" s="1"/>
  <c r="AH74" i="25" s="1"/>
  <c r="AI74" i="25" s="1"/>
  <c r="AJ74" i="25" s="1"/>
  <c r="AK74" i="25" s="1"/>
  <c r="AL74" i="25" s="1"/>
  <c r="AM74" i="25" s="1"/>
  <c r="U27" i="13"/>
  <c r="F3" i="23"/>
  <c r="N2" i="31" l="1"/>
  <c r="D80" i="25"/>
  <c r="E80" i="25" s="1"/>
  <c r="F80" i="25" s="1"/>
  <c r="G80" i="25" s="1"/>
  <c r="H80" i="25" s="1"/>
  <c r="I80" i="25" s="1"/>
  <c r="J80" i="25" s="1"/>
  <c r="K80" i="25" s="1"/>
  <c r="L80" i="25" s="1"/>
  <c r="M80" i="25" s="1"/>
  <c r="N80" i="25" s="1"/>
  <c r="O80" i="25" s="1"/>
  <c r="P80" i="25" s="1"/>
  <c r="Q80" i="25" s="1"/>
  <c r="R80" i="25" s="1"/>
  <c r="S80" i="25" s="1"/>
  <c r="T80" i="25" s="1"/>
  <c r="U80" i="25" s="1"/>
  <c r="V80" i="25" s="1"/>
  <c r="W80" i="25" s="1"/>
  <c r="X80" i="25" s="1"/>
  <c r="Y80" i="25" s="1"/>
  <c r="Z80" i="25" s="1"/>
  <c r="AA80" i="25" s="1"/>
  <c r="AB80" i="25" s="1"/>
  <c r="AC80" i="25" s="1"/>
  <c r="AD80" i="25" s="1"/>
  <c r="AE80" i="25" s="1"/>
  <c r="AF80" i="25" s="1"/>
  <c r="AG80" i="25" s="1"/>
  <c r="AH80" i="25" s="1"/>
  <c r="AI80" i="25" s="1"/>
  <c r="AJ80" i="25" s="1"/>
  <c r="AK80" i="25" s="1"/>
  <c r="AL80" i="25" s="1"/>
  <c r="AM80" i="25" s="1"/>
  <c r="C86" i="25"/>
  <c r="V27" i="13"/>
  <c r="G3" i="23"/>
  <c r="O2" i="31" l="1"/>
  <c r="D86" i="25"/>
  <c r="E86" i="25" s="1"/>
  <c r="F86" i="25" s="1"/>
  <c r="G86" i="25" s="1"/>
  <c r="H86" i="25" s="1"/>
  <c r="I86" i="25" s="1"/>
  <c r="J86" i="25" s="1"/>
  <c r="K86" i="25" s="1"/>
  <c r="L86" i="25" s="1"/>
  <c r="M86" i="25" s="1"/>
  <c r="N86" i="25" s="1"/>
  <c r="O86" i="25" s="1"/>
  <c r="P86" i="25" s="1"/>
  <c r="Q86" i="25" s="1"/>
  <c r="R86" i="25" s="1"/>
  <c r="S86" i="25" s="1"/>
  <c r="T86" i="25" s="1"/>
  <c r="U86" i="25" s="1"/>
  <c r="V86" i="25" s="1"/>
  <c r="W86" i="25" s="1"/>
  <c r="X86" i="25" s="1"/>
  <c r="Y86" i="25" s="1"/>
  <c r="Z86" i="25" s="1"/>
  <c r="AA86" i="25" s="1"/>
  <c r="AB86" i="25" s="1"/>
  <c r="AC86" i="25" s="1"/>
  <c r="AD86" i="25" s="1"/>
  <c r="AE86" i="25" s="1"/>
  <c r="AF86" i="25" s="1"/>
  <c r="AG86" i="25" s="1"/>
  <c r="AH86" i="25" s="1"/>
  <c r="AI86" i="25" s="1"/>
  <c r="AJ86" i="25" s="1"/>
  <c r="AK86" i="25" s="1"/>
  <c r="AL86" i="25" s="1"/>
  <c r="AM86" i="25" s="1"/>
  <c r="C92" i="25"/>
  <c r="W27" i="13"/>
  <c r="H3" i="23"/>
  <c r="P2" i="31" l="1"/>
  <c r="D92" i="25"/>
  <c r="E92" i="25" s="1"/>
  <c r="F92" i="25" s="1"/>
  <c r="G92" i="25" s="1"/>
  <c r="H92" i="25" s="1"/>
  <c r="I92" i="25" s="1"/>
  <c r="J92" i="25" s="1"/>
  <c r="K92" i="25" s="1"/>
  <c r="L92" i="25" s="1"/>
  <c r="M92" i="25" s="1"/>
  <c r="N92" i="25" s="1"/>
  <c r="O92" i="25" s="1"/>
  <c r="P92" i="25" s="1"/>
  <c r="Q92" i="25" s="1"/>
  <c r="R92" i="25" s="1"/>
  <c r="S92" i="25" s="1"/>
  <c r="T92" i="25" s="1"/>
  <c r="U92" i="25" s="1"/>
  <c r="V92" i="25" s="1"/>
  <c r="W92" i="25" s="1"/>
  <c r="X92" i="25" s="1"/>
  <c r="Y92" i="25" s="1"/>
  <c r="Z92" i="25" s="1"/>
  <c r="AA92" i="25" s="1"/>
  <c r="AB92" i="25" s="1"/>
  <c r="AC92" i="25" s="1"/>
  <c r="AD92" i="25" s="1"/>
  <c r="AE92" i="25" s="1"/>
  <c r="AF92" i="25" s="1"/>
  <c r="AG92" i="25" s="1"/>
  <c r="AH92" i="25" s="1"/>
  <c r="AI92" i="25" s="1"/>
  <c r="AJ92" i="25" s="1"/>
  <c r="AK92" i="25" s="1"/>
  <c r="AL92" i="25" s="1"/>
  <c r="AM92" i="25" s="1"/>
  <c r="C98" i="25"/>
  <c r="X27" i="13"/>
  <c r="I3" i="23"/>
  <c r="Q2" i="31" l="1"/>
  <c r="C104" i="25"/>
  <c r="D98" i="25"/>
  <c r="E98" i="25" s="1"/>
  <c r="F98" i="25" s="1"/>
  <c r="G98" i="25" s="1"/>
  <c r="H98" i="25" s="1"/>
  <c r="I98" i="25" s="1"/>
  <c r="J98" i="25" s="1"/>
  <c r="K98" i="25" s="1"/>
  <c r="L98" i="25" s="1"/>
  <c r="M98" i="25" s="1"/>
  <c r="N98" i="25" s="1"/>
  <c r="O98" i="25" s="1"/>
  <c r="P98" i="25" s="1"/>
  <c r="Q98" i="25" s="1"/>
  <c r="R98" i="25" s="1"/>
  <c r="S98" i="25" s="1"/>
  <c r="T98" i="25" s="1"/>
  <c r="U98" i="25" s="1"/>
  <c r="V98" i="25" s="1"/>
  <c r="W98" i="25" s="1"/>
  <c r="X98" i="25" s="1"/>
  <c r="Y98" i="25" s="1"/>
  <c r="Z98" i="25" s="1"/>
  <c r="AA98" i="25" s="1"/>
  <c r="AB98" i="25" s="1"/>
  <c r="AC98" i="25" s="1"/>
  <c r="AD98" i="25" s="1"/>
  <c r="AE98" i="25" s="1"/>
  <c r="AF98" i="25" s="1"/>
  <c r="AG98" i="25" s="1"/>
  <c r="AH98" i="25" s="1"/>
  <c r="AI98" i="25" s="1"/>
  <c r="AJ98" i="25" s="1"/>
  <c r="AK98" i="25" s="1"/>
  <c r="AL98" i="25" s="1"/>
  <c r="AM98" i="25" s="1"/>
  <c r="Y27" i="13"/>
  <c r="J3" i="23"/>
  <c r="R2" i="31" l="1"/>
  <c r="D104" i="25"/>
  <c r="E104" i="25" s="1"/>
  <c r="F104" i="25" s="1"/>
  <c r="G104" i="25" s="1"/>
  <c r="H104" i="25" s="1"/>
  <c r="I104" i="25" s="1"/>
  <c r="J104" i="25" s="1"/>
  <c r="K104" i="25" s="1"/>
  <c r="L104" i="25" s="1"/>
  <c r="M104" i="25" s="1"/>
  <c r="N104" i="25" s="1"/>
  <c r="O104" i="25" s="1"/>
  <c r="P104" i="25" s="1"/>
  <c r="Q104" i="25" s="1"/>
  <c r="R104" i="25" s="1"/>
  <c r="S104" i="25" s="1"/>
  <c r="T104" i="25" s="1"/>
  <c r="U104" i="25" s="1"/>
  <c r="V104" i="25" s="1"/>
  <c r="W104" i="25" s="1"/>
  <c r="X104" i="25" s="1"/>
  <c r="Y104" i="25" s="1"/>
  <c r="Z104" i="25" s="1"/>
  <c r="AA104" i="25" s="1"/>
  <c r="AB104" i="25" s="1"/>
  <c r="AC104" i="25" s="1"/>
  <c r="AD104" i="25" s="1"/>
  <c r="AE104" i="25" s="1"/>
  <c r="AF104" i="25" s="1"/>
  <c r="AG104" i="25" s="1"/>
  <c r="AH104" i="25" s="1"/>
  <c r="AI104" i="25" s="1"/>
  <c r="AJ104" i="25" s="1"/>
  <c r="AK104" i="25" s="1"/>
  <c r="AL104" i="25" s="1"/>
  <c r="AM104" i="25" s="1"/>
  <c r="C110" i="25"/>
  <c r="Z27" i="13"/>
  <c r="K3" i="23"/>
  <c r="S2" i="31" l="1"/>
  <c r="C116" i="25"/>
  <c r="D110" i="25"/>
  <c r="E110" i="25" s="1"/>
  <c r="F110" i="25" s="1"/>
  <c r="G110" i="25" s="1"/>
  <c r="H110" i="25" s="1"/>
  <c r="I110" i="25" s="1"/>
  <c r="J110" i="25" s="1"/>
  <c r="K110" i="25" s="1"/>
  <c r="L110" i="25" s="1"/>
  <c r="M110" i="25" s="1"/>
  <c r="N110" i="25" s="1"/>
  <c r="O110" i="25" s="1"/>
  <c r="P110" i="25" s="1"/>
  <c r="Q110" i="25" s="1"/>
  <c r="R110" i="25" s="1"/>
  <c r="S110" i="25" s="1"/>
  <c r="T110" i="25" s="1"/>
  <c r="U110" i="25" s="1"/>
  <c r="V110" i="25" s="1"/>
  <c r="W110" i="25" s="1"/>
  <c r="X110" i="25" s="1"/>
  <c r="Y110" i="25" s="1"/>
  <c r="Z110" i="25" s="1"/>
  <c r="AA110" i="25" s="1"/>
  <c r="AB110" i="25" s="1"/>
  <c r="AC110" i="25" s="1"/>
  <c r="AD110" i="25" s="1"/>
  <c r="AE110" i="25" s="1"/>
  <c r="AF110" i="25" s="1"/>
  <c r="AG110" i="25" s="1"/>
  <c r="AH110" i="25" s="1"/>
  <c r="AI110" i="25" s="1"/>
  <c r="AJ110" i="25" s="1"/>
  <c r="AK110" i="25" s="1"/>
  <c r="AL110" i="25" s="1"/>
  <c r="AM110" i="25" s="1"/>
  <c r="AA27" i="13"/>
  <c r="L3" i="23"/>
  <c r="D116" i="25" l="1"/>
  <c r="E116" i="25" s="1"/>
  <c r="F116" i="25" s="1"/>
  <c r="G116" i="25" s="1"/>
  <c r="H116" i="25" s="1"/>
  <c r="I116" i="25" s="1"/>
  <c r="J116" i="25" s="1"/>
  <c r="K116" i="25" s="1"/>
  <c r="L116" i="25" s="1"/>
  <c r="M116" i="25" s="1"/>
  <c r="N116" i="25" s="1"/>
  <c r="O116" i="25" s="1"/>
  <c r="P116" i="25" s="1"/>
  <c r="Q116" i="25" s="1"/>
  <c r="R116" i="25" s="1"/>
  <c r="S116" i="25" s="1"/>
  <c r="T116" i="25" s="1"/>
  <c r="U116" i="25" s="1"/>
  <c r="V116" i="25" s="1"/>
  <c r="W116" i="25" s="1"/>
  <c r="X116" i="25" s="1"/>
  <c r="Y116" i="25" s="1"/>
  <c r="Z116" i="25" s="1"/>
  <c r="AA116" i="25" s="1"/>
  <c r="AB116" i="25" s="1"/>
  <c r="AC116" i="25" s="1"/>
  <c r="AD116" i="25" s="1"/>
  <c r="AE116" i="25" s="1"/>
  <c r="AF116" i="25" s="1"/>
  <c r="AG116" i="25" s="1"/>
  <c r="AH116" i="25" s="1"/>
  <c r="AI116" i="25" s="1"/>
  <c r="AJ116" i="25" s="1"/>
  <c r="AK116" i="25" s="1"/>
  <c r="AL116" i="25" s="1"/>
  <c r="AM116" i="25" s="1"/>
  <c r="C122" i="25"/>
  <c r="D122" i="25" s="1"/>
  <c r="E122" i="25" s="1"/>
  <c r="F122" i="25" s="1"/>
  <c r="G122" i="25" s="1"/>
  <c r="H122" i="25" s="1"/>
  <c r="I122" i="25" s="1"/>
  <c r="J122" i="25" s="1"/>
  <c r="K122" i="25" s="1"/>
  <c r="L122" i="25" s="1"/>
  <c r="M122" i="25" s="1"/>
  <c r="N122" i="25" s="1"/>
  <c r="O122" i="25" s="1"/>
  <c r="P122" i="25" s="1"/>
  <c r="Q122" i="25" s="1"/>
  <c r="R122" i="25" s="1"/>
  <c r="S122" i="25" s="1"/>
  <c r="T122" i="25" s="1"/>
  <c r="U122" i="25" s="1"/>
  <c r="V122" i="25" s="1"/>
  <c r="W122" i="25" s="1"/>
  <c r="X122" i="25" s="1"/>
  <c r="Y122" i="25" s="1"/>
  <c r="Z122" i="25" s="1"/>
  <c r="AA122" i="25" s="1"/>
  <c r="AB122" i="25" s="1"/>
  <c r="AC122" i="25" s="1"/>
  <c r="AD122" i="25" s="1"/>
  <c r="AE122" i="25" s="1"/>
  <c r="AF122" i="25" s="1"/>
  <c r="AG122" i="25" s="1"/>
  <c r="AH122" i="25" s="1"/>
  <c r="AI122" i="25" s="1"/>
  <c r="AJ122" i="25" s="1"/>
  <c r="AK122" i="25" s="1"/>
  <c r="AL122" i="25" s="1"/>
  <c r="AM122" i="25" s="1"/>
  <c r="T2" i="31"/>
  <c r="AB27" i="13"/>
  <c r="M3" i="23"/>
  <c r="U2" i="31" l="1"/>
  <c r="AC27" i="13"/>
  <c r="N3" i="23"/>
  <c r="V2" i="31" l="1"/>
  <c r="AD27" i="13"/>
  <c r="O3" i="23"/>
  <c r="W2" i="31" l="1"/>
  <c r="AE27" i="13"/>
  <c r="P3" i="23"/>
  <c r="X2" i="31" l="1"/>
  <c r="AF27" i="13"/>
  <c r="Q3" i="23"/>
  <c r="Y2" i="31" l="1"/>
  <c r="AG27" i="13"/>
  <c r="R3" i="23"/>
  <c r="Z2" i="31" l="1"/>
  <c r="AH27" i="13"/>
  <c r="S3" i="23"/>
  <c r="AA2" i="31" l="1"/>
  <c r="AI27" i="13"/>
  <c r="T3" i="23"/>
  <c r="AB2" i="31" l="1"/>
  <c r="AJ27" i="13"/>
  <c r="U3" i="23"/>
  <c r="AC2" i="31" l="1"/>
  <c r="AK27" i="13"/>
  <c r="V3" i="23"/>
  <c r="AD2" i="31" l="1"/>
  <c r="AL27" i="13"/>
  <c r="W3" i="23"/>
  <c r="AE2" i="31" l="1"/>
  <c r="AM27" i="13"/>
  <c r="X3" i="23"/>
  <c r="AF2" i="31" l="1"/>
  <c r="AN27" i="13"/>
  <c r="Y3" i="23"/>
  <c r="AG2" i="31" l="1"/>
  <c r="AO27" i="13"/>
  <c r="Z3" i="23"/>
  <c r="AH2" i="31" l="1"/>
  <c r="AP27" i="13"/>
  <c r="AA3" i="23"/>
  <c r="AI2" i="31" l="1"/>
  <c r="AQ27" i="13"/>
  <c r="AB3" i="23"/>
  <c r="AJ2" i="31" l="1"/>
  <c r="AR27" i="13"/>
  <c r="AC3" i="23"/>
  <c r="AK2" i="31" l="1"/>
  <c r="AS27" i="13"/>
  <c r="AD3" i="23"/>
  <c r="AL2" i="31" l="1"/>
  <c r="AT27" i="13"/>
  <c r="AE3" i="23"/>
  <c r="AM2" i="31" l="1"/>
  <c r="AU27" i="13"/>
  <c r="AF3" i="23"/>
  <c r="AN2" i="31" l="1"/>
  <c r="AV27" i="13"/>
  <c r="AG3" i="23"/>
  <c r="AO2" i="31" l="1"/>
  <c r="AW27" i="13"/>
  <c r="AH3" i="23"/>
  <c r="AP2" i="31" l="1"/>
  <c r="AX27" i="13"/>
  <c r="AI3" i="23"/>
  <c r="AQ2" i="31" l="1"/>
  <c r="AY27" i="13"/>
  <c r="AJ3" i="23"/>
  <c r="AR2" i="31" l="1"/>
  <c r="AZ27" i="13"/>
  <c r="AK3" i="23"/>
  <c r="AS2" i="31" l="1"/>
  <c r="BA27" i="13"/>
  <c r="AL3" i="23"/>
  <c r="AT2" i="31" l="1"/>
  <c r="BB27" i="13"/>
  <c r="AM3" i="23"/>
  <c r="AU2" i="31" l="1"/>
  <c r="BC27" i="13"/>
  <c r="AN3" i="23"/>
  <c r="AV2" i="31" l="1"/>
  <c r="BD27" i="13"/>
  <c r="AO3" i="23"/>
  <c r="AW2" i="31" l="1"/>
  <c r="BE27" i="13"/>
  <c r="AP3" i="23"/>
  <c r="AX2" i="31" l="1"/>
  <c r="BF27" i="13"/>
  <c r="AQ3" i="23"/>
  <c r="AY2" i="31" l="1"/>
  <c r="BG27" i="13"/>
  <c r="AR3" i="23"/>
  <c r="AZ2" i="31" l="1"/>
  <c r="BH27" i="13"/>
  <c r="AS3" i="23"/>
  <c r="BA2" i="31" l="1"/>
  <c r="BI27" i="13"/>
  <c r="AT3" i="23"/>
  <c r="BB2" i="31" l="1"/>
  <c r="BJ27" i="13"/>
  <c r="AU3" i="23"/>
  <c r="BC2" i="31" l="1"/>
  <c r="AV3" i="23"/>
  <c r="BD2" i="31" l="1"/>
  <c r="AW3" i="23"/>
  <c r="BE2" i="31" l="1"/>
  <c r="AX3" i="23"/>
  <c r="BF2" i="31" l="1"/>
  <c r="AY3" i="23"/>
  <c r="BG2" i="31" l="1"/>
  <c r="AZ3" i="23"/>
  <c r="BH2" i="31" l="1"/>
  <c r="BA3" i="23"/>
  <c r="BI2" i="31" l="1"/>
  <c r="BB3" i="23"/>
  <c r="BJ2" i="31" l="1"/>
  <c r="BC3" i="23"/>
  <c r="BD3" i="23" l="1"/>
  <c r="BE3" i="23" l="1"/>
  <c r="BF3" i="23" l="1"/>
  <c r="BG3" i="23" l="1"/>
  <c r="BH3" i="23" l="1"/>
  <c r="BI3" i="23" l="1"/>
  <c r="BJ3" i="23" l="1"/>
  <c r="F10" i="10" l="1"/>
  <c r="C4" i="23" s="1"/>
  <c r="E18" i="13" l="1"/>
  <c r="A11" i="10" l="1"/>
  <c r="A12" i="10" s="1"/>
  <c r="A31" i="10"/>
  <c r="A32" i="10" s="1"/>
  <c r="A21" i="10"/>
  <c r="A22" i="10" s="1"/>
  <c r="C4" i="10"/>
  <c r="C5" i="10" s="1"/>
  <c r="C6" i="10" s="1"/>
  <c r="C7" i="10" s="1"/>
  <c r="C8" i="10" s="1"/>
  <c r="C9" i="10" s="1"/>
  <c r="C10" i="10" s="1"/>
  <c r="C11" i="10" s="1"/>
  <c r="C12" i="10" s="1"/>
  <c r="C13" i="10" s="1"/>
  <c r="C14" i="10" s="1"/>
  <c r="C15" i="10" s="1"/>
  <c r="C16" i="10" s="1"/>
  <c r="C17" i="10" s="1"/>
  <c r="C18" i="10" s="1"/>
  <c r="C19" i="10" s="1"/>
  <c r="C20" i="10" s="1"/>
  <c r="C21" i="10" s="1"/>
  <c r="C22" i="10" s="1"/>
  <c r="C23" i="10" s="1"/>
  <c r="C24" i="10" s="1"/>
  <c r="C25" i="10" s="1"/>
  <c r="C26" i="10" s="1"/>
  <c r="C27" i="10" s="1"/>
  <c r="C28" i="10" s="1"/>
  <c r="C29" i="10" s="1"/>
  <c r="C30" i="10" s="1"/>
  <c r="C31" i="10" s="1"/>
  <c r="C32" i="10" s="1"/>
  <c r="E17" i="13" l="1"/>
  <c r="E16" i="13"/>
  <c r="G14" i="13"/>
  <c r="H14" i="13" s="1"/>
  <c r="I14" i="13" s="1"/>
  <c r="J14" i="13" s="1"/>
  <c r="K14" i="13" s="1"/>
  <c r="L14" i="13" s="1"/>
  <c r="M14" i="13" s="1"/>
  <c r="N14" i="13" s="1"/>
  <c r="O14" i="13" s="1"/>
  <c r="P14" i="13" s="1"/>
  <c r="Q14" i="13" s="1"/>
  <c r="R14" i="13" s="1"/>
  <c r="S14" i="13" s="1"/>
  <c r="T14" i="13" s="1"/>
  <c r="U14" i="13" s="1"/>
  <c r="V14" i="13" s="1"/>
  <c r="W14" i="13" s="1"/>
  <c r="X14" i="13" s="1"/>
  <c r="Y14" i="13" s="1"/>
  <c r="Z14" i="13" s="1"/>
  <c r="AA14" i="13" s="1"/>
  <c r="AB14" i="13" s="1"/>
  <c r="AC14" i="13" s="1"/>
  <c r="AQ9" i="10"/>
  <c r="AR9" i="10" s="1"/>
  <c r="AS9" i="10" s="1"/>
  <c r="AT9" i="10" s="1"/>
  <c r="AU9" i="10" s="1"/>
  <c r="AV9" i="10" s="1"/>
  <c r="AW9" i="10" s="1"/>
  <c r="AX9" i="10" s="1"/>
  <c r="AY9" i="10" s="1"/>
  <c r="AZ9" i="10" s="1"/>
  <c r="BA9" i="10" s="1"/>
  <c r="BB9" i="10" s="1"/>
  <c r="BC9" i="10" s="1"/>
  <c r="BD9" i="10" s="1"/>
  <c r="BE9" i="10" s="1"/>
  <c r="BF9" i="10" s="1"/>
  <c r="BG9" i="10" s="1"/>
  <c r="BH9" i="10" s="1"/>
  <c r="BI9" i="10" s="1"/>
  <c r="BJ9" i="10" s="1"/>
  <c r="BK9" i="10" s="1"/>
  <c r="BL9" i="10" s="1"/>
  <c r="BM9" i="10" s="1"/>
  <c r="A19" i="10" l="1"/>
  <c r="A29" i="10"/>
  <c r="A9" i="10"/>
  <c r="A30" i="10"/>
  <c r="P5" i="8"/>
  <c r="P4" i="8"/>
  <c r="P3" i="8"/>
  <c r="O5" i="1"/>
  <c r="P5" i="1" s="1"/>
  <c r="Q5" i="1" s="1"/>
  <c r="R5" i="1" s="1"/>
  <c r="S5" i="1" s="1"/>
  <c r="O4" i="1"/>
  <c r="P4" i="1" s="1"/>
  <c r="Q4" i="1" s="1"/>
  <c r="R4" i="1" s="1"/>
  <c r="S4" i="1" s="1"/>
  <c r="O3" i="1"/>
  <c r="P3" i="1" s="1"/>
  <c r="Q3" i="1" s="1"/>
  <c r="R3" i="1" s="1"/>
  <c r="S3" i="1" s="1"/>
  <c r="I5" i="1"/>
  <c r="J5" i="1" s="1"/>
  <c r="K5" i="1" s="1"/>
  <c r="L5" i="1" s="1"/>
  <c r="M5" i="1" s="1"/>
  <c r="I4" i="1"/>
  <c r="J4" i="1" s="1"/>
  <c r="K4" i="1" s="1"/>
  <c r="L4" i="1" s="1"/>
  <c r="M4" i="1" s="1"/>
  <c r="I3" i="1"/>
  <c r="J3" i="1" s="1"/>
  <c r="K3" i="1" s="1"/>
  <c r="L3" i="1" s="1"/>
  <c r="M3" i="1" s="1"/>
  <c r="C5" i="1"/>
  <c r="D5" i="1" s="1"/>
  <c r="E5" i="1" s="1"/>
  <c r="F5" i="1" s="1"/>
  <c r="G5" i="1" s="1"/>
  <c r="C4" i="1"/>
  <c r="D4" i="1" s="1"/>
  <c r="E4" i="1" s="1"/>
  <c r="F4" i="1" s="1"/>
  <c r="G4" i="1" s="1"/>
  <c r="C3" i="1"/>
  <c r="D3" i="1" s="1"/>
  <c r="E3" i="1" s="1"/>
  <c r="F3" i="1" s="1"/>
  <c r="G3" i="1" s="1"/>
  <c r="AY3" i="8" l="1"/>
  <c r="AZ3" i="8"/>
  <c r="AZ5" i="8"/>
  <c r="AY5" i="8"/>
  <c r="AZ4" i="8"/>
  <c r="AY4" i="8"/>
  <c r="A18" i="6" l="1"/>
  <c r="A17" i="6"/>
  <c r="A16" i="6"/>
  <c r="A15" i="6"/>
  <c r="A12" i="6"/>
  <c r="A11" i="6"/>
  <c r="A10" i="6"/>
  <c r="A9" i="6"/>
  <c r="A6" i="6"/>
  <c r="A5" i="6"/>
  <c r="A4" i="6"/>
  <c r="A3" i="6"/>
  <c r="O5" i="8"/>
  <c r="O4" i="8"/>
  <c r="O3" i="8"/>
  <c r="K5" i="8"/>
  <c r="K4" i="8"/>
  <c r="K3" i="8"/>
  <c r="J3" i="8" l="1"/>
  <c r="I3" i="8"/>
  <c r="H3" i="8"/>
  <c r="J4" i="8"/>
  <c r="I4" i="8"/>
  <c r="H4" i="8"/>
  <c r="I5" i="8"/>
  <c r="H5" i="8"/>
  <c r="J5" i="8"/>
  <c r="A48" i="22"/>
  <c r="A47" i="22"/>
  <c r="A46" i="22"/>
  <c r="A45" i="22"/>
  <c r="D44" i="22"/>
  <c r="E44" i="22" s="1"/>
  <c r="F44" i="22" s="1"/>
  <c r="G44" i="22" s="1"/>
  <c r="H44" i="22" s="1"/>
  <c r="I44" i="22" s="1"/>
  <c r="J44" i="22" s="1"/>
  <c r="K44" i="22" s="1"/>
  <c r="L44" i="22" s="1"/>
  <c r="M44" i="22" s="1"/>
  <c r="N44" i="22" s="1"/>
  <c r="O44" i="22" s="1"/>
  <c r="P44" i="22" s="1"/>
  <c r="Q44" i="22" s="1"/>
  <c r="R44" i="22" s="1"/>
  <c r="S44" i="22" s="1"/>
  <c r="T44" i="22" s="1"/>
  <c r="U44" i="22" s="1"/>
  <c r="V44" i="22" s="1"/>
  <c r="W44" i="22" s="1"/>
  <c r="X44" i="22" s="1"/>
  <c r="Y44" i="22" s="1"/>
  <c r="Z44" i="22" s="1"/>
  <c r="AA44" i="22" s="1"/>
  <c r="AB44" i="22" s="1"/>
  <c r="AC44" i="22" s="1"/>
  <c r="AD44" i="22" s="1"/>
  <c r="AE44" i="22" s="1"/>
  <c r="AF44" i="22" s="1"/>
  <c r="AG44" i="22" s="1"/>
  <c r="AH44" i="22" s="1"/>
  <c r="AI44" i="22" s="1"/>
  <c r="AJ44" i="22" s="1"/>
  <c r="AK44" i="22" s="1"/>
  <c r="AL44" i="22" s="1"/>
  <c r="AM44" i="22" s="1"/>
  <c r="AN44" i="22" s="1"/>
  <c r="AO44" i="22" s="1"/>
  <c r="AP44" i="22" s="1"/>
  <c r="AQ44" i="22" s="1"/>
  <c r="AR44" i="22" s="1"/>
  <c r="AS44" i="22" s="1"/>
  <c r="AT44" i="22" s="1"/>
  <c r="AU44" i="22" s="1"/>
  <c r="AV44" i="22" s="1"/>
  <c r="AW44" i="22" s="1"/>
  <c r="AX44" i="22" s="1"/>
  <c r="AY44" i="22" s="1"/>
  <c r="AZ44" i="22" s="1"/>
  <c r="BA44" i="22" s="1"/>
  <c r="BB44" i="22" s="1"/>
  <c r="BC44" i="22" s="1"/>
  <c r="BD44" i="22" s="1"/>
  <c r="BE44" i="22" s="1"/>
  <c r="BF44" i="22" s="1"/>
  <c r="BG44" i="22" s="1"/>
  <c r="BH44" i="22" s="1"/>
  <c r="BI44" i="22" s="1"/>
  <c r="BJ44" i="22" s="1"/>
  <c r="A42" i="22"/>
  <c r="A41" i="22"/>
  <c r="A40" i="22"/>
  <c r="A39" i="22"/>
  <c r="D38" i="22"/>
  <c r="E38" i="22" s="1"/>
  <c r="F38" i="22" s="1"/>
  <c r="G38" i="22" s="1"/>
  <c r="H38" i="22" s="1"/>
  <c r="I38" i="22" s="1"/>
  <c r="J38" i="22" s="1"/>
  <c r="K38" i="22" s="1"/>
  <c r="L38" i="22" s="1"/>
  <c r="M38" i="22" s="1"/>
  <c r="N38" i="22" s="1"/>
  <c r="O38" i="22" s="1"/>
  <c r="P38" i="22" s="1"/>
  <c r="Q38" i="22" s="1"/>
  <c r="R38" i="22" s="1"/>
  <c r="S38" i="22" s="1"/>
  <c r="T38" i="22" s="1"/>
  <c r="U38" i="22" s="1"/>
  <c r="V38" i="22" s="1"/>
  <c r="W38" i="22" s="1"/>
  <c r="X38" i="22" s="1"/>
  <c r="Y38" i="22" s="1"/>
  <c r="Z38" i="22" s="1"/>
  <c r="AA38" i="22" s="1"/>
  <c r="AB38" i="22" s="1"/>
  <c r="AC38" i="22" s="1"/>
  <c r="AD38" i="22" s="1"/>
  <c r="AE38" i="22" s="1"/>
  <c r="AF38" i="22" s="1"/>
  <c r="AG38" i="22" s="1"/>
  <c r="AH38" i="22" s="1"/>
  <c r="AI38" i="22" s="1"/>
  <c r="AJ38" i="22" s="1"/>
  <c r="AK38" i="22" s="1"/>
  <c r="AL38" i="22" s="1"/>
  <c r="AM38" i="22" s="1"/>
  <c r="AN38" i="22" s="1"/>
  <c r="AO38" i="22" s="1"/>
  <c r="AP38" i="22" s="1"/>
  <c r="AQ38" i="22" s="1"/>
  <c r="AR38" i="22" s="1"/>
  <c r="AS38" i="22" s="1"/>
  <c r="AT38" i="22" s="1"/>
  <c r="AU38" i="22" s="1"/>
  <c r="AV38" i="22" s="1"/>
  <c r="AW38" i="22" s="1"/>
  <c r="AX38" i="22" s="1"/>
  <c r="AY38" i="22" s="1"/>
  <c r="AZ38" i="22" s="1"/>
  <c r="BA38" i="22" s="1"/>
  <c r="BB38" i="22" s="1"/>
  <c r="BC38" i="22" s="1"/>
  <c r="BD38" i="22" s="1"/>
  <c r="BE38" i="22" s="1"/>
  <c r="BF38" i="22" s="1"/>
  <c r="BG38" i="22" s="1"/>
  <c r="BH38" i="22" s="1"/>
  <c r="BI38" i="22" s="1"/>
  <c r="BJ38" i="22" s="1"/>
  <c r="A36" i="22"/>
  <c r="A35" i="22"/>
  <c r="A34" i="22"/>
  <c r="A33" i="22"/>
  <c r="D32" i="22"/>
  <c r="E32" i="22" s="1"/>
  <c r="F32" i="22" s="1"/>
  <c r="G32" i="22" s="1"/>
  <c r="H32" i="22" s="1"/>
  <c r="I32" i="22" s="1"/>
  <c r="J32" i="22" s="1"/>
  <c r="K32" i="22" s="1"/>
  <c r="L32" i="22" s="1"/>
  <c r="M32" i="22" s="1"/>
  <c r="N32" i="22" s="1"/>
  <c r="O32" i="22" s="1"/>
  <c r="P32" i="22" s="1"/>
  <c r="Q32" i="22" s="1"/>
  <c r="R32" i="22" s="1"/>
  <c r="S32" i="22" s="1"/>
  <c r="T32" i="22" s="1"/>
  <c r="U32" i="22" s="1"/>
  <c r="V32" i="22" s="1"/>
  <c r="W32" i="22" s="1"/>
  <c r="X32" i="22" s="1"/>
  <c r="Y32" i="22" s="1"/>
  <c r="Z32" i="22" s="1"/>
  <c r="AA32" i="22" s="1"/>
  <c r="AB32" i="22" s="1"/>
  <c r="AC32" i="22" s="1"/>
  <c r="AD32" i="22" s="1"/>
  <c r="AE32" i="22" s="1"/>
  <c r="AF32" i="22" s="1"/>
  <c r="AG32" i="22" s="1"/>
  <c r="AH32" i="22" s="1"/>
  <c r="AI32" i="22" s="1"/>
  <c r="AJ32" i="22" s="1"/>
  <c r="AK32" i="22" s="1"/>
  <c r="AL32" i="22" s="1"/>
  <c r="AM32" i="22" s="1"/>
  <c r="AN32" i="22" s="1"/>
  <c r="AO32" i="22" s="1"/>
  <c r="AP32" i="22" s="1"/>
  <c r="AQ32" i="22" s="1"/>
  <c r="AR32" i="22" s="1"/>
  <c r="AS32" i="22" s="1"/>
  <c r="AT32" i="22" s="1"/>
  <c r="AU32" i="22" s="1"/>
  <c r="AV32" i="22" s="1"/>
  <c r="AW32" i="22" s="1"/>
  <c r="AX32" i="22" s="1"/>
  <c r="AY32" i="22" s="1"/>
  <c r="AZ32" i="22" s="1"/>
  <c r="BA32" i="22" s="1"/>
  <c r="BB32" i="22" s="1"/>
  <c r="BC32" i="22" s="1"/>
  <c r="BD32" i="22" s="1"/>
  <c r="BE32" i="22" s="1"/>
  <c r="BF32" i="22" s="1"/>
  <c r="BG32" i="22" s="1"/>
  <c r="BH32" i="22" s="1"/>
  <c r="BI32" i="22" s="1"/>
  <c r="BJ32" i="22" s="1"/>
  <c r="A30" i="22"/>
  <c r="A29" i="22"/>
  <c r="A28" i="22"/>
  <c r="A27" i="22"/>
  <c r="D26" i="22"/>
  <c r="E26" i="22" s="1"/>
  <c r="F26" i="22" s="1"/>
  <c r="G26" i="22" s="1"/>
  <c r="H26" i="22" s="1"/>
  <c r="I26" i="22" s="1"/>
  <c r="J26" i="22" s="1"/>
  <c r="K26" i="22" s="1"/>
  <c r="L26" i="22" s="1"/>
  <c r="M26" i="22" s="1"/>
  <c r="N26" i="22" s="1"/>
  <c r="O26" i="22" s="1"/>
  <c r="P26" i="22" s="1"/>
  <c r="Q26" i="22" s="1"/>
  <c r="R26" i="22" s="1"/>
  <c r="S26" i="22" s="1"/>
  <c r="T26" i="22" s="1"/>
  <c r="U26" i="22" s="1"/>
  <c r="V26" i="22" s="1"/>
  <c r="W26" i="22" s="1"/>
  <c r="X26" i="22" s="1"/>
  <c r="Y26" i="22" s="1"/>
  <c r="Z26" i="22" s="1"/>
  <c r="AA26" i="22" s="1"/>
  <c r="AB26" i="22" s="1"/>
  <c r="AC26" i="22" s="1"/>
  <c r="AD26" i="22" s="1"/>
  <c r="AE26" i="22" s="1"/>
  <c r="AF26" i="22" s="1"/>
  <c r="AG26" i="22" s="1"/>
  <c r="AH26" i="22" s="1"/>
  <c r="AI26" i="22" s="1"/>
  <c r="AJ26" i="22" s="1"/>
  <c r="AK26" i="22" s="1"/>
  <c r="AL26" i="22" s="1"/>
  <c r="AM26" i="22" s="1"/>
  <c r="AN26" i="22" s="1"/>
  <c r="AO26" i="22" s="1"/>
  <c r="AP26" i="22" s="1"/>
  <c r="AQ26" i="22" s="1"/>
  <c r="AR26" i="22" s="1"/>
  <c r="AS26" i="22" s="1"/>
  <c r="AT26" i="22" s="1"/>
  <c r="AU26" i="22" s="1"/>
  <c r="AV26" i="22" s="1"/>
  <c r="AW26" i="22" s="1"/>
  <c r="AX26" i="22" s="1"/>
  <c r="AY26" i="22" s="1"/>
  <c r="AZ26" i="22" s="1"/>
  <c r="BA26" i="22" s="1"/>
  <c r="BB26" i="22" s="1"/>
  <c r="BC26" i="22" s="1"/>
  <c r="BD26" i="22" s="1"/>
  <c r="BE26" i="22" s="1"/>
  <c r="BF26" i="22" s="1"/>
  <c r="BG26" i="22" s="1"/>
  <c r="BH26" i="22" s="1"/>
  <c r="BI26" i="22" s="1"/>
  <c r="BJ26" i="22" s="1"/>
  <c r="A24" i="22"/>
  <c r="A23" i="22"/>
  <c r="A22" i="22"/>
  <c r="A21" i="22"/>
  <c r="D20" i="22"/>
  <c r="E20" i="22" s="1"/>
  <c r="F20" i="22" s="1"/>
  <c r="G20" i="22" s="1"/>
  <c r="H20" i="22" s="1"/>
  <c r="I20" i="22" s="1"/>
  <c r="J20" i="22" s="1"/>
  <c r="K20" i="22" s="1"/>
  <c r="L20" i="22" s="1"/>
  <c r="M20" i="22" s="1"/>
  <c r="N20" i="22" s="1"/>
  <c r="O20" i="22" s="1"/>
  <c r="P20" i="22" s="1"/>
  <c r="Q20" i="22" s="1"/>
  <c r="R20" i="22" s="1"/>
  <c r="S20" i="22" s="1"/>
  <c r="T20" i="22" s="1"/>
  <c r="U20" i="22" s="1"/>
  <c r="V20" i="22" s="1"/>
  <c r="W20" i="22" s="1"/>
  <c r="X20" i="22" s="1"/>
  <c r="Y20" i="22" s="1"/>
  <c r="Z20" i="22" s="1"/>
  <c r="AA20" i="22" s="1"/>
  <c r="AB20" i="22" s="1"/>
  <c r="AC20" i="22" s="1"/>
  <c r="AD20" i="22" s="1"/>
  <c r="AE20" i="22" s="1"/>
  <c r="AF20" i="22" s="1"/>
  <c r="AG20" i="22" s="1"/>
  <c r="AH20" i="22" s="1"/>
  <c r="AI20" i="22" s="1"/>
  <c r="AJ20" i="22" s="1"/>
  <c r="AK20" i="22" s="1"/>
  <c r="AL20" i="22" s="1"/>
  <c r="AM20" i="22" s="1"/>
  <c r="AN20" i="22" s="1"/>
  <c r="AO20" i="22" s="1"/>
  <c r="AP20" i="22" s="1"/>
  <c r="AQ20" i="22" s="1"/>
  <c r="AR20" i="22" s="1"/>
  <c r="AS20" i="22" s="1"/>
  <c r="AT20" i="22" s="1"/>
  <c r="AU20" i="22" s="1"/>
  <c r="AV20" i="22" s="1"/>
  <c r="AW20" i="22" s="1"/>
  <c r="AX20" i="22" s="1"/>
  <c r="AY20" i="22" s="1"/>
  <c r="AZ20" i="22" s="1"/>
  <c r="BA20" i="22" s="1"/>
  <c r="BB20" i="22" s="1"/>
  <c r="BC20" i="22" s="1"/>
  <c r="BD20" i="22" s="1"/>
  <c r="BE20" i="22" s="1"/>
  <c r="BF20" i="22" s="1"/>
  <c r="BG20" i="22" s="1"/>
  <c r="BH20" i="22" s="1"/>
  <c r="BI20" i="22" s="1"/>
  <c r="BJ20" i="22" s="1"/>
  <c r="A12" i="22"/>
  <c r="A11" i="22"/>
  <c r="A10" i="22"/>
  <c r="A9" i="22"/>
  <c r="A18" i="22"/>
  <c r="A17" i="22"/>
  <c r="A16" i="22"/>
  <c r="A15" i="22"/>
  <c r="D14" i="22"/>
  <c r="E14" i="22" s="1"/>
  <c r="F14" i="22" s="1"/>
  <c r="G14" i="22" s="1"/>
  <c r="H14" i="22" s="1"/>
  <c r="I14" i="22" s="1"/>
  <c r="J14" i="22" s="1"/>
  <c r="K14" i="22" s="1"/>
  <c r="L14" i="22" s="1"/>
  <c r="M14" i="22" s="1"/>
  <c r="N14" i="22" s="1"/>
  <c r="O14" i="22" s="1"/>
  <c r="P14" i="22" s="1"/>
  <c r="Q14" i="22" s="1"/>
  <c r="R14" i="22" s="1"/>
  <c r="S14" i="22" s="1"/>
  <c r="T14" i="22" s="1"/>
  <c r="U14" i="22" s="1"/>
  <c r="V14" i="22" s="1"/>
  <c r="W14" i="22" s="1"/>
  <c r="X14" i="22" s="1"/>
  <c r="Y14" i="22" s="1"/>
  <c r="Z14" i="22" s="1"/>
  <c r="AA14" i="22" s="1"/>
  <c r="AB14" i="22" s="1"/>
  <c r="AC14" i="22" s="1"/>
  <c r="AD14" i="22" s="1"/>
  <c r="AE14" i="22" s="1"/>
  <c r="AF14" i="22" s="1"/>
  <c r="AG14" i="22" s="1"/>
  <c r="AH14" i="22" s="1"/>
  <c r="AI14" i="22" s="1"/>
  <c r="AJ14" i="22" s="1"/>
  <c r="AK14" i="22" s="1"/>
  <c r="AL14" i="22" s="1"/>
  <c r="AM14" i="22" s="1"/>
  <c r="AN14" i="22" s="1"/>
  <c r="AO14" i="22" s="1"/>
  <c r="AP14" i="22" s="1"/>
  <c r="AQ14" i="22" s="1"/>
  <c r="AR14" i="22" s="1"/>
  <c r="AS14" i="22" s="1"/>
  <c r="AT14" i="22" s="1"/>
  <c r="AU14" i="22" s="1"/>
  <c r="AV14" i="22" s="1"/>
  <c r="AW14" i="22" s="1"/>
  <c r="AX14" i="22" s="1"/>
  <c r="AY14" i="22" s="1"/>
  <c r="AZ14" i="22" s="1"/>
  <c r="BA14" i="22" s="1"/>
  <c r="BB14" i="22" s="1"/>
  <c r="BC14" i="22" s="1"/>
  <c r="BD14" i="22" s="1"/>
  <c r="BE14" i="22" s="1"/>
  <c r="BF14" i="22" s="1"/>
  <c r="BG14" i="22" s="1"/>
  <c r="BH14" i="22" s="1"/>
  <c r="BI14" i="22" s="1"/>
  <c r="BJ14" i="22" s="1"/>
  <c r="D8" i="22"/>
  <c r="E8" i="22" s="1"/>
  <c r="F8" i="22" s="1"/>
  <c r="G8" i="22" s="1"/>
  <c r="H8" i="22" s="1"/>
  <c r="I8" i="22" s="1"/>
  <c r="J8" i="22" s="1"/>
  <c r="K8" i="22" s="1"/>
  <c r="L8" i="22" s="1"/>
  <c r="M8" i="22" s="1"/>
  <c r="N8" i="22" s="1"/>
  <c r="O8" i="22" s="1"/>
  <c r="P8" i="22" s="1"/>
  <c r="Q8" i="22" s="1"/>
  <c r="R8" i="22" s="1"/>
  <c r="S8" i="22" s="1"/>
  <c r="T8" i="22" s="1"/>
  <c r="U8" i="22" s="1"/>
  <c r="V8" i="22" s="1"/>
  <c r="W8" i="22" s="1"/>
  <c r="X8" i="22" s="1"/>
  <c r="Y8" i="22" s="1"/>
  <c r="Z8" i="22" s="1"/>
  <c r="AA8" i="22" s="1"/>
  <c r="AB8" i="22" s="1"/>
  <c r="AC8" i="22" s="1"/>
  <c r="AD8" i="22" s="1"/>
  <c r="AE8" i="22" s="1"/>
  <c r="AF8" i="22" s="1"/>
  <c r="AG8" i="22" s="1"/>
  <c r="AH8" i="22" s="1"/>
  <c r="AI8" i="22" s="1"/>
  <c r="AJ8" i="22" s="1"/>
  <c r="AK8" i="22" s="1"/>
  <c r="AL8" i="22" s="1"/>
  <c r="AM8" i="22" s="1"/>
  <c r="AN8" i="22" s="1"/>
  <c r="AO8" i="22" s="1"/>
  <c r="AP8" i="22" s="1"/>
  <c r="AQ8" i="22" s="1"/>
  <c r="AR8" i="22" s="1"/>
  <c r="AS8" i="22" s="1"/>
  <c r="AT8" i="22" s="1"/>
  <c r="AU8" i="22" s="1"/>
  <c r="AV8" i="22" s="1"/>
  <c r="AW8" i="22" s="1"/>
  <c r="AX8" i="22" s="1"/>
  <c r="AY8" i="22" s="1"/>
  <c r="AZ8" i="22" s="1"/>
  <c r="BA8" i="22" s="1"/>
  <c r="BB8" i="22" s="1"/>
  <c r="BC8" i="22" s="1"/>
  <c r="BD8" i="22" s="1"/>
  <c r="BE8" i="22" s="1"/>
  <c r="BF8" i="22" s="1"/>
  <c r="BG8" i="22" s="1"/>
  <c r="BH8" i="22" s="1"/>
  <c r="BI8" i="22" s="1"/>
  <c r="BJ8" i="22" s="1"/>
  <c r="A6" i="22"/>
  <c r="A5" i="22"/>
  <c r="A4" i="22"/>
  <c r="A3" i="22"/>
  <c r="D2" i="22"/>
  <c r="E2" i="22" s="1"/>
  <c r="F2" i="22" s="1"/>
  <c r="G2" i="22" s="1"/>
  <c r="A6" i="20"/>
  <c r="A5" i="20"/>
  <c r="A4" i="20"/>
  <c r="A3" i="20"/>
  <c r="A12" i="20"/>
  <c r="A11" i="20"/>
  <c r="A10" i="20"/>
  <c r="A9" i="20"/>
  <c r="D8" i="20"/>
  <c r="E8" i="20" s="1"/>
  <c r="F8" i="20" s="1"/>
  <c r="G8" i="20" s="1"/>
  <c r="H8" i="20" s="1"/>
  <c r="I8" i="20" s="1"/>
  <c r="J8" i="20" s="1"/>
  <c r="K8" i="20" s="1"/>
  <c r="L8" i="20" s="1"/>
  <c r="M8" i="20" s="1"/>
  <c r="N8" i="20" s="1"/>
  <c r="O8" i="20" s="1"/>
  <c r="P8" i="20" s="1"/>
  <c r="Q8" i="20" s="1"/>
  <c r="R8" i="20" s="1"/>
  <c r="S8" i="20" s="1"/>
  <c r="T8" i="20" s="1"/>
  <c r="U8" i="20" s="1"/>
  <c r="V8" i="20" s="1"/>
  <c r="W8" i="20" s="1"/>
  <c r="X8" i="20" s="1"/>
  <c r="Y8" i="20" s="1"/>
  <c r="Z8" i="20" s="1"/>
  <c r="AA8" i="20" s="1"/>
  <c r="AB8" i="20" s="1"/>
  <c r="AC8" i="20" s="1"/>
  <c r="AD8" i="20" s="1"/>
  <c r="AE8" i="20" s="1"/>
  <c r="AF8" i="20" s="1"/>
  <c r="AG8" i="20" s="1"/>
  <c r="AH8" i="20" s="1"/>
  <c r="AI8" i="20" s="1"/>
  <c r="AJ8" i="20" s="1"/>
  <c r="AK8" i="20" s="1"/>
  <c r="AL8" i="20" s="1"/>
  <c r="AM8" i="20" s="1"/>
  <c r="AN8" i="20" s="1"/>
  <c r="AO8" i="20" s="1"/>
  <c r="AP8" i="20" s="1"/>
  <c r="AQ8" i="20" s="1"/>
  <c r="AR8" i="20" s="1"/>
  <c r="AS8" i="20" s="1"/>
  <c r="AT8" i="20" s="1"/>
  <c r="AU8" i="20" s="1"/>
  <c r="AV8" i="20" s="1"/>
  <c r="AW8" i="20" s="1"/>
  <c r="AX8" i="20" s="1"/>
  <c r="AY8" i="20" s="1"/>
  <c r="AZ8" i="20" s="1"/>
  <c r="BA8" i="20" s="1"/>
  <c r="BB8" i="20" s="1"/>
  <c r="BC8" i="20" s="1"/>
  <c r="BD8" i="20" s="1"/>
  <c r="BE8" i="20" s="1"/>
  <c r="BF8" i="20" s="1"/>
  <c r="BG8" i="20" s="1"/>
  <c r="BH8" i="20" s="1"/>
  <c r="BI8" i="20" s="1"/>
  <c r="BJ8" i="20" s="1"/>
  <c r="D2" i="20"/>
  <c r="E2" i="20" s="1"/>
  <c r="F2" i="20" s="1"/>
  <c r="G2" i="20" s="1"/>
  <c r="H2" i="20" s="1"/>
  <c r="I2" i="20" s="1"/>
  <c r="J2" i="20" s="1"/>
  <c r="K2" i="20" s="1"/>
  <c r="L2" i="20" s="1"/>
  <c r="M2" i="20" s="1"/>
  <c r="N2" i="20" s="1"/>
  <c r="O2" i="20" s="1"/>
  <c r="P2" i="20" s="1"/>
  <c r="Q2" i="20" s="1"/>
  <c r="R2" i="20" s="1"/>
  <c r="S2" i="20" s="1"/>
  <c r="T2" i="20" s="1"/>
  <c r="U2" i="20" s="1"/>
  <c r="V2" i="20" s="1"/>
  <c r="W2" i="20" s="1"/>
  <c r="X2" i="20" s="1"/>
  <c r="Y2" i="20" s="1"/>
  <c r="Z2" i="20" s="1"/>
  <c r="AA2" i="20" s="1"/>
  <c r="AB2" i="20" s="1"/>
  <c r="AC2" i="20" s="1"/>
  <c r="AD2" i="20" s="1"/>
  <c r="AE2" i="20" s="1"/>
  <c r="AF2" i="20" s="1"/>
  <c r="AG2" i="20" s="1"/>
  <c r="AH2" i="20" s="1"/>
  <c r="AI2" i="20" s="1"/>
  <c r="AJ2" i="20" s="1"/>
  <c r="AK2" i="20" s="1"/>
  <c r="AL2" i="20" s="1"/>
  <c r="AM2" i="20" s="1"/>
  <c r="AN2" i="20" s="1"/>
  <c r="AO2" i="20" s="1"/>
  <c r="AP2" i="20" s="1"/>
  <c r="AQ2" i="20" s="1"/>
  <c r="AR2" i="20" s="1"/>
  <c r="AS2" i="20" s="1"/>
  <c r="AT2" i="20" s="1"/>
  <c r="AU2" i="20" s="1"/>
  <c r="AV2" i="20" s="1"/>
  <c r="AW2" i="20" s="1"/>
  <c r="AX2" i="20" s="1"/>
  <c r="AY2" i="20" s="1"/>
  <c r="AZ2" i="20" s="1"/>
  <c r="BA2" i="20" s="1"/>
  <c r="BB2" i="20" s="1"/>
  <c r="BC2" i="20" s="1"/>
  <c r="BD2" i="20" s="1"/>
  <c r="BE2" i="20" s="1"/>
  <c r="BF2" i="20" s="1"/>
  <c r="BG2" i="20" s="1"/>
  <c r="BH2" i="20" s="1"/>
  <c r="BI2" i="20" s="1"/>
  <c r="BJ2" i="20" s="1"/>
  <c r="B4" i="18"/>
  <c r="B5" i="18" s="1"/>
  <c r="B6" i="18" s="1"/>
  <c r="B7" i="18" s="1"/>
  <c r="B8" i="18" s="1"/>
  <c r="B9" i="18" s="1"/>
  <c r="B10" i="18" s="1"/>
  <c r="B11" i="18" s="1"/>
  <c r="B12" i="18" s="1"/>
  <c r="B13" i="18" s="1"/>
  <c r="B14" i="18" s="1"/>
  <c r="B15" i="18" s="1"/>
  <c r="B16" i="18" s="1"/>
  <c r="B17" i="18" s="1"/>
  <c r="AW4" i="8" l="1"/>
  <c r="AX4" i="8"/>
  <c r="AW3" i="8"/>
  <c r="AX3" i="8"/>
  <c r="H2" i="22"/>
  <c r="I2" i="22" l="1"/>
  <c r="J2" i="22" l="1"/>
  <c r="K2" i="22" l="1"/>
  <c r="L2" i="22" l="1"/>
  <c r="M2" i="22" l="1"/>
  <c r="N2" i="22" l="1"/>
  <c r="O2" i="22" l="1"/>
  <c r="P2" i="22" l="1"/>
  <c r="Q2" i="22" l="1"/>
  <c r="R2" i="22" l="1"/>
  <c r="B8" i="13"/>
  <c r="A18" i="11"/>
  <c r="A17" i="11"/>
  <c r="A16" i="11"/>
  <c r="A15" i="11"/>
  <c r="D14" i="11"/>
  <c r="E14" i="11" s="1"/>
  <c r="F14" i="11" s="1"/>
  <c r="G14" i="11" s="1"/>
  <c r="H14" i="11" s="1"/>
  <c r="I14" i="11" s="1"/>
  <c r="J14" i="11" s="1"/>
  <c r="K14" i="11" s="1"/>
  <c r="L14" i="11" s="1"/>
  <c r="M14" i="11" s="1"/>
  <c r="N14" i="11" s="1"/>
  <c r="O14" i="11" s="1"/>
  <c r="P14" i="11" s="1"/>
  <c r="Q14" i="11" s="1"/>
  <c r="R14" i="11" s="1"/>
  <c r="S14" i="11" s="1"/>
  <c r="T14" i="11" s="1"/>
  <c r="U14" i="11" s="1"/>
  <c r="V14" i="11" s="1"/>
  <c r="W14" i="11" s="1"/>
  <c r="X14" i="11" s="1"/>
  <c r="Y14" i="11" s="1"/>
  <c r="Z14" i="11" s="1"/>
  <c r="AA14" i="11" s="1"/>
  <c r="AB14" i="11" s="1"/>
  <c r="AC14" i="11" s="1"/>
  <c r="AD14" i="11" s="1"/>
  <c r="AE14" i="11" s="1"/>
  <c r="AF14" i="11" s="1"/>
  <c r="AG14" i="11" s="1"/>
  <c r="AH14" i="11" s="1"/>
  <c r="AI14" i="11" s="1"/>
  <c r="AJ14" i="11" s="1"/>
  <c r="AK14" i="11" s="1"/>
  <c r="AL14" i="11" s="1"/>
  <c r="AM14" i="11" s="1"/>
  <c r="AN14" i="11" s="1"/>
  <c r="AO14" i="11" s="1"/>
  <c r="AP14" i="11" s="1"/>
  <c r="AQ14" i="11" s="1"/>
  <c r="AR14" i="11" s="1"/>
  <c r="AS14" i="11" s="1"/>
  <c r="AT14" i="11" s="1"/>
  <c r="AU14" i="11" s="1"/>
  <c r="AV14" i="11" s="1"/>
  <c r="AW14" i="11" s="1"/>
  <c r="AX14" i="11" s="1"/>
  <c r="AY14" i="11" s="1"/>
  <c r="AZ14" i="11" s="1"/>
  <c r="BA14" i="11" s="1"/>
  <c r="BB14" i="11" s="1"/>
  <c r="BC14" i="11" s="1"/>
  <c r="BD14" i="11" s="1"/>
  <c r="BE14" i="11" s="1"/>
  <c r="BF14" i="11" s="1"/>
  <c r="BG14" i="11" s="1"/>
  <c r="BH14" i="11" s="1"/>
  <c r="BI14" i="11" s="1"/>
  <c r="BJ14" i="11" s="1"/>
  <c r="C2" i="2" l="1"/>
  <c r="C8" i="2" s="1"/>
  <c r="S2" i="22"/>
  <c r="G4" i="10"/>
  <c r="H4" i="10" s="1"/>
  <c r="I4" i="10" s="1"/>
  <c r="J4" i="10" s="1"/>
  <c r="K4" i="10" s="1"/>
  <c r="L4" i="10" s="1"/>
  <c r="M4" i="10" s="1"/>
  <c r="N4" i="10" s="1"/>
  <c r="O4" i="10" s="1"/>
  <c r="P4" i="10" s="1"/>
  <c r="Q4" i="10" s="1"/>
  <c r="R4" i="10" s="1"/>
  <c r="S4" i="10" s="1"/>
  <c r="T4" i="10" s="1"/>
  <c r="U4" i="10" s="1"/>
  <c r="V4" i="10" s="1"/>
  <c r="W4" i="10" s="1"/>
  <c r="X4" i="10" s="1"/>
  <c r="Y4" i="10" s="1"/>
  <c r="Z4" i="10" s="1"/>
  <c r="AA4" i="10" s="1"/>
  <c r="AB4" i="10" s="1"/>
  <c r="AC4" i="10" s="1"/>
  <c r="AD4" i="10" s="1"/>
  <c r="AE4" i="10" s="1"/>
  <c r="AF4" i="10" s="1"/>
  <c r="AG4" i="10" s="1"/>
  <c r="AH4" i="10" s="1"/>
  <c r="AI4" i="10" s="1"/>
  <c r="AJ4" i="10" s="1"/>
  <c r="AK4" i="10" s="1"/>
  <c r="AL4" i="10" s="1"/>
  <c r="AM4" i="10" s="1"/>
  <c r="AN4" i="10" s="1"/>
  <c r="AO4" i="10" s="1"/>
  <c r="AP4" i="10" s="1"/>
  <c r="AQ4" i="10" s="1"/>
  <c r="AR4" i="10" s="1"/>
  <c r="AS4" i="10" s="1"/>
  <c r="AT4" i="10" s="1"/>
  <c r="AU4" i="10" s="1"/>
  <c r="AV4" i="10" s="1"/>
  <c r="AW4" i="10" s="1"/>
  <c r="AX4" i="10" s="1"/>
  <c r="AY4" i="10" s="1"/>
  <c r="AZ4" i="10" s="1"/>
  <c r="BA4" i="10" s="1"/>
  <c r="BB4" i="10" s="1"/>
  <c r="BC4" i="10" s="1"/>
  <c r="BD4" i="10" s="1"/>
  <c r="BE4" i="10" s="1"/>
  <c r="BF4" i="10" s="1"/>
  <c r="BG4" i="10" s="1"/>
  <c r="BH4" i="10" s="1"/>
  <c r="BI4" i="10" s="1"/>
  <c r="BJ4" i="10" s="1"/>
  <c r="BK4" i="10" s="1"/>
  <c r="BL4" i="10" s="1"/>
  <c r="BM4" i="10" s="1"/>
  <c r="T2" i="22" l="1"/>
  <c r="G5" i="8"/>
  <c r="F5" i="8"/>
  <c r="E5" i="8"/>
  <c r="G4" i="8"/>
  <c r="F4" i="8"/>
  <c r="E4" i="8"/>
  <c r="G3" i="8"/>
  <c r="F3" i="8"/>
  <c r="E3" i="8"/>
  <c r="AG5" i="15"/>
  <c r="AE5" i="15"/>
  <c r="AD5" i="15"/>
  <c r="Y5" i="15"/>
  <c r="W5" i="15"/>
  <c r="V5" i="15"/>
  <c r="Q5" i="15"/>
  <c r="O5" i="15"/>
  <c r="N5" i="15"/>
  <c r="G5" i="15"/>
  <c r="F5" i="15"/>
  <c r="D9" i="15"/>
  <c r="E9" i="15" s="1"/>
  <c r="F9" i="15" s="1"/>
  <c r="G9" i="15" s="1"/>
  <c r="H9" i="15" s="1"/>
  <c r="I9" i="15" s="1"/>
  <c r="J9" i="15" s="1"/>
  <c r="K9" i="15" s="1"/>
  <c r="L9" i="15" s="1"/>
  <c r="M9" i="15" s="1"/>
  <c r="N9" i="15" s="1"/>
  <c r="O9" i="15" s="1"/>
  <c r="P9" i="15" s="1"/>
  <c r="Q9" i="15" s="1"/>
  <c r="R9" i="15" s="1"/>
  <c r="S9" i="15" s="1"/>
  <c r="T9" i="15" s="1"/>
  <c r="U9" i="15" s="1"/>
  <c r="V9" i="15" s="1"/>
  <c r="W9" i="15" s="1"/>
  <c r="X9" i="15" s="1"/>
  <c r="Y9" i="15" s="1"/>
  <c r="Z9" i="15" s="1"/>
  <c r="AA9" i="15" s="1"/>
  <c r="AB9" i="15" s="1"/>
  <c r="AC9" i="15" s="1"/>
  <c r="AD9" i="15" s="1"/>
  <c r="AE9" i="15" s="1"/>
  <c r="AF9" i="15" s="1"/>
  <c r="AG9" i="15" s="1"/>
  <c r="AH9" i="15" s="1"/>
  <c r="AI9" i="15" s="1"/>
  <c r="AJ9" i="15" s="1"/>
  <c r="AK9" i="15" s="1"/>
  <c r="AL9" i="15" s="1"/>
  <c r="AM9" i="15" s="1"/>
  <c r="AN9" i="15" s="1"/>
  <c r="AO9" i="15" s="1"/>
  <c r="AP9" i="15" s="1"/>
  <c r="AQ9" i="15" s="1"/>
  <c r="AR9" i="15" s="1"/>
  <c r="AS9" i="15" s="1"/>
  <c r="AT9" i="15" s="1"/>
  <c r="AU9" i="15" s="1"/>
  <c r="AV9" i="15" s="1"/>
  <c r="AW9" i="15" s="1"/>
  <c r="AX9" i="15" s="1"/>
  <c r="AY9" i="15" s="1"/>
  <c r="AZ9" i="15" s="1"/>
  <c r="BA9" i="15" s="1"/>
  <c r="BB9" i="15" s="1"/>
  <c r="BC9" i="15" s="1"/>
  <c r="BD9" i="15" s="1"/>
  <c r="BE9" i="15" s="1"/>
  <c r="BF9" i="15" s="1"/>
  <c r="BG9" i="15" s="1"/>
  <c r="BH9" i="15" s="1"/>
  <c r="BI9" i="15" s="1"/>
  <c r="BJ9" i="15" s="1"/>
  <c r="D3" i="15"/>
  <c r="K5" i="13"/>
  <c r="B19" i="13" s="1"/>
  <c r="D9" i="13"/>
  <c r="AH10" i="15" l="1"/>
  <c r="P8" i="4"/>
  <c r="N6" i="15"/>
  <c r="T9" i="4"/>
  <c r="R7" i="15"/>
  <c r="AA10" i="15"/>
  <c r="AA5" i="15"/>
  <c r="Q8" i="4"/>
  <c r="O6" i="15"/>
  <c r="U9" i="4"/>
  <c r="S7" i="15"/>
  <c r="T10" i="15"/>
  <c r="T5" i="15"/>
  <c r="Z8" i="4"/>
  <c r="X6" i="15"/>
  <c r="O9" i="4"/>
  <c r="M7" i="15"/>
  <c r="AF8" i="4"/>
  <c r="AD6" i="15"/>
  <c r="K10" i="15"/>
  <c r="K5" i="15"/>
  <c r="I8" i="4"/>
  <c r="G6" i="15"/>
  <c r="M9" i="4"/>
  <c r="K7" i="15"/>
  <c r="D10" i="15"/>
  <c r="D5" i="15"/>
  <c r="J8" i="4"/>
  <c r="H6" i="15"/>
  <c r="N9" i="4"/>
  <c r="L7" i="15"/>
  <c r="AK10" i="15"/>
  <c r="AA8" i="4"/>
  <c r="Y6" i="15"/>
  <c r="AE9" i="4"/>
  <c r="AC7" i="15"/>
  <c r="L8" i="4"/>
  <c r="J6" i="15"/>
  <c r="T8" i="4"/>
  <c r="R6" i="15"/>
  <c r="AB8" i="4"/>
  <c r="Z6" i="15"/>
  <c r="AJ8" i="4"/>
  <c r="H9" i="4"/>
  <c r="F7" i="15"/>
  <c r="P9" i="4"/>
  <c r="N7" i="15"/>
  <c r="X9" i="4"/>
  <c r="V7" i="15"/>
  <c r="AF9" i="4"/>
  <c r="AD7" i="15"/>
  <c r="AN9" i="4"/>
  <c r="J10" i="15"/>
  <c r="J5" i="15"/>
  <c r="X8" i="4"/>
  <c r="V6" i="15"/>
  <c r="AB9" i="4"/>
  <c r="Z7" i="15"/>
  <c r="S10" i="15"/>
  <c r="S5" i="15"/>
  <c r="E9" i="4"/>
  <c r="C7" i="15"/>
  <c r="AC9" i="4"/>
  <c r="AA7" i="15"/>
  <c r="AB10" i="15"/>
  <c r="AB5" i="15"/>
  <c r="R8" i="4"/>
  <c r="P6" i="15"/>
  <c r="AD9" i="4"/>
  <c r="AB7" i="15"/>
  <c r="M10" i="15"/>
  <c r="M5" i="15"/>
  <c r="K8" i="4"/>
  <c r="I6" i="15"/>
  <c r="AI8" i="4"/>
  <c r="AG6" i="15"/>
  <c r="W9" i="4"/>
  <c r="U7" i="15"/>
  <c r="E8" i="4"/>
  <c r="C6" i="15"/>
  <c r="M8" i="4"/>
  <c r="K6" i="15"/>
  <c r="U8" i="4"/>
  <c r="S6" i="15"/>
  <c r="AC8" i="4"/>
  <c r="AA6" i="15"/>
  <c r="AK8" i="4"/>
  <c r="I9" i="4"/>
  <c r="G7" i="15"/>
  <c r="Q9" i="4"/>
  <c r="O7" i="15"/>
  <c r="Y9" i="4"/>
  <c r="W7" i="15"/>
  <c r="AG9" i="4"/>
  <c r="AE7" i="15"/>
  <c r="Z10" i="15"/>
  <c r="Z5" i="15"/>
  <c r="H8" i="4"/>
  <c r="F6" i="15"/>
  <c r="L9" i="4"/>
  <c r="J7" i="15"/>
  <c r="C10" i="15"/>
  <c r="C5" i="15"/>
  <c r="Y8" i="4"/>
  <c r="W6" i="15"/>
  <c r="L10" i="15"/>
  <c r="L5" i="15"/>
  <c r="AH8" i="4"/>
  <c r="AF6" i="15"/>
  <c r="AL9" i="4"/>
  <c r="U10" i="15"/>
  <c r="U5" i="15"/>
  <c r="H10" i="15"/>
  <c r="H5" i="15"/>
  <c r="P10" i="15"/>
  <c r="P5" i="15"/>
  <c r="X10" i="15"/>
  <c r="X5" i="15"/>
  <c r="AF10" i="15"/>
  <c r="AF5" i="15"/>
  <c r="F8" i="4"/>
  <c r="D6" i="15"/>
  <c r="N8" i="4"/>
  <c r="L6" i="15"/>
  <c r="V8" i="4"/>
  <c r="T6" i="15"/>
  <c r="AD8" i="4"/>
  <c r="AB6" i="15"/>
  <c r="AL8" i="4"/>
  <c r="J9" i="4"/>
  <c r="H7" i="15"/>
  <c r="R9" i="4"/>
  <c r="P7" i="15"/>
  <c r="Z9" i="4"/>
  <c r="X7" i="15"/>
  <c r="AH9" i="4"/>
  <c r="AF7" i="15"/>
  <c r="R10" i="15"/>
  <c r="R5" i="15"/>
  <c r="AN8" i="4"/>
  <c r="AJ9" i="4"/>
  <c r="AI10" i="15"/>
  <c r="AG8" i="4"/>
  <c r="AE6" i="15"/>
  <c r="AK9" i="4"/>
  <c r="AJ10" i="15"/>
  <c r="F9" i="4"/>
  <c r="D7" i="15"/>
  <c r="V9" i="4"/>
  <c r="T7" i="15"/>
  <c r="E10" i="15"/>
  <c r="E5" i="15"/>
  <c r="AC10" i="15"/>
  <c r="AC5" i="15"/>
  <c r="S8" i="4"/>
  <c r="Q6" i="15"/>
  <c r="G9" i="4"/>
  <c r="E7" i="15"/>
  <c r="AM9" i="4"/>
  <c r="I10" i="15"/>
  <c r="I5" i="15"/>
  <c r="G8" i="4"/>
  <c r="E6" i="15"/>
  <c r="O8" i="4"/>
  <c r="M6" i="15"/>
  <c r="W8" i="4"/>
  <c r="U6" i="15"/>
  <c r="AE8" i="4"/>
  <c r="AC6" i="15"/>
  <c r="AM8" i="4"/>
  <c r="K9" i="4"/>
  <c r="I7" i="15"/>
  <c r="S9" i="4"/>
  <c r="Q7" i="15"/>
  <c r="AA9" i="4"/>
  <c r="Y7" i="15"/>
  <c r="AI9" i="4"/>
  <c r="AG7" i="15"/>
  <c r="E3" i="15"/>
  <c r="Q10" i="15"/>
  <c r="Y10" i="15"/>
  <c r="AG10" i="15"/>
  <c r="F10" i="15"/>
  <c r="N10" i="15"/>
  <c r="V10" i="15"/>
  <c r="AD10" i="15"/>
  <c r="AL10" i="15"/>
  <c r="G10" i="15"/>
  <c r="O10" i="15"/>
  <c r="W10" i="15"/>
  <c r="AE10" i="15"/>
  <c r="E7" i="4"/>
  <c r="M7" i="4"/>
  <c r="U7" i="4"/>
  <c r="AC7" i="4"/>
  <c r="AK7" i="4"/>
  <c r="B17" i="13"/>
  <c r="B16" i="13"/>
  <c r="B15" i="13"/>
  <c r="EB4" i="10" s="1"/>
  <c r="EA4" i="10" s="1"/>
  <c r="L7" i="4"/>
  <c r="T7" i="4"/>
  <c r="AB7" i="4"/>
  <c r="AJ7" i="4"/>
  <c r="F7" i="4"/>
  <c r="N7" i="4"/>
  <c r="V7" i="4"/>
  <c r="AD7" i="4"/>
  <c r="AL7" i="4"/>
  <c r="G7" i="4"/>
  <c r="O7" i="4"/>
  <c r="W7" i="4"/>
  <c r="AE7" i="4"/>
  <c r="AM7" i="4"/>
  <c r="H7" i="4"/>
  <c r="P7" i="4"/>
  <c r="X7" i="4"/>
  <c r="AF7" i="4"/>
  <c r="AN7" i="4"/>
  <c r="I7" i="4"/>
  <c r="Q7" i="4"/>
  <c r="Y7" i="4"/>
  <c r="AG7" i="4"/>
  <c r="J7" i="4"/>
  <c r="R7" i="4"/>
  <c r="Z7" i="4"/>
  <c r="AH7" i="4"/>
  <c r="K7" i="4"/>
  <c r="S7" i="4"/>
  <c r="AA7" i="4"/>
  <c r="AI7" i="4"/>
  <c r="N4" i="8"/>
  <c r="S4" i="8"/>
  <c r="L5" i="8"/>
  <c r="B28" i="10" s="1"/>
  <c r="Q5" i="8"/>
  <c r="M5" i="8"/>
  <c r="R5" i="8"/>
  <c r="L3" i="8"/>
  <c r="Q3" i="8"/>
  <c r="N5" i="8"/>
  <c r="S5" i="8"/>
  <c r="M3" i="8"/>
  <c r="R3" i="8"/>
  <c r="M4" i="8"/>
  <c r="R4" i="8"/>
  <c r="N3" i="8"/>
  <c r="S3" i="8"/>
  <c r="L4" i="8"/>
  <c r="B18" i="10" s="1"/>
  <c r="Q4" i="8"/>
  <c r="E9" i="13"/>
  <c r="U2" i="22"/>
  <c r="L5" i="13"/>
  <c r="F6" i="27" l="1"/>
  <c r="E6" i="27"/>
  <c r="F3" i="15"/>
  <c r="EA6" i="10"/>
  <c r="EA7" i="10"/>
  <c r="EA5" i="10"/>
  <c r="B29" i="10"/>
  <c r="B30" i="10" s="1"/>
  <c r="B19" i="10"/>
  <c r="B20" i="10" s="1"/>
  <c r="B9" i="10"/>
  <c r="B8" i="10"/>
  <c r="K6" i="13"/>
  <c r="EC4" i="10" s="1"/>
  <c r="F9" i="13"/>
  <c r="V2" i="22"/>
  <c r="E10" i="13"/>
  <c r="E11" i="13" s="1"/>
  <c r="C10" i="13"/>
  <c r="C11" i="13" s="1"/>
  <c r="D10" i="13"/>
  <c r="D11" i="13" s="1"/>
  <c r="F10" i="13" l="1"/>
  <c r="F11" i="13" s="1"/>
  <c r="F12" i="13" s="1"/>
  <c r="G3" i="15"/>
  <c r="B10" i="10"/>
  <c r="D12" i="13"/>
  <c r="C12" i="13"/>
  <c r="E12" i="13"/>
  <c r="G9" i="13"/>
  <c r="L6" i="13"/>
  <c r="W2" i="22"/>
  <c r="D20" i="13"/>
  <c r="H3" i="15" l="1"/>
  <c r="ED4" i="10"/>
  <c r="EE4" i="10"/>
  <c r="EF4" i="10"/>
  <c r="K7" i="13"/>
  <c r="F24" i="13" s="1"/>
  <c r="H9" i="13"/>
  <c r="G10" i="13"/>
  <c r="G11" i="13" s="1"/>
  <c r="X2" i="22"/>
  <c r="AV27" i="26"/>
  <c r="AV29" i="26" s="1"/>
  <c r="AR27" i="26"/>
  <c r="AR29" i="26" s="1"/>
  <c r="AP27" i="26"/>
  <c r="AP29" i="26" s="1"/>
  <c r="AX17" i="26"/>
  <c r="AX19" i="26" s="1"/>
  <c r="AV17" i="26"/>
  <c r="AV19" i="26" s="1"/>
  <c r="AT17" i="26"/>
  <c r="AT19" i="26" s="1"/>
  <c r="AR17" i="26"/>
  <c r="AR19" i="26" s="1"/>
  <c r="AR15" i="6"/>
  <c r="AW13" i="15"/>
  <c r="AW7" i="15" s="1"/>
  <c r="AV13" i="15"/>
  <c r="AV7" i="15" s="1"/>
  <c r="AQ13" i="15"/>
  <c r="AQ7" i="15" s="1"/>
  <c r="AO13" i="15"/>
  <c r="AO7" i="15" s="1"/>
  <c r="AN13" i="15"/>
  <c r="AN7" i="15" s="1"/>
  <c r="AX12" i="15"/>
  <c r="AX6" i="15" s="1"/>
  <c r="AQ12" i="15"/>
  <c r="AQ6" i="15" s="1"/>
  <c r="AP12" i="15"/>
  <c r="AP6" i="15" s="1"/>
  <c r="AT15" i="6" l="1"/>
  <c r="AR3" i="6"/>
  <c r="AR9" i="6"/>
  <c r="AS9" i="6"/>
  <c r="AS15" i="6"/>
  <c r="AS9" i="11"/>
  <c r="AT9" i="6"/>
  <c r="D28" i="13"/>
  <c r="D2" i="33" s="1"/>
  <c r="C28" i="13"/>
  <c r="E28" i="13"/>
  <c r="E2" i="33" s="1"/>
  <c r="G24" i="13"/>
  <c r="F25" i="13" s="1"/>
  <c r="G25" i="13" s="1"/>
  <c r="F28" i="13"/>
  <c r="F2" i="33" s="1"/>
  <c r="G28" i="13"/>
  <c r="G2" i="33" s="1"/>
  <c r="AS3" i="6"/>
  <c r="AO12" i="15"/>
  <c r="AO6" i="15" s="1"/>
  <c r="AW12" i="15"/>
  <c r="AW6" i="15" s="1"/>
  <c r="AO15" i="6"/>
  <c r="AW15" i="6"/>
  <c r="AP9" i="6"/>
  <c r="AX9" i="6"/>
  <c r="AP15" i="6"/>
  <c r="AX15" i="6"/>
  <c r="AP9" i="11"/>
  <c r="AX9" i="11"/>
  <c r="AQ9" i="6"/>
  <c r="I3" i="15"/>
  <c r="AM9" i="11"/>
  <c r="AU9" i="11"/>
  <c r="AO9" i="11"/>
  <c r="AY15" i="6"/>
  <c r="AM15" i="6"/>
  <c r="AU15" i="6"/>
  <c r="AN15" i="6"/>
  <c r="AV15" i="6"/>
  <c r="BC15" i="6"/>
  <c r="AQ15" i="6"/>
  <c r="AN12" i="15"/>
  <c r="AN6" i="15" s="1"/>
  <c r="AV12" i="15"/>
  <c r="AV6" i="15" s="1"/>
  <c r="AM9" i="6"/>
  <c r="AU9" i="6"/>
  <c r="AV9" i="6"/>
  <c r="AN9" i="6"/>
  <c r="AO9" i="6"/>
  <c r="AW9" i="6"/>
  <c r="AM3" i="6"/>
  <c r="AO11" i="15"/>
  <c r="AO3" i="6"/>
  <c r="AW11" i="15"/>
  <c r="AW3" i="6"/>
  <c r="AQ11" i="15"/>
  <c r="AQ3" i="6"/>
  <c r="AX11" i="15"/>
  <c r="AX5" i="15" s="1"/>
  <c r="AX3" i="6"/>
  <c r="AU3" i="6"/>
  <c r="AP11" i="15"/>
  <c r="AP5" i="15" s="1"/>
  <c r="AP3" i="6"/>
  <c r="AT3" i="6"/>
  <c r="AN11" i="15"/>
  <c r="AN5" i="15" s="1"/>
  <c r="AN3" i="6"/>
  <c r="AV11" i="15"/>
  <c r="AV5" i="15" s="1"/>
  <c r="AV3" i="6"/>
  <c r="AZ12" i="15"/>
  <c r="BA13" i="15"/>
  <c r="BA7" i="15" s="1"/>
  <c r="AZ13" i="15"/>
  <c r="AZ7" i="15" s="1"/>
  <c r="BC12" i="15"/>
  <c r="BI13" i="15"/>
  <c r="BI7" i="15" s="1"/>
  <c r="BF12" i="15"/>
  <c r="AT12" i="15"/>
  <c r="AT6" i="15" s="1"/>
  <c r="BG12" i="15"/>
  <c r="AU12" i="15"/>
  <c r="AU6" i="15" s="1"/>
  <c r="BD13" i="15"/>
  <c r="BD7" i="15" s="1"/>
  <c r="AR13" i="15"/>
  <c r="AR7" i="15" s="1"/>
  <c r="BD15" i="6"/>
  <c r="AR11" i="15"/>
  <c r="AR5" i="15" s="1"/>
  <c r="BI12" i="15"/>
  <c r="BE13" i="15"/>
  <c r="BE7" i="15" s="1"/>
  <c r="AS13" i="15"/>
  <c r="AS7" i="15" s="1"/>
  <c r="BC13" i="15"/>
  <c r="BC7" i="15" s="1"/>
  <c r="BE15" i="6"/>
  <c r="AS11" i="15"/>
  <c r="AS5" i="15" s="1"/>
  <c r="BJ12" i="15"/>
  <c r="BF13" i="15"/>
  <c r="BF7" i="15" s="1"/>
  <c r="AT13" i="15"/>
  <c r="AT7" i="15" s="1"/>
  <c r="BH13" i="15"/>
  <c r="BH7" i="15" s="1"/>
  <c r="BG15" i="6"/>
  <c r="BF15" i="6"/>
  <c r="AY13" i="15"/>
  <c r="AY7" i="15" s="1"/>
  <c r="AO15" i="4"/>
  <c r="BG13" i="15"/>
  <c r="BG7" i="15" s="1"/>
  <c r="AU13" i="15"/>
  <c r="AU7" i="15" s="1"/>
  <c r="AZ15" i="6"/>
  <c r="BH15" i="6"/>
  <c r="AO14" i="4"/>
  <c r="BF3" i="6"/>
  <c r="AT11" i="15"/>
  <c r="AT5" i="15" s="1"/>
  <c r="AU11" i="15"/>
  <c r="AU5" i="15" s="1"/>
  <c r="BA15" i="6"/>
  <c r="BI15" i="6"/>
  <c r="BH3" i="6"/>
  <c r="BD12" i="15"/>
  <c r="AR12" i="15"/>
  <c r="AR6" i="15" s="1"/>
  <c r="BA12" i="15"/>
  <c r="BB15" i="6"/>
  <c r="BJ15" i="6"/>
  <c r="BI3" i="6"/>
  <c r="BE12" i="15"/>
  <c r="AS12" i="15"/>
  <c r="AS6" i="15" s="1"/>
  <c r="BB12" i="15"/>
  <c r="BB13" i="15"/>
  <c r="BB7" i="15" s="1"/>
  <c r="AP13" i="15"/>
  <c r="AP7" i="15" s="1"/>
  <c r="BJ13" i="15"/>
  <c r="BJ7" i="15" s="1"/>
  <c r="AX13" i="15"/>
  <c r="AX7" i="15" s="1"/>
  <c r="AT3" i="11"/>
  <c r="AN9" i="11"/>
  <c r="AV9" i="11"/>
  <c r="AX3" i="11"/>
  <c r="AW9" i="11"/>
  <c r="AQ9" i="11"/>
  <c r="AO3" i="11"/>
  <c r="AR9" i="11"/>
  <c r="AP3" i="11"/>
  <c r="AR3" i="11"/>
  <c r="BG7" i="26"/>
  <c r="BG9" i="26" s="1"/>
  <c r="AT9" i="11"/>
  <c r="BH27" i="26"/>
  <c r="BH29" i="26" s="1"/>
  <c r="AP31" i="23"/>
  <c r="AQ18" i="26" s="1"/>
  <c r="AP28" i="26"/>
  <c r="AN7" i="26"/>
  <c r="AN9" i="26" s="1"/>
  <c r="AV7" i="26"/>
  <c r="AV9" i="26" s="1"/>
  <c r="AQ17" i="26"/>
  <c r="AQ19" i="26" s="1"/>
  <c r="AY17" i="26"/>
  <c r="AY19" i="26" s="1"/>
  <c r="AS27" i="26"/>
  <c r="AS29" i="26" s="1"/>
  <c r="AR31" i="23"/>
  <c r="AS18" i="26" s="1"/>
  <c r="AQ28" i="26"/>
  <c r="AO7" i="26"/>
  <c r="AO9" i="26" s="1"/>
  <c r="AW7" i="26"/>
  <c r="AW9" i="26" s="1"/>
  <c r="BD17" i="26"/>
  <c r="BD19" i="26" s="1"/>
  <c r="AT27" i="26"/>
  <c r="AT29" i="26" s="1"/>
  <c r="AT31" i="23"/>
  <c r="AU18" i="26" s="1"/>
  <c r="AS28" i="26"/>
  <c r="AP7" i="26"/>
  <c r="AP9" i="26" s="1"/>
  <c r="BI9" i="11"/>
  <c r="AX7" i="26"/>
  <c r="AX9" i="26" s="1"/>
  <c r="AS17" i="26"/>
  <c r="AS19" i="26" s="1"/>
  <c r="AU27" i="26"/>
  <c r="AU29" i="26" s="1"/>
  <c r="AU31" i="23"/>
  <c r="AV18" i="26" s="1"/>
  <c r="AT28" i="26"/>
  <c r="BB9" i="11"/>
  <c r="AQ7" i="26"/>
  <c r="AQ9" i="26" s="1"/>
  <c r="BJ9" i="11"/>
  <c r="AY7" i="26"/>
  <c r="AY9" i="26" s="1"/>
  <c r="AZ27" i="26"/>
  <c r="AZ29" i="26" s="1"/>
  <c r="AN27" i="26"/>
  <c r="AN29" i="26" s="1"/>
  <c r="AV31" i="23"/>
  <c r="AW18" i="26" s="1"/>
  <c r="AU28" i="26"/>
  <c r="AR7" i="26"/>
  <c r="AR9" i="26" s="1"/>
  <c r="AU17" i="26"/>
  <c r="AU19" i="26" s="1"/>
  <c r="AO27" i="26"/>
  <c r="AO29" i="26" s="1"/>
  <c r="AW27" i="26"/>
  <c r="AW29" i="26" s="1"/>
  <c r="AN18" i="26"/>
  <c r="AW31" i="23"/>
  <c r="AX18" i="26" s="1"/>
  <c r="AW28" i="26"/>
  <c r="AS7" i="26"/>
  <c r="AS9" i="26" s="1"/>
  <c r="AZ17" i="26"/>
  <c r="AZ19" i="26" s="1"/>
  <c r="AN17" i="26"/>
  <c r="AN19" i="26" s="1"/>
  <c r="AX27" i="26"/>
  <c r="AX29" i="26" s="1"/>
  <c r="AN31" i="23"/>
  <c r="AO18" i="26" s="1"/>
  <c r="AX31" i="23"/>
  <c r="AY18" i="26" s="1"/>
  <c r="AX28" i="26"/>
  <c r="AT7" i="26"/>
  <c r="AT9" i="26" s="1"/>
  <c r="AO17" i="26"/>
  <c r="AO19" i="26" s="1"/>
  <c r="AW17" i="26"/>
  <c r="AW19" i="26" s="1"/>
  <c r="AQ27" i="26"/>
  <c r="AQ29" i="26" s="1"/>
  <c r="AY27" i="26"/>
  <c r="AY29" i="26" s="1"/>
  <c r="AO31" i="23"/>
  <c r="AP18" i="26" s="1"/>
  <c r="AO28" i="26"/>
  <c r="AY28" i="26"/>
  <c r="AU7" i="26"/>
  <c r="AU9" i="26" s="1"/>
  <c r="AP17" i="26"/>
  <c r="AP19" i="26" s="1"/>
  <c r="G12" i="13"/>
  <c r="I9" i="13"/>
  <c r="H10" i="13"/>
  <c r="H11" i="13" s="1"/>
  <c r="H28" i="13" s="1"/>
  <c r="H2" i="33" s="1"/>
  <c r="L7" i="13"/>
  <c r="Y2" i="22"/>
  <c r="BD27" i="26"/>
  <c r="BD29" i="26" s="1"/>
  <c r="BF17" i="26"/>
  <c r="BF19" i="26" s="1"/>
  <c r="AS3" i="11"/>
  <c r="BH17" i="26"/>
  <c r="BH19" i="26" s="1"/>
  <c r="E24" i="4"/>
  <c r="C18" i="31" s="1"/>
  <c r="E23" i="4"/>
  <c r="C17" i="31" s="1"/>
  <c r="C15" i="31" s="1"/>
  <c r="AN6" i="4"/>
  <c r="AM6" i="4"/>
  <c r="AL6" i="4"/>
  <c r="AK6" i="4"/>
  <c r="AJ6" i="4"/>
  <c r="AI6" i="4"/>
  <c r="AH6" i="4"/>
  <c r="AG6" i="4"/>
  <c r="AF6" i="4"/>
  <c r="AE6" i="4"/>
  <c r="AD6" i="4"/>
  <c r="AC6" i="4"/>
  <c r="AB6" i="4"/>
  <c r="AA6" i="4"/>
  <c r="Z6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AN5" i="4"/>
  <c r="AM5" i="4"/>
  <c r="AL5" i="4"/>
  <c r="AK5" i="4"/>
  <c r="AJ5" i="4"/>
  <c r="AI5" i="4"/>
  <c r="AH5" i="4"/>
  <c r="AG5" i="4"/>
  <c r="AF5" i="4"/>
  <c r="AE5" i="4"/>
  <c r="AD5" i="4"/>
  <c r="AC5" i="4"/>
  <c r="AB5" i="4"/>
  <c r="AA5" i="4"/>
  <c r="Z5" i="4"/>
  <c r="Y5" i="4"/>
  <c r="X5" i="4"/>
  <c r="W5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C2" i="29" l="1"/>
  <c r="C2" i="33"/>
  <c r="H2" i="15"/>
  <c r="H2" i="29"/>
  <c r="G2" i="15"/>
  <c r="G2" i="29"/>
  <c r="F2" i="15"/>
  <c r="F2" i="29"/>
  <c r="E2" i="15"/>
  <c r="E2" i="29"/>
  <c r="D2" i="15"/>
  <c r="D2" i="29"/>
  <c r="G14" i="27"/>
  <c r="G16" i="27" s="1"/>
  <c r="BJ6" i="15"/>
  <c r="BD3" i="6"/>
  <c r="BH12" i="15"/>
  <c r="BH6" i="15" s="1"/>
  <c r="BE3" i="6"/>
  <c r="BI6" i="15"/>
  <c r="BF6" i="15"/>
  <c r="AZ6" i="15"/>
  <c r="AO10" i="15"/>
  <c r="AO5" i="15"/>
  <c r="AO4" i="15" s="1"/>
  <c r="BB6" i="15"/>
  <c r="BA6" i="15"/>
  <c r="BE6" i="15"/>
  <c r="BD6" i="15"/>
  <c r="AM10" i="15"/>
  <c r="G6" i="27" s="1"/>
  <c r="BC6" i="15"/>
  <c r="AQ10" i="15"/>
  <c r="AQ5" i="15"/>
  <c r="BG6" i="15"/>
  <c r="AW10" i="15"/>
  <c r="AW5" i="15"/>
  <c r="AW4" i="15" s="1"/>
  <c r="BD9" i="11"/>
  <c r="AY9" i="11"/>
  <c r="BC9" i="11"/>
  <c r="BA9" i="6"/>
  <c r="BJ9" i="6"/>
  <c r="BH9" i="6"/>
  <c r="AZ9" i="6"/>
  <c r="BD9" i="6"/>
  <c r="BC9" i="6"/>
  <c r="BG3" i="6"/>
  <c r="BG9" i="6"/>
  <c r="BF9" i="6"/>
  <c r="BB9" i="6"/>
  <c r="AY9" i="6"/>
  <c r="BE9" i="6"/>
  <c r="AN10" i="15"/>
  <c r="BI9" i="6"/>
  <c r="AZ3" i="6"/>
  <c r="J3" i="15"/>
  <c r="E2" i="4"/>
  <c r="C2" i="15"/>
  <c r="AV10" i="15"/>
  <c r="AY3" i="6"/>
  <c r="AS10" i="15"/>
  <c r="AR4" i="15"/>
  <c r="AR10" i="15"/>
  <c r="AU10" i="15"/>
  <c r="AX4" i="15"/>
  <c r="AX10" i="15"/>
  <c r="AT4" i="15"/>
  <c r="AT10" i="15"/>
  <c r="AP10" i="15"/>
  <c r="BE9" i="11"/>
  <c r="AP4" i="15"/>
  <c r="BB11" i="15"/>
  <c r="BB3" i="6"/>
  <c r="BC3" i="6"/>
  <c r="BJ3" i="6"/>
  <c r="BA3" i="6"/>
  <c r="AY11" i="15"/>
  <c r="AY5" i="15" s="1"/>
  <c r="BG11" i="15"/>
  <c r="BH11" i="15"/>
  <c r="AZ11" i="15"/>
  <c r="BD11" i="15"/>
  <c r="BF11" i="15"/>
  <c r="BE11" i="15"/>
  <c r="BJ11" i="15"/>
  <c r="AY12" i="15"/>
  <c r="AY6" i="15" s="1"/>
  <c r="BI11" i="15"/>
  <c r="BC11" i="15"/>
  <c r="BA11" i="15"/>
  <c r="AM3" i="11"/>
  <c r="AZ9" i="11"/>
  <c r="AV4" i="15"/>
  <c r="AV3" i="11"/>
  <c r="AY3" i="11"/>
  <c r="AU4" i="15"/>
  <c r="AU3" i="11"/>
  <c r="AN4" i="15"/>
  <c r="AN3" i="11"/>
  <c r="AQ3" i="11"/>
  <c r="BF9" i="11"/>
  <c r="BA9" i="11"/>
  <c r="AW3" i="11"/>
  <c r="BG9" i="11"/>
  <c r="BH9" i="11"/>
  <c r="BJ17" i="26"/>
  <c r="BJ19" i="26" s="1"/>
  <c r="BB17" i="26"/>
  <c r="BB19" i="26" s="1"/>
  <c r="BJ7" i="26"/>
  <c r="BJ9" i="26" s="1"/>
  <c r="BA7" i="26"/>
  <c r="BA9" i="26" s="1"/>
  <c r="BE27" i="26"/>
  <c r="BE29" i="26" s="1"/>
  <c r="AY31" i="23"/>
  <c r="AZ18" i="26" s="1"/>
  <c r="AS4" i="15"/>
  <c r="AS31" i="23"/>
  <c r="AT18" i="26" s="1"/>
  <c r="AV28" i="26"/>
  <c r="BK27" i="26"/>
  <c r="BK29" i="26" s="1"/>
  <c r="BF27" i="26"/>
  <c r="BF29" i="26" s="1"/>
  <c r="AQ31" i="23"/>
  <c r="AR18" i="26" s="1"/>
  <c r="AN28" i="26"/>
  <c r="AR28" i="26"/>
  <c r="BE7" i="26"/>
  <c r="BE9" i="26" s="1"/>
  <c r="BK7" i="26"/>
  <c r="BK9" i="26" s="1"/>
  <c r="BK17" i="26"/>
  <c r="BK19" i="26" s="1"/>
  <c r="BD7" i="26"/>
  <c r="BD9" i="26" s="1"/>
  <c r="BH7" i="26"/>
  <c r="BH9" i="26" s="1"/>
  <c r="BC31" i="23"/>
  <c r="BD18" i="26" s="1"/>
  <c r="AZ7" i="26"/>
  <c r="AZ9" i="26" s="1"/>
  <c r="BC27" i="26"/>
  <c r="BC29" i="26" s="1"/>
  <c r="BI27" i="26"/>
  <c r="BI29" i="26" s="1"/>
  <c r="BG27" i="26"/>
  <c r="BG29" i="26" s="1"/>
  <c r="BA3" i="11"/>
  <c r="BB7" i="26"/>
  <c r="BB9" i="26" s="1"/>
  <c r="BF7" i="26"/>
  <c r="BF9" i="26" s="1"/>
  <c r="BC17" i="26"/>
  <c r="BC19" i="26" s="1"/>
  <c r="BI17" i="26"/>
  <c r="BI19" i="26" s="1"/>
  <c r="BJ27" i="26"/>
  <c r="BJ29" i="26" s="1"/>
  <c r="BA27" i="26"/>
  <c r="BA29" i="26" s="1"/>
  <c r="BC7" i="26"/>
  <c r="BC9" i="26" s="1"/>
  <c r="BE17" i="26"/>
  <c r="BE19" i="26" s="1"/>
  <c r="BI7" i="26"/>
  <c r="BI9" i="26" s="1"/>
  <c r="AZ28" i="26"/>
  <c r="BH28" i="26"/>
  <c r="BB27" i="26"/>
  <c r="BB29" i="26" s="1"/>
  <c r="BA17" i="26"/>
  <c r="BA19" i="26" s="1"/>
  <c r="BG17" i="26"/>
  <c r="BG19" i="26" s="1"/>
  <c r="H12" i="13"/>
  <c r="EG4" i="10"/>
  <c r="EH4" i="10"/>
  <c r="J9" i="13"/>
  <c r="I10" i="13"/>
  <c r="I11" i="13" s="1"/>
  <c r="I28" i="13" s="1"/>
  <c r="I2" i="33" s="1"/>
  <c r="Z2" i="22"/>
  <c r="I2" i="15" l="1"/>
  <c r="I2" i="29"/>
  <c r="AM4" i="15"/>
  <c r="AO13" i="4"/>
  <c r="AZ10" i="15"/>
  <c r="AZ5" i="15"/>
  <c r="BC10" i="15"/>
  <c r="BC5" i="15"/>
  <c r="BC4" i="15" s="1"/>
  <c r="BH10" i="15"/>
  <c r="BH5" i="15"/>
  <c r="BA10" i="15"/>
  <c r="BA5" i="15"/>
  <c r="BI10" i="15"/>
  <c r="BI5" i="15"/>
  <c r="BG10" i="15"/>
  <c r="BG5" i="15"/>
  <c r="BJ10" i="15"/>
  <c r="BJ5" i="15"/>
  <c r="BE10" i="15"/>
  <c r="BE5" i="15"/>
  <c r="BF10" i="15"/>
  <c r="BF5" i="15"/>
  <c r="BB10" i="15"/>
  <c r="BB5" i="15"/>
  <c r="BD10" i="15"/>
  <c r="BD5" i="15"/>
  <c r="G10" i="27"/>
  <c r="G11" i="27" s="1"/>
  <c r="E10" i="27"/>
  <c r="E11" i="27" s="1"/>
  <c r="K3" i="15"/>
  <c r="F10" i="27"/>
  <c r="F11" i="27" s="1"/>
  <c r="AQ4" i="15"/>
  <c r="AY10" i="15"/>
  <c r="BB3" i="11"/>
  <c r="AZ3" i="11"/>
  <c r="BD3" i="11"/>
  <c r="BE3" i="11"/>
  <c r="BH3" i="11"/>
  <c r="BF3" i="11"/>
  <c r="BI3" i="11"/>
  <c r="BC3" i="11"/>
  <c r="BG3" i="11"/>
  <c r="BJ3" i="11"/>
  <c r="BI31" i="23"/>
  <c r="BJ18" i="26" s="1"/>
  <c r="BF28" i="26"/>
  <c r="BH31" i="23"/>
  <c r="BI18" i="26" s="1"/>
  <c r="BJ31" i="23"/>
  <c r="BK18" i="26" s="1"/>
  <c r="AZ31" i="23"/>
  <c r="BA18" i="26" s="1"/>
  <c r="BJ28" i="26"/>
  <c r="BE28" i="26"/>
  <c r="BD28" i="26"/>
  <c r="BG31" i="23"/>
  <c r="BH18" i="26" s="1"/>
  <c r="BA28" i="26"/>
  <c r="BG28" i="26"/>
  <c r="BI28" i="26"/>
  <c r="BA31" i="23"/>
  <c r="BB18" i="26" s="1"/>
  <c r="BK28" i="26"/>
  <c r="BF31" i="23"/>
  <c r="BG18" i="26" s="1"/>
  <c r="BB28" i="26"/>
  <c r="BB31" i="23"/>
  <c r="BC18" i="26" s="1"/>
  <c r="BE31" i="23"/>
  <c r="BF18" i="26" s="1"/>
  <c r="BD31" i="23"/>
  <c r="BE18" i="26" s="1"/>
  <c r="BC28" i="26"/>
  <c r="I12" i="13"/>
  <c r="EI4" i="10"/>
  <c r="EH7" i="10"/>
  <c r="K9" i="13"/>
  <c r="J10" i="13"/>
  <c r="J11" i="13" s="1"/>
  <c r="J28" i="13" s="1"/>
  <c r="J2" i="33" s="1"/>
  <c r="AA2" i="22"/>
  <c r="AN4" i="4"/>
  <c r="AM4" i="4"/>
  <c r="AL4" i="4"/>
  <c r="AK4" i="4"/>
  <c r="AJ4" i="4"/>
  <c r="AI4" i="4"/>
  <c r="AH4" i="4"/>
  <c r="AG4" i="4"/>
  <c r="AF4" i="4"/>
  <c r="AE4" i="4"/>
  <c r="AD4" i="4"/>
  <c r="AC4" i="4"/>
  <c r="AB4" i="4"/>
  <c r="AA4" i="4"/>
  <c r="Z4" i="4"/>
  <c r="Y4" i="4"/>
  <c r="X4" i="4"/>
  <c r="W4" i="4"/>
  <c r="V4" i="4"/>
  <c r="U4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F4" i="4"/>
  <c r="E4" i="4"/>
  <c r="AM18" i="26"/>
  <c r="AL18" i="26"/>
  <c r="AJ18" i="26"/>
  <c r="AI18" i="26"/>
  <c r="AH18" i="26"/>
  <c r="AG18" i="26"/>
  <c r="AF18" i="26"/>
  <c r="AE18" i="26"/>
  <c r="AD18" i="26"/>
  <c r="AB18" i="26"/>
  <c r="AA18" i="26"/>
  <c r="Z18" i="26"/>
  <c r="Y18" i="26"/>
  <c r="X18" i="26"/>
  <c r="W18" i="26"/>
  <c r="V18" i="26"/>
  <c r="T18" i="26"/>
  <c r="S18" i="26"/>
  <c r="R18" i="26"/>
  <c r="Q18" i="26"/>
  <c r="P18" i="26"/>
  <c r="O18" i="26"/>
  <c r="N18" i="26"/>
  <c r="L18" i="26"/>
  <c r="K18" i="26"/>
  <c r="J18" i="26"/>
  <c r="I18" i="26"/>
  <c r="H18" i="26"/>
  <c r="G3" i="11"/>
  <c r="E18" i="26"/>
  <c r="D18" i="26"/>
  <c r="D8" i="11"/>
  <c r="E8" i="11" s="1"/>
  <c r="F8" i="11" s="1"/>
  <c r="G8" i="11" s="1"/>
  <c r="H8" i="11" s="1"/>
  <c r="I8" i="11" s="1"/>
  <c r="J8" i="11" s="1"/>
  <c r="K8" i="11" s="1"/>
  <c r="L8" i="11" s="1"/>
  <c r="M8" i="11" s="1"/>
  <c r="N8" i="11" s="1"/>
  <c r="O8" i="11" s="1"/>
  <c r="P8" i="11" s="1"/>
  <c r="Q8" i="11" s="1"/>
  <c r="R8" i="11" s="1"/>
  <c r="S8" i="11" s="1"/>
  <c r="T8" i="11" s="1"/>
  <c r="U8" i="11" s="1"/>
  <c r="V8" i="11" s="1"/>
  <c r="W8" i="11" s="1"/>
  <c r="X8" i="11" s="1"/>
  <c r="Y8" i="11" s="1"/>
  <c r="Z8" i="11" s="1"/>
  <c r="AA8" i="11" s="1"/>
  <c r="AB8" i="11" s="1"/>
  <c r="AC8" i="11" s="1"/>
  <c r="AD8" i="11" s="1"/>
  <c r="AE8" i="11" s="1"/>
  <c r="AF8" i="11" s="1"/>
  <c r="AG8" i="11" s="1"/>
  <c r="AH8" i="11" s="1"/>
  <c r="AI8" i="11" s="1"/>
  <c r="AJ8" i="11" s="1"/>
  <c r="AK8" i="11" s="1"/>
  <c r="AL8" i="11" s="1"/>
  <c r="AM8" i="11" s="1"/>
  <c r="AN8" i="11" s="1"/>
  <c r="AO8" i="11" s="1"/>
  <c r="AP8" i="11" s="1"/>
  <c r="AQ8" i="11" s="1"/>
  <c r="AR8" i="11" s="1"/>
  <c r="AS8" i="11" s="1"/>
  <c r="AT8" i="11" s="1"/>
  <c r="AU8" i="11" s="1"/>
  <c r="AV8" i="11" s="1"/>
  <c r="AW8" i="11" s="1"/>
  <c r="AX8" i="11" s="1"/>
  <c r="AY8" i="11" s="1"/>
  <c r="AZ8" i="11" s="1"/>
  <c r="BA8" i="11" s="1"/>
  <c r="BB8" i="11" s="1"/>
  <c r="BC8" i="11" s="1"/>
  <c r="BD8" i="11" s="1"/>
  <c r="BE8" i="11" s="1"/>
  <c r="BF8" i="11" s="1"/>
  <c r="BG8" i="11" s="1"/>
  <c r="BH8" i="11" s="1"/>
  <c r="BI8" i="11" s="1"/>
  <c r="BJ8" i="11" s="1"/>
  <c r="D2" i="11"/>
  <c r="E2" i="11" s="1"/>
  <c r="F2" i="11" s="1"/>
  <c r="G2" i="11" s="1"/>
  <c r="H2" i="11" s="1"/>
  <c r="I2" i="11" s="1"/>
  <c r="J2" i="11" s="1"/>
  <c r="K2" i="11" s="1"/>
  <c r="L2" i="11" s="1"/>
  <c r="M2" i="11" s="1"/>
  <c r="N2" i="11" s="1"/>
  <c r="O2" i="11" s="1"/>
  <c r="P2" i="11" s="1"/>
  <c r="Q2" i="11" s="1"/>
  <c r="R2" i="11" s="1"/>
  <c r="S2" i="11" s="1"/>
  <c r="T2" i="11" s="1"/>
  <c r="U2" i="11" s="1"/>
  <c r="V2" i="11" s="1"/>
  <c r="W2" i="11" s="1"/>
  <c r="X2" i="11" s="1"/>
  <c r="Y2" i="11" s="1"/>
  <c r="Z2" i="11" s="1"/>
  <c r="AA2" i="11" s="1"/>
  <c r="AB2" i="11" s="1"/>
  <c r="AC2" i="11" s="1"/>
  <c r="AD2" i="11" s="1"/>
  <c r="AE2" i="11" s="1"/>
  <c r="AF2" i="11" s="1"/>
  <c r="AG2" i="11" s="1"/>
  <c r="AH2" i="11" s="1"/>
  <c r="AI2" i="11" s="1"/>
  <c r="AJ2" i="11" s="1"/>
  <c r="AK2" i="11" s="1"/>
  <c r="AL2" i="11" s="1"/>
  <c r="AM2" i="11" s="1"/>
  <c r="AN2" i="11" s="1"/>
  <c r="AO2" i="11" s="1"/>
  <c r="AP2" i="11" s="1"/>
  <c r="AQ2" i="11" s="1"/>
  <c r="AR2" i="11" s="1"/>
  <c r="AS2" i="11" s="1"/>
  <c r="AT2" i="11" s="1"/>
  <c r="AU2" i="11" s="1"/>
  <c r="AV2" i="11" s="1"/>
  <c r="AW2" i="11" s="1"/>
  <c r="AX2" i="11" s="1"/>
  <c r="AY2" i="11" s="1"/>
  <c r="AZ2" i="11" s="1"/>
  <c r="BA2" i="11" s="1"/>
  <c r="BB2" i="11" s="1"/>
  <c r="BC2" i="11" s="1"/>
  <c r="BD2" i="11" s="1"/>
  <c r="BE2" i="11" s="1"/>
  <c r="BF2" i="11" s="1"/>
  <c r="BG2" i="11" s="1"/>
  <c r="BH2" i="11" s="1"/>
  <c r="BI2" i="11" s="1"/>
  <c r="BJ2" i="11" s="1"/>
  <c r="J2" i="15" l="1"/>
  <c r="J2" i="29"/>
  <c r="L3" i="15"/>
  <c r="BD4" i="15"/>
  <c r="AY4" i="15"/>
  <c r="AZ4" i="15"/>
  <c r="BE4" i="15"/>
  <c r="BI4" i="15"/>
  <c r="BF4" i="15"/>
  <c r="BG4" i="15"/>
  <c r="BJ4" i="15"/>
  <c r="BA4" i="15"/>
  <c r="BH4" i="15"/>
  <c r="BB4" i="15"/>
  <c r="AG28" i="26"/>
  <c r="AH15" i="4"/>
  <c r="I28" i="26"/>
  <c r="J15" i="4"/>
  <c r="AH28" i="26"/>
  <c r="AI15" i="4"/>
  <c r="Q28" i="26"/>
  <c r="R15" i="4"/>
  <c r="R28" i="26"/>
  <c r="S15" i="4"/>
  <c r="K28" i="26"/>
  <c r="L15" i="4"/>
  <c r="S28" i="26"/>
  <c r="T15" i="4"/>
  <c r="AA28" i="26"/>
  <c r="AB15" i="4"/>
  <c r="AI28" i="26"/>
  <c r="AJ15" i="4"/>
  <c r="J28" i="26"/>
  <c r="M28" i="26"/>
  <c r="N15" i="4"/>
  <c r="U28" i="26"/>
  <c r="V15" i="4"/>
  <c r="AC28" i="26"/>
  <c r="AD15" i="4"/>
  <c r="AK28" i="26"/>
  <c r="AL15" i="4"/>
  <c r="N28" i="26"/>
  <c r="O15" i="4"/>
  <c r="AL28" i="26"/>
  <c r="AM15" i="4"/>
  <c r="Z28" i="26"/>
  <c r="AA15" i="4"/>
  <c r="D28" i="26"/>
  <c r="E15" i="4"/>
  <c r="T28" i="26"/>
  <c r="U15" i="4"/>
  <c r="AD28" i="26"/>
  <c r="AE15" i="4"/>
  <c r="H3" i="11"/>
  <c r="G28" i="26"/>
  <c r="O28" i="26"/>
  <c r="P15" i="4"/>
  <c r="W28" i="26"/>
  <c r="X15" i="4"/>
  <c r="AE28" i="26"/>
  <c r="AF15" i="4"/>
  <c r="AM28" i="26"/>
  <c r="AN15" i="4"/>
  <c r="E28" i="26"/>
  <c r="F15" i="4"/>
  <c r="F28" i="26"/>
  <c r="G15" i="4"/>
  <c r="V28" i="26"/>
  <c r="W15" i="4"/>
  <c r="E3" i="11"/>
  <c r="H28" i="26"/>
  <c r="I15" i="4"/>
  <c r="P28" i="26"/>
  <c r="X28" i="26"/>
  <c r="Y15" i="4"/>
  <c r="AF28" i="26"/>
  <c r="AG15" i="4"/>
  <c r="D3" i="11"/>
  <c r="O13" i="4"/>
  <c r="W13" i="4"/>
  <c r="AE13" i="4"/>
  <c r="AM13" i="4"/>
  <c r="E13" i="4"/>
  <c r="C3" i="11"/>
  <c r="H13" i="4"/>
  <c r="F3" i="11"/>
  <c r="G14" i="4"/>
  <c r="F18" i="26"/>
  <c r="H14" i="4"/>
  <c r="G18" i="26"/>
  <c r="Z15" i="4"/>
  <c r="Y28" i="26"/>
  <c r="N14" i="4"/>
  <c r="M18" i="26"/>
  <c r="V14" i="4"/>
  <c r="U18" i="26"/>
  <c r="AD14" i="4"/>
  <c r="AC18" i="26"/>
  <c r="AL14" i="4"/>
  <c r="AK18" i="26"/>
  <c r="M15" i="4"/>
  <c r="L28" i="26"/>
  <c r="AC15" i="4"/>
  <c r="AB28" i="26"/>
  <c r="AK15" i="4"/>
  <c r="AJ28" i="26"/>
  <c r="J12" i="13"/>
  <c r="EJ4" i="10"/>
  <c r="L9" i="13"/>
  <c r="K10" i="13"/>
  <c r="K11" i="13" s="1"/>
  <c r="K28" i="13" s="1"/>
  <c r="K2" i="33" s="1"/>
  <c r="AB2" i="22"/>
  <c r="F11" i="4"/>
  <c r="F14" i="4"/>
  <c r="O14" i="4"/>
  <c r="W14" i="4"/>
  <c r="AE14" i="4"/>
  <c r="AM14" i="4"/>
  <c r="N12" i="4"/>
  <c r="V12" i="4"/>
  <c r="AD12" i="4"/>
  <c r="AL12" i="4"/>
  <c r="I10" i="4"/>
  <c r="P14" i="4"/>
  <c r="X14" i="4"/>
  <c r="AF14" i="4"/>
  <c r="AN14" i="4"/>
  <c r="O12" i="4"/>
  <c r="W12" i="4"/>
  <c r="AE12" i="4"/>
  <c r="AM12" i="4"/>
  <c r="E12" i="4"/>
  <c r="J10" i="4"/>
  <c r="I11" i="4"/>
  <c r="I14" i="4"/>
  <c r="Y14" i="4"/>
  <c r="AG14" i="4"/>
  <c r="H12" i="4"/>
  <c r="P12" i="4"/>
  <c r="X12" i="4"/>
  <c r="AF12" i="4"/>
  <c r="AN12" i="4"/>
  <c r="F12" i="4"/>
  <c r="J11" i="4"/>
  <c r="J14" i="4"/>
  <c r="R14" i="4"/>
  <c r="Z14" i="4"/>
  <c r="AH14" i="4"/>
  <c r="I12" i="4"/>
  <c r="Q12" i="4"/>
  <c r="Q15" i="4"/>
  <c r="Y12" i="4"/>
  <c r="AG12" i="4"/>
  <c r="G12" i="4"/>
  <c r="S14" i="4"/>
  <c r="AA14" i="4"/>
  <c r="J12" i="4"/>
  <c r="R12" i="4"/>
  <c r="AH12" i="4"/>
  <c r="H10" i="4"/>
  <c r="E11" i="4"/>
  <c r="E14" i="4"/>
  <c r="U12" i="4"/>
  <c r="F10" i="4"/>
  <c r="F13" i="4"/>
  <c r="M13" i="4"/>
  <c r="U13" i="4"/>
  <c r="AK13" i="4"/>
  <c r="L14" i="4"/>
  <c r="T14" i="4"/>
  <c r="AB14" i="4"/>
  <c r="AJ14" i="4"/>
  <c r="K12" i="4"/>
  <c r="K15" i="4"/>
  <c r="S12" i="4"/>
  <c r="AA12" i="4"/>
  <c r="AI12" i="4"/>
  <c r="G10" i="4"/>
  <c r="V13" i="4"/>
  <c r="AD13" i="4"/>
  <c r="AL13" i="4"/>
  <c r="L12" i="4"/>
  <c r="T12" i="4"/>
  <c r="AB12" i="4"/>
  <c r="AJ12" i="4"/>
  <c r="E10" i="4"/>
  <c r="G11" i="4"/>
  <c r="H11" i="4"/>
  <c r="Z12" i="4"/>
  <c r="M12" i="4"/>
  <c r="AC12" i="4"/>
  <c r="AK12" i="4"/>
  <c r="K2" i="15" l="1"/>
  <c r="K2" i="29"/>
  <c r="M3" i="15"/>
  <c r="AC13" i="4"/>
  <c r="AI14" i="4"/>
  <c r="Q14" i="4"/>
  <c r="K14" i="4"/>
  <c r="F4" i="15"/>
  <c r="M4" i="15"/>
  <c r="H15" i="4"/>
  <c r="X4" i="15"/>
  <c r="AL4" i="15"/>
  <c r="G4" i="15"/>
  <c r="S4" i="15"/>
  <c r="L4" i="15"/>
  <c r="R4" i="15"/>
  <c r="AG4" i="15"/>
  <c r="AE4" i="15"/>
  <c r="U4" i="15"/>
  <c r="AD4" i="15"/>
  <c r="AJ4" i="15"/>
  <c r="I4" i="15"/>
  <c r="J4" i="15"/>
  <c r="H4" i="15"/>
  <c r="W4" i="15"/>
  <c r="E4" i="15"/>
  <c r="V4" i="15"/>
  <c r="Y4" i="15"/>
  <c r="AB4" i="15"/>
  <c r="AH4" i="15"/>
  <c r="Q4" i="15"/>
  <c r="AF4" i="15"/>
  <c r="AI4" i="15"/>
  <c r="O4" i="15"/>
  <c r="AA4" i="15"/>
  <c r="D4" i="15"/>
  <c r="N4" i="15"/>
  <c r="AC4" i="15"/>
  <c r="AK4" i="15"/>
  <c r="T4" i="15"/>
  <c r="Z4" i="15"/>
  <c r="P4" i="15"/>
  <c r="K4" i="15"/>
  <c r="C4" i="15"/>
  <c r="AK14" i="4"/>
  <c r="M14" i="4"/>
  <c r="AC14" i="4"/>
  <c r="U14" i="4"/>
  <c r="K12" i="13"/>
  <c r="EJ5" i="10"/>
  <c r="EJ6" i="10"/>
  <c r="EJ7" i="10"/>
  <c r="EI7" i="10" s="1"/>
  <c r="M9" i="13"/>
  <c r="L10" i="13"/>
  <c r="L11" i="13" s="1"/>
  <c r="L28" i="13" s="1"/>
  <c r="L2" i="33" s="1"/>
  <c r="AC2" i="22"/>
  <c r="AI13" i="4"/>
  <c r="AG13" i="4"/>
  <c r="AF13" i="4"/>
  <c r="G13" i="4"/>
  <c r="T13" i="4"/>
  <c r="R13" i="4"/>
  <c r="AA13" i="4"/>
  <c r="Y13" i="4"/>
  <c r="X13" i="4"/>
  <c r="L13" i="4"/>
  <c r="J13" i="4"/>
  <c r="S13" i="4"/>
  <c r="Q13" i="4"/>
  <c r="P13" i="4"/>
  <c r="N13" i="4"/>
  <c r="AJ13" i="4"/>
  <c r="AH13" i="4"/>
  <c r="K13" i="4"/>
  <c r="I13" i="4"/>
  <c r="AN13" i="4"/>
  <c r="AB13" i="4"/>
  <c r="Z13" i="4"/>
  <c r="L2" i="15" l="1"/>
  <c r="L2" i="29"/>
  <c r="N3" i="15"/>
  <c r="L12" i="13"/>
  <c r="N9" i="13"/>
  <c r="M10" i="13"/>
  <c r="M11" i="13" s="1"/>
  <c r="M28" i="13" s="1"/>
  <c r="M2" i="33" s="1"/>
  <c r="AD2" i="22"/>
  <c r="M2" i="15" l="1"/>
  <c r="M2" i="29"/>
  <c r="O3" i="15"/>
  <c r="M12" i="13"/>
  <c r="O9" i="13"/>
  <c r="N10" i="13"/>
  <c r="N11" i="13" s="1"/>
  <c r="N28" i="13" s="1"/>
  <c r="N2" i="33" s="1"/>
  <c r="AE2" i="22"/>
  <c r="D14" i="6"/>
  <c r="E14" i="6" s="1"/>
  <c r="F14" i="6" s="1"/>
  <c r="G14" i="6" s="1"/>
  <c r="H14" i="6" s="1"/>
  <c r="I14" i="6" s="1"/>
  <c r="J14" i="6" s="1"/>
  <c r="K14" i="6" s="1"/>
  <c r="L14" i="6" s="1"/>
  <c r="M14" i="6" s="1"/>
  <c r="N14" i="6" s="1"/>
  <c r="O14" i="6" s="1"/>
  <c r="P14" i="6" s="1"/>
  <c r="Q14" i="6" s="1"/>
  <c r="R14" i="6" s="1"/>
  <c r="S14" i="6" s="1"/>
  <c r="T14" i="6" s="1"/>
  <c r="U14" i="6" s="1"/>
  <c r="V14" i="6" s="1"/>
  <c r="W14" i="6" s="1"/>
  <c r="X14" i="6" s="1"/>
  <c r="Y14" i="6" s="1"/>
  <c r="Z14" i="6" s="1"/>
  <c r="AA14" i="6" s="1"/>
  <c r="AB14" i="6" s="1"/>
  <c r="AC14" i="6" s="1"/>
  <c r="AD14" i="6" s="1"/>
  <c r="AE14" i="6" s="1"/>
  <c r="AF14" i="6" s="1"/>
  <c r="AG14" i="6" s="1"/>
  <c r="AH14" i="6" s="1"/>
  <c r="AI14" i="6" s="1"/>
  <c r="AJ14" i="6" s="1"/>
  <c r="AK14" i="6" s="1"/>
  <c r="AL14" i="6" s="1"/>
  <c r="AM14" i="6" s="1"/>
  <c r="AN14" i="6" s="1"/>
  <c r="AO14" i="6" s="1"/>
  <c r="AP14" i="6" s="1"/>
  <c r="AQ14" i="6" s="1"/>
  <c r="AR14" i="6" s="1"/>
  <c r="AS14" i="6" s="1"/>
  <c r="AT14" i="6" s="1"/>
  <c r="AU14" i="6" s="1"/>
  <c r="AV14" i="6" s="1"/>
  <c r="AW14" i="6" s="1"/>
  <c r="AX14" i="6" s="1"/>
  <c r="AY14" i="6" s="1"/>
  <c r="AZ14" i="6" s="1"/>
  <c r="BA14" i="6" s="1"/>
  <c r="BB14" i="6" s="1"/>
  <c r="BC14" i="6" s="1"/>
  <c r="BD14" i="6" s="1"/>
  <c r="BE14" i="6" s="1"/>
  <c r="BF14" i="6" s="1"/>
  <c r="BG14" i="6" s="1"/>
  <c r="BH14" i="6" s="1"/>
  <c r="BI14" i="6" s="1"/>
  <c r="BJ14" i="6" s="1"/>
  <c r="N2" i="15" l="1"/>
  <c r="N2" i="29"/>
  <c r="P3" i="15"/>
  <c r="AS3" i="2"/>
  <c r="AT3" i="2"/>
  <c r="AU3" i="2"/>
  <c r="AN3" i="2"/>
  <c r="AV3" i="2"/>
  <c r="C3" i="2"/>
  <c r="AO3" i="2"/>
  <c r="AW3" i="2"/>
  <c r="AP3" i="2"/>
  <c r="AX3" i="2"/>
  <c r="AQ3" i="2"/>
  <c r="AR3" i="2"/>
  <c r="N12" i="13"/>
  <c r="EC7" i="10"/>
  <c r="EC6" i="10"/>
  <c r="EB6" i="10" s="1"/>
  <c r="P9" i="13"/>
  <c r="O10" i="13"/>
  <c r="O11" i="13" s="1"/>
  <c r="AF2" i="22"/>
  <c r="BA3" i="2"/>
  <c r="D8" i="2"/>
  <c r="E8" i="2" s="1"/>
  <c r="F8" i="2" s="1"/>
  <c r="G8" i="2" s="1"/>
  <c r="H8" i="2" s="1"/>
  <c r="I8" i="2" s="1"/>
  <c r="J8" i="2" s="1"/>
  <c r="K8" i="2" s="1"/>
  <c r="L8" i="2" s="1"/>
  <c r="M8" i="2" s="1"/>
  <c r="N8" i="2" s="1"/>
  <c r="O8" i="2" s="1"/>
  <c r="P8" i="2" s="1"/>
  <c r="Q8" i="2" s="1"/>
  <c r="R8" i="2" s="1"/>
  <c r="S8" i="2" s="1"/>
  <c r="T8" i="2" s="1"/>
  <c r="U8" i="2" s="1"/>
  <c r="V8" i="2" s="1"/>
  <c r="W8" i="2" s="1"/>
  <c r="X8" i="2" s="1"/>
  <c r="Y8" i="2" s="1"/>
  <c r="Z8" i="2" s="1"/>
  <c r="AA8" i="2" s="1"/>
  <c r="AB8" i="2" s="1"/>
  <c r="AC8" i="2" s="1"/>
  <c r="AD8" i="2" s="1"/>
  <c r="AE8" i="2" s="1"/>
  <c r="AF8" i="2" s="1"/>
  <c r="AG8" i="2" s="1"/>
  <c r="AH8" i="2" s="1"/>
  <c r="AI8" i="2" s="1"/>
  <c r="AJ8" i="2" s="1"/>
  <c r="AK8" i="2" s="1"/>
  <c r="AL8" i="2" s="1"/>
  <c r="AM8" i="2" s="1"/>
  <c r="AN8" i="2" s="1"/>
  <c r="AO8" i="2" s="1"/>
  <c r="AP8" i="2" s="1"/>
  <c r="AQ8" i="2" s="1"/>
  <c r="AR8" i="2" s="1"/>
  <c r="AS8" i="2" s="1"/>
  <c r="AT8" i="2" s="1"/>
  <c r="AU8" i="2" s="1"/>
  <c r="AV8" i="2" s="1"/>
  <c r="AW8" i="2" s="1"/>
  <c r="AX8" i="2" s="1"/>
  <c r="AY8" i="2" s="1"/>
  <c r="AZ8" i="2" s="1"/>
  <c r="BA8" i="2" s="1"/>
  <c r="BB8" i="2" s="1"/>
  <c r="BC8" i="2" s="1"/>
  <c r="BD8" i="2" s="1"/>
  <c r="BE8" i="2" s="1"/>
  <c r="BF8" i="2" s="1"/>
  <c r="BG8" i="2" s="1"/>
  <c r="BH8" i="2" s="1"/>
  <c r="BI8" i="2" s="1"/>
  <c r="BJ8" i="2" s="1"/>
  <c r="AY3" i="2" l="1"/>
  <c r="BD3" i="2"/>
  <c r="AZ3" i="2"/>
  <c r="O12" i="13"/>
  <c r="O28" i="13"/>
  <c r="O2" i="33" s="1"/>
  <c r="Q3" i="15"/>
  <c r="BI3" i="2"/>
  <c r="BH3" i="2"/>
  <c r="BF3" i="2"/>
  <c r="BE3" i="2"/>
  <c r="BB3" i="2"/>
  <c r="BC3" i="2"/>
  <c r="BJ3" i="2"/>
  <c r="BG3" i="2"/>
  <c r="EE7" i="10"/>
  <c r="EB7" i="10"/>
  <c r="EE6" i="10"/>
  <c r="EC5" i="10"/>
  <c r="Q9" i="13"/>
  <c r="P10" i="13"/>
  <c r="P11" i="13" s="1"/>
  <c r="P28" i="13" s="1"/>
  <c r="P2" i="33" s="1"/>
  <c r="AG2" i="22"/>
  <c r="O2" i="15" l="1"/>
  <c r="O2" i="29"/>
  <c r="P2" i="15"/>
  <c r="P2" i="29"/>
  <c r="R3" i="15"/>
  <c r="P12" i="13"/>
  <c r="ED6" i="10"/>
  <c r="ED7" i="10"/>
  <c r="EB5" i="10"/>
  <c r="EH6" i="10"/>
  <c r="EE5" i="10"/>
  <c r="R9" i="13"/>
  <c r="Q10" i="13"/>
  <c r="Q11" i="13" s="1"/>
  <c r="Q28" i="13" s="1"/>
  <c r="Q2" i="33" s="1"/>
  <c r="AH2" i="22"/>
  <c r="D8" i="6"/>
  <c r="D2" i="6"/>
  <c r="E2" i="6" s="1"/>
  <c r="F2" i="6" s="1"/>
  <c r="G2" i="6" s="1"/>
  <c r="H2" i="6" s="1"/>
  <c r="I2" i="6" s="1"/>
  <c r="J2" i="6" s="1"/>
  <c r="K2" i="6" s="1"/>
  <c r="L2" i="6" s="1"/>
  <c r="M2" i="6" s="1"/>
  <c r="N2" i="6" s="1"/>
  <c r="O2" i="6" s="1"/>
  <c r="P2" i="6" s="1"/>
  <c r="Q2" i="6" s="1"/>
  <c r="R2" i="6" s="1"/>
  <c r="S2" i="6" s="1"/>
  <c r="T2" i="6" s="1"/>
  <c r="U2" i="6" s="1"/>
  <c r="V2" i="6" s="1"/>
  <c r="W2" i="6" s="1"/>
  <c r="X2" i="6" s="1"/>
  <c r="Y2" i="6" s="1"/>
  <c r="Z2" i="6" s="1"/>
  <c r="AA2" i="6" s="1"/>
  <c r="AB2" i="6" s="1"/>
  <c r="AC2" i="6" s="1"/>
  <c r="AD2" i="6" s="1"/>
  <c r="AE2" i="6" s="1"/>
  <c r="AF2" i="6" s="1"/>
  <c r="AG2" i="6" s="1"/>
  <c r="AH2" i="6" s="1"/>
  <c r="AI2" i="6" s="1"/>
  <c r="AJ2" i="6" s="1"/>
  <c r="AK2" i="6" s="1"/>
  <c r="AL2" i="6" s="1"/>
  <c r="AM2" i="6" s="1"/>
  <c r="AN2" i="6" s="1"/>
  <c r="AO2" i="6" s="1"/>
  <c r="AP2" i="6" s="1"/>
  <c r="AQ2" i="6" s="1"/>
  <c r="AR2" i="6" s="1"/>
  <c r="AS2" i="6" s="1"/>
  <c r="AT2" i="6" s="1"/>
  <c r="AU2" i="6" s="1"/>
  <c r="AV2" i="6" s="1"/>
  <c r="AW2" i="6" s="1"/>
  <c r="AX2" i="6" s="1"/>
  <c r="AY2" i="6" s="1"/>
  <c r="AZ2" i="6" s="1"/>
  <c r="BA2" i="6" s="1"/>
  <c r="BB2" i="6" s="1"/>
  <c r="BC2" i="6" s="1"/>
  <c r="BD2" i="6" s="1"/>
  <c r="BE2" i="6" s="1"/>
  <c r="BF2" i="6" s="1"/>
  <c r="BG2" i="6" s="1"/>
  <c r="BH2" i="6" s="1"/>
  <c r="BI2" i="6" s="1"/>
  <c r="BJ2" i="6" s="1"/>
  <c r="F3" i="4"/>
  <c r="Q2" i="15" l="1"/>
  <c r="Q2" i="29"/>
  <c r="E8" i="6"/>
  <c r="G3" i="4"/>
  <c r="F2" i="4"/>
  <c r="S3" i="15"/>
  <c r="Q12" i="13"/>
  <c r="EF7" i="10"/>
  <c r="ED5" i="10"/>
  <c r="EF6" i="10"/>
  <c r="EH5" i="10"/>
  <c r="EI5" i="10" s="1"/>
  <c r="EI6" i="10"/>
  <c r="S9" i="13"/>
  <c r="R10" i="13"/>
  <c r="R11" i="13" s="1"/>
  <c r="R28" i="13" s="1"/>
  <c r="R2" i="33" s="1"/>
  <c r="AI2" i="22"/>
  <c r="R2" i="15" l="1"/>
  <c r="R2" i="29"/>
  <c r="F28" i="4"/>
  <c r="F29" i="4"/>
  <c r="F8" i="6"/>
  <c r="H3" i="4"/>
  <c r="G2" i="4"/>
  <c r="T3" i="15"/>
  <c r="R12" i="13"/>
  <c r="ED2" i="10"/>
  <c r="ED1" i="10"/>
  <c r="EG6" i="10"/>
  <c r="EF5" i="10"/>
  <c r="EG7" i="10"/>
  <c r="T9" i="13"/>
  <c r="S10" i="13"/>
  <c r="S11" i="13" s="1"/>
  <c r="S28" i="13" s="1"/>
  <c r="S2" i="33" s="1"/>
  <c r="AJ2" i="22"/>
  <c r="D2" i="2"/>
  <c r="G28" i="4" l="1"/>
  <c r="G29" i="4"/>
  <c r="F17" i="4"/>
  <c r="D11" i="31"/>
  <c r="F16" i="4"/>
  <c r="D10" i="31"/>
  <c r="S2" i="15"/>
  <c r="S2" i="29"/>
  <c r="G8" i="6"/>
  <c r="U3" i="15"/>
  <c r="I3" i="4"/>
  <c r="H2" i="4"/>
  <c r="S12" i="13"/>
  <c r="EG5" i="10"/>
  <c r="U9" i="13"/>
  <c r="T10" i="13"/>
  <c r="T11" i="13" s="1"/>
  <c r="T28" i="13" s="1"/>
  <c r="T2" i="33" s="1"/>
  <c r="AK2" i="22"/>
  <c r="E2" i="2"/>
  <c r="D9" i="31" l="1"/>
  <c r="H28" i="4"/>
  <c r="H29" i="4"/>
  <c r="G17" i="4"/>
  <c r="E11" i="31"/>
  <c r="T2" i="15"/>
  <c r="T2" i="29"/>
  <c r="G16" i="4"/>
  <c r="E10" i="31"/>
  <c r="H8" i="6"/>
  <c r="J3" i="4"/>
  <c r="I2" i="4"/>
  <c r="V3" i="15"/>
  <c r="T12" i="13"/>
  <c r="V9" i="13"/>
  <c r="U10" i="13"/>
  <c r="U11" i="13" s="1"/>
  <c r="U28" i="13" s="1"/>
  <c r="U2" i="33" s="1"/>
  <c r="AL2" i="22"/>
  <c r="F2" i="2"/>
  <c r="U2" i="15" l="1"/>
  <c r="U2" i="29"/>
  <c r="I28" i="4"/>
  <c r="I29" i="4"/>
  <c r="H17" i="4"/>
  <c r="F11" i="31"/>
  <c r="E9" i="31"/>
  <c r="F10" i="31"/>
  <c r="H16" i="4"/>
  <c r="I8" i="6"/>
  <c r="W3" i="15"/>
  <c r="K3" i="4"/>
  <c r="J2" i="4"/>
  <c r="U12" i="13"/>
  <c r="W9" i="13"/>
  <c r="V10" i="13"/>
  <c r="V11" i="13" s="1"/>
  <c r="V28" i="13" s="1"/>
  <c r="V2" i="33" s="1"/>
  <c r="AM2" i="22"/>
  <c r="G2" i="2"/>
  <c r="J29" i="4" l="1"/>
  <c r="J28" i="4"/>
  <c r="G11" i="31"/>
  <c r="I17" i="4"/>
  <c r="I16" i="4"/>
  <c r="G10" i="31"/>
  <c r="G9" i="31" s="1"/>
  <c r="V2" i="15"/>
  <c r="V2" i="29"/>
  <c r="F9" i="31"/>
  <c r="J8" i="6"/>
  <c r="L3" i="4"/>
  <c r="K2" i="4"/>
  <c r="X3" i="15"/>
  <c r="V12" i="13"/>
  <c r="X9" i="13"/>
  <c r="W10" i="13"/>
  <c r="W11" i="13" s="1"/>
  <c r="W28" i="13" s="1"/>
  <c r="W2" i="33" s="1"/>
  <c r="AN2" i="22"/>
  <c r="H2" i="2"/>
  <c r="K29" i="4" l="1"/>
  <c r="K28" i="4"/>
  <c r="W2" i="15"/>
  <c r="W2" i="29"/>
  <c r="H10" i="31"/>
  <c r="J16" i="4"/>
  <c r="J17" i="4"/>
  <c r="H11" i="31"/>
  <c r="K30" i="4"/>
  <c r="I12" i="31" s="1"/>
  <c r="K8" i="6"/>
  <c r="Y3" i="15"/>
  <c r="M3" i="4"/>
  <c r="L2" i="4"/>
  <c r="W12" i="13"/>
  <c r="Y9" i="13"/>
  <c r="X10" i="13"/>
  <c r="X11" i="13" s="1"/>
  <c r="X28" i="13" s="1"/>
  <c r="X2" i="33" s="1"/>
  <c r="AO2" i="22"/>
  <c r="I2" i="2"/>
  <c r="H9" i="31" l="1"/>
  <c r="K16" i="4"/>
  <c r="I10" i="31"/>
  <c r="X2" i="15"/>
  <c r="X2" i="29"/>
  <c r="K17" i="4"/>
  <c r="I11" i="31"/>
  <c r="I9" i="31" s="1"/>
  <c r="L28" i="4"/>
  <c r="J10" i="31" s="1"/>
  <c r="L29" i="4"/>
  <c r="L30" i="4"/>
  <c r="J12" i="31" s="1"/>
  <c r="L8" i="6"/>
  <c r="N3" i="4"/>
  <c r="M2" i="4"/>
  <c r="Z3" i="15"/>
  <c r="X12" i="13"/>
  <c r="EE1" i="10"/>
  <c r="Z9" i="13"/>
  <c r="Y10" i="13"/>
  <c r="Y11" i="13" s="1"/>
  <c r="Y28" i="13" s="1"/>
  <c r="Y2" i="33" s="1"/>
  <c r="AP2" i="22"/>
  <c r="J2" i="2"/>
  <c r="Y2" i="15" l="1"/>
  <c r="Y2" i="29"/>
  <c r="L17" i="4"/>
  <c r="J11" i="31"/>
  <c r="L16" i="4"/>
  <c r="M29" i="4"/>
  <c r="M28" i="4"/>
  <c r="M30" i="4"/>
  <c r="K12" i="31" s="1"/>
  <c r="M8" i="6"/>
  <c r="AA3" i="15"/>
  <c r="O3" i="4"/>
  <c r="N2" i="4"/>
  <c r="Y12" i="13"/>
  <c r="EE2" i="10"/>
  <c r="AA9" i="13"/>
  <c r="Z10" i="13"/>
  <c r="Z11" i="13" s="1"/>
  <c r="Z28" i="13" s="1"/>
  <c r="Z2" i="33" s="1"/>
  <c r="AQ2" i="22"/>
  <c r="K2" i="2"/>
  <c r="Z2" i="15" l="1"/>
  <c r="Z2" i="29"/>
  <c r="M17" i="4"/>
  <c r="K11" i="31"/>
  <c r="J9" i="31"/>
  <c r="M16" i="4"/>
  <c r="K10" i="31"/>
  <c r="N29" i="4"/>
  <c r="N28" i="4"/>
  <c r="N30" i="4"/>
  <c r="L12" i="31" s="1"/>
  <c r="N8" i="6"/>
  <c r="P3" i="4"/>
  <c r="O2" i="4"/>
  <c r="AB3" i="15"/>
  <c r="Z12" i="13"/>
  <c r="AB9" i="13"/>
  <c r="AA10" i="13"/>
  <c r="AA11" i="13" s="1"/>
  <c r="AR2" i="22"/>
  <c r="L2" i="2"/>
  <c r="N17" i="4" l="1"/>
  <c r="L11" i="31"/>
  <c r="N16" i="4"/>
  <c r="L10" i="31"/>
  <c r="L9" i="31" s="1"/>
  <c r="K9" i="31"/>
  <c r="AA12" i="13"/>
  <c r="AA28" i="13"/>
  <c r="AA2" i="33" s="1"/>
  <c r="O29" i="4"/>
  <c r="O30" i="4"/>
  <c r="M12" i="31" s="1"/>
  <c r="O28" i="4"/>
  <c r="O8" i="6"/>
  <c r="AC3" i="15"/>
  <c r="Q3" i="4"/>
  <c r="P2" i="4"/>
  <c r="AC9" i="13"/>
  <c r="AB10" i="13"/>
  <c r="AB11" i="13" s="1"/>
  <c r="AS2" i="22"/>
  <c r="M2" i="2"/>
  <c r="AA2" i="15" l="1"/>
  <c r="AA2" i="29"/>
  <c r="O17" i="4"/>
  <c r="M11" i="31"/>
  <c r="O16" i="4"/>
  <c r="M10" i="31"/>
  <c r="AB12" i="13"/>
  <c r="AB28" i="13"/>
  <c r="AB2" i="33" s="1"/>
  <c r="P30" i="4"/>
  <c r="N12" i="31" s="1"/>
  <c r="P29" i="4"/>
  <c r="P28" i="4"/>
  <c r="P8" i="6"/>
  <c r="R3" i="4"/>
  <c r="Q2" i="4"/>
  <c r="AD3" i="15"/>
  <c r="AD9" i="13"/>
  <c r="AC10" i="13"/>
  <c r="AC11" i="13" s="1"/>
  <c r="AT2" i="22"/>
  <c r="N2" i="2"/>
  <c r="AB2" i="15" l="1"/>
  <c r="AB2" i="29"/>
  <c r="P17" i="4"/>
  <c r="N11" i="31"/>
  <c r="P16" i="4"/>
  <c r="N10" i="31"/>
  <c r="M9" i="31"/>
  <c r="AC12" i="13"/>
  <c r="AC28" i="13"/>
  <c r="AC2" i="33" s="1"/>
  <c r="Q30" i="4"/>
  <c r="O12" i="31" s="1"/>
  <c r="BM12" i="31" s="1"/>
  <c r="Q28" i="4"/>
  <c r="O10" i="31" s="1"/>
  <c r="BM10" i="31" s="1"/>
  <c r="Q29" i="4"/>
  <c r="Q8" i="6"/>
  <c r="AE3" i="15"/>
  <c r="S3" i="4"/>
  <c r="R2" i="4"/>
  <c r="EF1" i="10"/>
  <c r="AE9" i="13"/>
  <c r="AD10" i="13"/>
  <c r="AD11" i="13" s="1"/>
  <c r="AU2" i="22"/>
  <c r="O2" i="2"/>
  <c r="N9" i="31" l="1"/>
  <c r="AC2" i="15"/>
  <c r="AC2" i="29"/>
  <c r="Q17" i="4"/>
  <c r="O11" i="31"/>
  <c r="BM11" i="31" s="1"/>
  <c r="BM9" i="31" s="1"/>
  <c r="I5" i="27" s="1"/>
  <c r="I6" i="27" s="1"/>
  <c r="Q16" i="4"/>
  <c r="AD12" i="13"/>
  <c r="AD28" i="13"/>
  <c r="AD2" i="33" s="1"/>
  <c r="R30" i="4"/>
  <c r="P12" i="31" s="1"/>
  <c r="R28" i="4"/>
  <c r="P10" i="31" s="1"/>
  <c r="R29" i="4"/>
  <c r="P11" i="31" s="1"/>
  <c r="R8" i="6"/>
  <c r="S2" i="4"/>
  <c r="T3" i="4"/>
  <c r="AF3" i="15"/>
  <c r="EG1" i="10"/>
  <c r="EF2" i="10"/>
  <c r="AF9" i="13"/>
  <c r="AE10" i="13"/>
  <c r="AE11" i="13" s="1"/>
  <c r="AV2" i="22"/>
  <c r="P2" i="2"/>
  <c r="C1" i="33" l="1"/>
  <c r="D1" i="33"/>
  <c r="E1" i="33"/>
  <c r="F1" i="33"/>
  <c r="G1" i="33"/>
  <c r="H1" i="33"/>
  <c r="I1" i="33"/>
  <c r="J1" i="33"/>
  <c r="K1" i="33"/>
  <c r="L1" i="33"/>
  <c r="M1" i="33"/>
  <c r="N1" i="33"/>
  <c r="O1" i="33"/>
  <c r="P1" i="33"/>
  <c r="Q1" i="33"/>
  <c r="R1" i="33"/>
  <c r="S1" i="33"/>
  <c r="T1" i="33"/>
  <c r="U1" i="33"/>
  <c r="V1" i="33"/>
  <c r="W1" i="33"/>
  <c r="X1" i="33"/>
  <c r="Y1" i="33"/>
  <c r="Z1" i="33"/>
  <c r="AA1" i="33"/>
  <c r="AB1" i="33"/>
  <c r="AC1" i="33"/>
  <c r="AD1" i="33"/>
  <c r="AE1" i="33"/>
  <c r="AD2" i="15"/>
  <c r="AD2" i="29"/>
  <c r="C1" i="29"/>
  <c r="D1" i="29"/>
  <c r="E1" i="29"/>
  <c r="F1" i="29"/>
  <c r="G1" i="29"/>
  <c r="H1" i="29"/>
  <c r="I1" i="29"/>
  <c r="J1" i="29"/>
  <c r="K1" i="29"/>
  <c r="L1" i="29"/>
  <c r="M1" i="29"/>
  <c r="N1" i="29"/>
  <c r="O1" i="29"/>
  <c r="P1" i="29"/>
  <c r="Q1" i="29"/>
  <c r="R1" i="29"/>
  <c r="S1" i="29"/>
  <c r="T1" i="29"/>
  <c r="U1" i="29"/>
  <c r="V1" i="29"/>
  <c r="W1" i="29"/>
  <c r="X1" i="29"/>
  <c r="Y1" i="29"/>
  <c r="Z1" i="29"/>
  <c r="AA1" i="29"/>
  <c r="AB1" i="29"/>
  <c r="AC1" i="29"/>
  <c r="AD1" i="29"/>
  <c r="AE1" i="29"/>
  <c r="C1" i="31"/>
  <c r="D1" i="31"/>
  <c r="E1" i="31"/>
  <c r="F1" i="31"/>
  <c r="G1" i="31"/>
  <c r="H1" i="31"/>
  <c r="I1" i="31"/>
  <c r="J1" i="31"/>
  <c r="K1" i="31"/>
  <c r="L1" i="31"/>
  <c r="M1" i="31"/>
  <c r="N1" i="31"/>
  <c r="O1" i="31"/>
  <c r="P1" i="31"/>
  <c r="Q1" i="31"/>
  <c r="R1" i="31"/>
  <c r="S1" i="31"/>
  <c r="T1" i="31"/>
  <c r="U1" i="31"/>
  <c r="V1" i="31"/>
  <c r="W1" i="31"/>
  <c r="X1" i="31"/>
  <c r="Y1" i="31"/>
  <c r="Z1" i="31"/>
  <c r="AA1" i="31"/>
  <c r="AB1" i="31"/>
  <c r="AC1" i="31"/>
  <c r="AD1" i="31"/>
  <c r="AE1" i="31"/>
  <c r="O9" i="31"/>
  <c r="P9" i="31"/>
  <c r="AE12" i="13"/>
  <c r="AE28" i="13"/>
  <c r="AE2" i="33" s="1"/>
  <c r="AD1" i="25"/>
  <c r="AE1" i="26"/>
  <c r="S28" i="4"/>
  <c r="Q10" i="31" s="1"/>
  <c r="S30" i="4"/>
  <c r="Q12" i="31" s="1"/>
  <c r="S29" i="4"/>
  <c r="Q11" i="31" s="1"/>
  <c r="S8" i="6"/>
  <c r="AG3" i="15"/>
  <c r="U3" i="4"/>
  <c r="T2" i="4"/>
  <c r="D1" i="26"/>
  <c r="C1" i="25"/>
  <c r="E1" i="25"/>
  <c r="F1" i="26"/>
  <c r="F1" i="25"/>
  <c r="G1" i="26"/>
  <c r="D1" i="25"/>
  <c r="E1" i="26"/>
  <c r="G1" i="25"/>
  <c r="H1" i="26"/>
  <c r="I1" i="26"/>
  <c r="H1" i="25"/>
  <c r="I1" i="25"/>
  <c r="J1" i="26"/>
  <c r="J1" i="25"/>
  <c r="K1" i="26"/>
  <c r="L1" i="26"/>
  <c r="K1" i="25"/>
  <c r="M1" i="26"/>
  <c r="L1" i="25"/>
  <c r="M1" i="25"/>
  <c r="N1" i="26"/>
  <c r="N1" i="25"/>
  <c r="O1" i="26"/>
  <c r="P1" i="26"/>
  <c r="O1" i="25"/>
  <c r="P1" i="25"/>
  <c r="Q1" i="26"/>
  <c r="Q1" i="25"/>
  <c r="R1" i="26"/>
  <c r="S1" i="26"/>
  <c r="R1" i="25"/>
  <c r="S1" i="25"/>
  <c r="T1" i="26"/>
  <c r="T1" i="25"/>
  <c r="U1" i="26"/>
  <c r="V1" i="26"/>
  <c r="U1" i="25"/>
  <c r="W1" i="26"/>
  <c r="V1" i="25"/>
  <c r="W1" i="25"/>
  <c r="X1" i="26"/>
  <c r="Y1" i="26"/>
  <c r="X1" i="25"/>
  <c r="Z1" i="26"/>
  <c r="Y1" i="25"/>
  <c r="Z1" i="25"/>
  <c r="AA1" i="26"/>
  <c r="AB1" i="26"/>
  <c r="AA1" i="25"/>
  <c r="AB1" i="25"/>
  <c r="AC1" i="26"/>
  <c r="AD1" i="26"/>
  <c r="AC1" i="25"/>
  <c r="AE1" i="25"/>
  <c r="AF1" i="26"/>
  <c r="D1" i="23"/>
  <c r="F1" i="23"/>
  <c r="C1" i="23"/>
  <c r="E1" i="23"/>
  <c r="H1" i="4"/>
  <c r="G1" i="23"/>
  <c r="G2" i="23" s="1"/>
  <c r="H1" i="23"/>
  <c r="I1" i="23"/>
  <c r="I2" i="23" s="1"/>
  <c r="J1" i="23"/>
  <c r="J2" i="23" s="1"/>
  <c r="K1" i="23"/>
  <c r="K2" i="23" s="1"/>
  <c r="N1" i="4"/>
  <c r="L1" i="23"/>
  <c r="L2" i="23" s="1"/>
  <c r="M1" i="23"/>
  <c r="M2" i="23" s="1"/>
  <c r="N1" i="23"/>
  <c r="N2" i="23" s="1"/>
  <c r="O1" i="23"/>
  <c r="O2" i="23" s="1"/>
  <c r="P1" i="23"/>
  <c r="P2" i="23" s="1"/>
  <c r="Q1" i="23"/>
  <c r="Q2" i="23" s="1"/>
  <c r="R1" i="23"/>
  <c r="R2" i="23" s="1"/>
  <c r="S1" i="23"/>
  <c r="S2" i="23" s="1"/>
  <c r="T1" i="23"/>
  <c r="T2" i="23" s="1"/>
  <c r="U1" i="23"/>
  <c r="U2" i="23" s="1"/>
  <c r="V1" i="23"/>
  <c r="V2" i="23" s="1"/>
  <c r="W1" i="23"/>
  <c r="X1" i="23"/>
  <c r="X2" i="23" s="1"/>
  <c r="Y1" i="23"/>
  <c r="Z1" i="23"/>
  <c r="Z2" i="23" s="1"/>
  <c r="AA1" i="23"/>
  <c r="AB1" i="23"/>
  <c r="AC1" i="23"/>
  <c r="O1" i="2"/>
  <c r="AD1" i="23"/>
  <c r="AE1" i="20"/>
  <c r="AE1" i="23"/>
  <c r="EA1" i="10"/>
  <c r="EB1" i="10"/>
  <c r="F2" i="10"/>
  <c r="K2" i="10"/>
  <c r="M2" i="10"/>
  <c r="I2" i="10"/>
  <c r="L2" i="10"/>
  <c r="H2" i="10"/>
  <c r="J2" i="10"/>
  <c r="EA2" i="10"/>
  <c r="G2" i="10"/>
  <c r="N2" i="10"/>
  <c r="EB2" i="10"/>
  <c r="O2" i="10"/>
  <c r="P2" i="10"/>
  <c r="Q2" i="10"/>
  <c r="R2" i="10"/>
  <c r="S2" i="10"/>
  <c r="EC1" i="10"/>
  <c r="T2" i="10"/>
  <c r="EC2" i="10"/>
  <c r="V2" i="10"/>
  <c r="U2" i="10"/>
  <c r="W2" i="10"/>
  <c r="X2" i="10"/>
  <c r="Y2" i="10"/>
  <c r="Z2" i="10"/>
  <c r="AB2" i="10"/>
  <c r="AA2" i="10"/>
  <c r="AD2" i="10"/>
  <c r="AC2" i="10"/>
  <c r="AE2" i="10"/>
  <c r="AF2" i="10"/>
  <c r="AG2" i="10"/>
  <c r="EG2" i="10"/>
  <c r="AG9" i="13"/>
  <c r="R1" i="4"/>
  <c r="P1" i="20"/>
  <c r="C1" i="2"/>
  <c r="N1" i="22"/>
  <c r="J1" i="20"/>
  <c r="D1" i="22"/>
  <c r="H1" i="22"/>
  <c r="K1" i="20"/>
  <c r="D1" i="11"/>
  <c r="C1" i="11"/>
  <c r="K1" i="6"/>
  <c r="Q1" i="15"/>
  <c r="K1" i="4"/>
  <c r="H1" i="6"/>
  <c r="J1" i="6"/>
  <c r="R1" i="10"/>
  <c r="R1" i="15"/>
  <c r="N1" i="11"/>
  <c r="R1" i="22"/>
  <c r="I1" i="4"/>
  <c r="O1" i="4"/>
  <c r="G1" i="22"/>
  <c r="L1" i="22"/>
  <c r="O1" i="22"/>
  <c r="H1" i="20"/>
  <c r="K1" i="22"/>
  <c r="E1" i="15"/>
  <c r="D1" i="15"/>
  <c r="K1" i="11"/>
  <c r="I1" i="10"/>
  <c r="I1" i="15"/>
  <c r="J1" i="4"/>
  <c r="BU1" i="10"/>
  <c r="O1" i="11"/>
  <c r="V1" i="10"/>
  <c r="N1" i="15"/>
  <c r="F1" i="20"/>
  <c r="G1" i="20"/>
  <c r="L1" i="20"/>
  <c r="O1" i="20"/>
  <c r="M1" i="22"/>
  <c r="G1" i="10"/>
  <c r="E1" i="11"/>
  <c r="G1" i="15"/>
  <c r="M1" i="4"/>
  <c r="F1" i="11"/>
  <c r="I1" i="6"/>
  <c r="H1" i="15"/>
  <c r="O1" i="10"/>
  <c r="O1" i="6"/>
  <c r="M1" i="15"/>
  <c r="N1" i="6"/>
  <c r="Q1" i="22"/>
  <c r="Q1" i="6"/>
  <c r="I1" i="20"/>
  <c r="T1" i="22"/>
  <c r="P1" i="11"/>
  <c r="M1" i="20"/>
  <c r="P1" i="15"/>
  <c r="E1" i="4"/>
  <c r="BQ1" i="10"/>
  <c r="J1" i="10"/>
  <c r="K1" i="15"/>
  <c r="F1" i="6"/>
  <c r="I1" i="11"/>
  <c r="H1" i="11"/>
  <c r="L1" i="15"/>
  <c r="Q1" i="4"/>
  <c r="P1" i="10"/>
  <c r="P1" i="4"/>
  <c r="C1" i="15"/>
  <c r="T1" i="15"/>
  <c r="I1" i="22"/>
  <c r="T1" i="20"/>
  <c r="S1" i="22"/>
  <c r="E1" i="22"/>
  <c r="P1" i="6"/>
  <c r="G1" i="4"/>
  <c r="D1" i="6"/>
  <c r="G1" i="11"/>
  <c r="T1" i="10"/>
  <c r="W1" i="10"/>
  <c r="M1" i="10"/>
  <c r="L1" i="11"/>
  <c r="U1" i="10"/>
  <c r="M1" i="11"/>
  <c r="C1" i="6"/>
  <c r="J1" i="15"/>
  <c r="F1" i="22"/>
  <c r="R1" i="20"/>
  <c r="S1" i="20"/>
  <c r="E1" i="20"/>
  <c r="F1" i="4"/>
  <c r="E1" i="6"/>
  <c r="BS1" i="10"/>
  <c r="G1" i="6"/>
  <c r="S1" i="4"/>
  <c r="F1" i="15"/>
  <c r="T1" i="11"/>
  <c r="J1" i="11"/>
  <c r="L1" i="6"/>
  <c r="R1" i="11"/>
  <c r="M1" i="6"/>
  <c r="BV1" i="10"/>
  <c r="C1" i="22"/>
  <c r="BT1" i="10"/>
  <c r="N1" i="20"/>
  <c r="J1" i="22"/>
  <c r="D1" i="20"/>
  <c r="C1" i="20"/>
  <c r="Q1" i="20"/>
  <c r="S1" i="10"/>
  <c r="BR1" i="10"/>
  <c r="H1" i="10"/>
  <c r="N1" i="10"/>
  <c r="Q1" i="11"/>
  <c r="L1" i="10"/>
  <c r="K1" i="10"/>
  <c r="L1" i="4"/>
  <c r="O1" i="15"/>
  <c r="T1" i="4"/>
  <c r="Q1" i="10"/>
  <c r="AF10" i="13"/>
  <c r="AF11" i="13" s="1"/>
  <c r="F1" i="10"/>
  <c r="R1" i="6"/>
  <c r="V1" i="20"/>
  <c r="W1" i="22"/>
  <c r="U1" i="4"/>
  <c r="AF1" i="10"/>
  <c r="Y1" i="6"/>
  <c r="Z1" i="10"/>
  <c r="AD1" i="15"/>
  <c r="AB1" i="6"/>
  <c r="U1" i="15"/>
  <c r="U1" i="6"/>
  <c r="AC1" i="11"/>
  <c r="AE1" i="10"/>
  <c r="W1" i="11"/>
  <c r="AE1" i="6"/>
  <c r="X1" i="15"/>
  <c r="S1" i="15"/>
  <c r="V1" i="11"/>
  <c r="AC1" i="6"/>
  <c r="AB1" i="15"/>
  <c r="AE1" i="15"/>
  <c r="W1" i="6"/>
  <c r="AA1" i="20"/>
  <c r="X1" i="10"/>
  <c r="S1" i="11"/>
  <c r="AB1" i="11"/>
  <c r="AH1" i="10"/>
  <c r="AA1" i="15"/>
  <c r="U1" i="11"/>
  <c r="T1" i="6"/>
  <c r="AB1" i="10"/>
  <c r="AD1" i="10"/>
  <c r="AE1" i="11"/>
  <c r="AC1" i="10"/>
  <c r="AG1" i="10"/>
  <c r="U1" i="20"/>
  <c r="U1" i="22"/>
  <c r="X1" i="6"/>
  <c r="V1" i="6"/>
  <c r="Y1" i="15"/>
  <c r="AA1" i="11"/>
  <c r="Z1" i="11"/>
  <c r="AD1" i="6"/>
  <c r="S1" i="6"/>
  <c r="Z1" i="15"/>
  <c r="AD1" i="11"/>
  <c r="Y1" i="10"/>
  <c r="AA1" i="10"/>
  <c r="V1" i="15"/>
  <c r="AC1" i="15"/>
  <c r="Y1" i="11"/>
  <c r="AA1" i="6"/>
  <c r="Z1" i="6"/>
  <c r="W1" i="15"/>
  <c r="BW1" i="10"/>
  <c r="X1" i="11"/>
  <c r="X1" i="22"/>
  <c r="BX1" i="10"/>
  <c r="Y1" i="22"/>
  <c r="BY1" i="10"/>
  <c r="Z1" i="22"/>
  <c r="BZ1" i="10"/>
  <c r="AA1" i="22"/>
  <c r="CA1" i="10"/>
  <c r="AB1" i="22"/>
  <c r="CB1" i="10"/>
  <c r="AC1" i="22"/>
  <c r="CC1" i="10"/>
  <c r="AD1" i="22"/>
  <c r="CD1" i="10"/>
  <c r="CE1" i="10"/>
  <c r="AE1" i="22"/>
  <c r="CF1" i="10"/>
  <c r="CG1" i="10"/>
  <c r="P1" i="22"/>
  <c r="CH1" i="10"/>
  <c r="CI1" i="10"/>
  <c r="CJ1" i="10"/>
  <c r="D1" i="2"/>
  <c r="E1" i="2"/>
  <c r="CK1" i="10"/>
  <c r="CL1" i="10"/>
  <c r="F1" i="2"/>
  <c r="V1" i="22"/>
  <c r="G1" i="2"/>
  <c r="CM1" i="10"/>
  <c r="W1" i="20"/>
  <c r="H1" i="2"/>
  <c r="CN1" i="10"/>
  <c r="X1" i="20"/>
  <c r="CO1" i="10"/>
  <c r="I1" i="2"/>
  <c r="CP1" i="10"/>
  <c r="Y1" i="20"/>
  <c r="J1" i="2"/>
  <c r="Z1" i="20"/>
  <c r="K1" i="2"/>
  <c r="CQ1" i="10"/>
  <c r="L1" i="2"/>
  <c r="CR1" i="10"/>
  <c r="AB1" i="20"/>
  <c r="M1" i="2"/>
  <c r="AC1" i="20"/>
  <c r="N1" i="2"/>
  <c r="AD1" i="20"/>
  <c r="AW2" i="22"/>
  <c r="Q2" i="2"/>
  <c r="P1" i="2"/>
  <c r="Y2" i="23" l="1"/>
  <c r="W2" i="23"/>
  <c r="AF1" i="29"/>
  <c r="AC2" i="23"/>
  <c r="F22" i="10"/>
  <c r="F21" i="10"/>
  <c r="AF1" i="33"/>
  <c r="AF1" i="31"/>
  <c r="AE2" i="15"/>
  <c r="AE2" i="29"/>
  <c r="Q9" i="31"/>
  <c r="CS1" i="10"/>
  <c r="AF12" i="13"/>
  <c r="AH2" i="10" s="1"/>
  <c r="AF28" i="13"/>
  <c r="AF2" i="33" s="1"/>
  <c r="T28" i="4"/>
  <c r="R10" i="31" s="1"/>
  <c r="T30" i="4"/>
  <c r="R12" i="31" s="1"/>
  <c r="T29" i="4"/>
  <c r="R11" i="31" s="1"/>
  <c r="C2" i="23"/>
  <c r="T8" i="6"/>
  <c r="V3" i="4"/>
  <c r="U2" i="4"/>
  <c r="E2" i="23"/>
  <c r="AH3" i="15"/>
  <c r="AF1" i="25"/>
  <c r="AG1" i="26"/>
  <c r="F2" i="23"/>
  <c r="H2" i="23"/>
  <c r="AD2" i="23"/>
  <c r="AA2" i="23"/>
  <c r="AB2" i="23"/>
  <c r="D2" i="23"/>
  <c r="AF1" i="6"/>
  <c r="AF1" i="23"/>
  <c r="AE2" i="23" s="1"/>
  <c r="AF3" i="10"/>
  <c r="W3" i="10"/>
  <c r="G3" i="10"/>
  <c r="Q3" i="10"/>
  <c r="X3" i="10"/>
  <c r="AC3" i="10"/>
  <c r="S3" i="10"/>
  <c r="T3" i="10"/>
  <c r="O3" i="10"/>
  <c r="AA3" i="10"/>
  <c r="Y3" i="10"/>
  <c r="Z3" i="10"/>
  <c r="K3" i="10"/>
  <c r="R3" i="10"/>
  <c r="AE3" i="10"/>
  <c r="L3" i="10"/>
  <c r="U3" i="10"/>
  <c r="J3" i="10"/>
  <c r="AG3" i="10"/>
  <c r="AD3" i="10"/>
  <c r="AB3" i="10"/>
  <c r="F3" i="10"/>
  <c r="P3" i="10"/>
  <c r="I3" i="10"/>
  <c r="H3" i="10"/>
  <c r="V3" i="10"/>
  <c r="N3" i="10"/>
  <c r="M3" i="10"/>
  <c r="AF1" i="22"/>
  <c r="AF1" i="20"/>
  <c r="AI1" i="10"/>
  <c r="AF1" i="15"/>
  <c r="AF1" i="11"/>
  <c r="AH9" i="13"/>
  <c r="AG10" i="13"/>
  <c r="AG11" i="13" s="1"/>
  <c r="AX2" i="22"/>
  <c r="R2" i="2"/>
  <c r="Q1" i="2"/>
  <c r="F20" i="10" l="1"/>
  <c r="AF2" i="15"/>
  <c r="AF2" i="29"/>
  <c r="R9" i="31"/>
  <c r="AG12" i="13"/>
  <c r="AG28" i="13"/>
  <c r="AG2" i="33" s="1"/>
  <c r="U29" i="4"/>
  <c r="S11" i="31" s="1"/>
  <c r="U30" i="4"/>
  <c r="S12" i="31" s="1"/>
  <c r="U28" i="4"/>
  <c r="S10" i="31" s="1"/>
  <c r="U8" i="6"/>
  <c r="AI3" i="15"/>
  <c r="W3" i="4"/>
  <c r="V2" i="4"/>
  <c r="V1" i="4"/>
  <c r="EH1" i="10"/>
  <c r="AH3" i="10"/>
  <c r="AI9" i="13"/>
  <c r="AH10" i="13"/>
  <c r="AH11" i="13" s="1"/>
  <c r="AY2" i="22"/>
  <c r="S2" i="2"/>
  <c r="R1" i="2"/>
  <c r="AG2" i="15" l="1"/>
  <c r="AG2" i="29"/>
  <c r="S9" i="31"/>
  <c r="AH12" i="13"/>
  <c r="AH28" i="13"/>
  <c r="AH2" i="33" s="1"/>
  <c r="V8" i="6"/>
  <c r="V29" i="4"/>
  <c r="T11" i="31" s="1"/>
  <c r="V30" i="4"/>
  <c r="T12" i="31" s="1"/>
  <c r="V28" i="4"/>
  <c r="T10" i="31" s="1"/>
  <c r="X3" i="4"/>
  <c r="W2" i="4"/>
  <c r="W1" i="4"/>
  <c r="AJ3" i="15"/>
  <c r="EH2" i="10"/>
  <c r="AJ9" i="13"/>
  <c r="AI10" i="13"/>
  <c r="AI11" i="13" s="1"/>
  <c r="AZ2" i="22"/>
  <c r="T2" i="2"/>
  <c r="S1" i="2"/>
  <c r="AH2" i="15" l="1"/>
  <c r="AH2" i="29"/>
  <c r="T9" i="31"/>
  <c r="AI12" i="13"/>
  <c r="AI28" i="13"/>
  <c r="AI2" i="33" s="1"/>
  <c r="W29" i="4"/>
  <c r="U11" i="31" s="1"/>
  <c r="W30" i="4"/>
  <c r="U12" i="31" s="1"/>
  <c r="W28" i="4"/>
  <c r="U10" i="31" s="1"/>
  <c r="W8" i="6"/>
  <c r="AK3" i="15"/>
  <c r="Y3" i="4"/>
  <c r="X2" i="4"/>
  <c r="X1" i="4"/>
  <c r="EI1" i="10"/>
  <c r="AK9" i="13"/>
  <c r="AJ10" i="13"/>
  <c r="AJ11" i="13" s="1"/>
  <c r="BA2" i="22"/>
  <c r="U2" i="2"/>
  <c r="T1" i="2"/>
  <c r="AI2" i="15" l="1"/>
  <c r="AI2" i="29"/>
  <c r="U9" i="31"/>
  <c r="AJ12" i="13"/>
  <c r="AJ28" i="13"/>
  <c r="AJ2" i="33" s="1"/>
  <c r="X8" i="6"/>
  <c r="X30" i="4"/>
  <c r="V12" i="31" s="1"/>
  <c r="X29" i="4"/>
  <c r="V11" i="31" s="1"/>
  <c r="X28" i="4"/>
  <c r="V10" i="31" s="1"/>
  <c r="Z3" i="4"/>
  <c r="Y2" i="4"/>
  <c r="Y1" i="4"/>
  <c r="AL3" i="15"/>
  <c r="EJ1" i="10"/>
  <c r="EI2" i="10"/>
  <c r="AL9" i="13"/>
  <c r="AK10" i="13"/>
  <c r="AK11" i="13" s="1"/>
  <c r="BB2" i="22"/>
  <c r="V2" i="2"/>
  <c r="U1" i="2"/>
  <c r="AJ2" i="15" l="1"/>
  <c r="AJ2" i="29"/>
  <c r="V9" i="31"/>
  <c r="AK12" i="13"/>
  <c r="AK28" i="13"/>
  <c r="AK2" i="33" s="1"/>
  <c r="Y30" i="4"/>
  <c r="W12" i="31" s="1"/>
  <c r="Y28" i="4"/>
  <c r="W10" i="31" s="1"/>
  <c r="Y29" i="4"/>
  <c r="W11" i="31" s="1"/>
  <c r="Y8" i="6"/>
  <c r="AM3" i="15"/>
  <c r="AA3" i="4"/>
  <c r="Z2" i="4"/>
  <c r="Z1" i="4"/>
  <c r="EJ2" i="10"/>
  <c r="AM9" i="13"/>
  <c r="AL10" i="13"/>
  <c r="AL11" i="13" s="1"/>
  <c r="BC2" i="22"/>
  <c r="W2" i="2"/>
  <c r="V1" i="2"/>
  <c r="AK2" i="15" l="1"/>
  <c r="AK2" i="29"/>
  <c r="W9" i="31"/>
  <c r="AL12" i="13"/>
  <c r="AL28" i="13"/>
  <c r="AL2" i="33" s="1"/>
  <c r="Z8" i="6"/>
  <c r="Z30" i="4"/>
  <c r="X12" i="31" s="1"/>
  <c r="Z28" i="4"/>
  <c r="X10" i="31" s="1"/>
  <c r="Z29" i="4"/>
  <c r="X11" i="31" s="1"/>
  <c r="AB3" i="4"/>
  <c r="AA2" i="4"/>
  <c r="AA1" i="4"/>
  <c r="AN3" i="15"/>
  <c r="AN9" i="13"/>
  <c r="AM10" i="13"/>
  <c r="AM11" i="13" s="1"/>
  <c r="AM28" i="13" s="1"/>
  <c r="AM2" i="33" s="1"/>
  <c r="BD2" i="22"/>
  <c r="X2" i="2"/>
  <c r="W1" i="2"/>
  <c r="AM2" i="15" l="1"/>
  <c r="AM2" i="29"/>
  <c r="AL2" i="15"/>
  <c r="AL2" i="29"/>
  <c r="X9" i="31"/>
  <c r="I28" i="23"/>
  <c r="AA8" i="6"/>
  <c r="AA28" i="4"/>
  <c r="Y10" i="31" s="1"/>
  <c r="AA29" i="4"/>
  <c r="Y11" i="31" s="1"/>
  <c r="AA30" i="4"/>
  <c r="Y12" i="31" s="1"/>
  <c r="AO3" i="15"/>
  <c r="AC3" i="4"/>
  <c r="AB2" i="4"/>
  <c r="AB1" i="4"/>
  <c r="AM12" i="13"/>
  <c r="AO9" i="13"/>
  <c r="AN10" i="13"/>
  <c r="AN11" i="13" s="1"/>
  <c r="AN28" i="13" s="1"/>
  <c r="AN2" i="33" s="1"/>
  <c r="BE2" i="22"/>
  <c r="Y2" i="2"/>
  <c r="X1" i="2"/>
  <c r="J28" i="23" l="1"/>
  <c r="AN2" i="15"/>
  <c r="AN2" i="29"/>
  <c r="Y9" i="31"/>
  <c r="AB28" i="4"/>
  <c r="Z10" i="31" s="1"/>
  <c r="AB30" i="4"/>
  <c r="Z12" i="31" s="1"/>
  <c r="AB29" i="4"/>
  <c r="Z11" i="31" s="1"/>
  <c r="AB8" i="6"/>
  <c r="AD3" i="4"/>
  <c r="AC2" i="4"/>
  <c r="AC1" i="4"/>
  <c r="AP3" i="15"/>
  <c r="AN12" i="13"/>
  <c r="AP9" i="13"/>
  <c r="AO10" i="13"/>
  <c r="AO11" i="13" s="1"/>
  <c r="AO28" i="13" s="1"/>
  <c r="AO2" i="33" s="1"/>
  <c r="BF2" i="22"/>
  <c r="Z2" i="2"/>
  <c r="Y1" i="2"/>
  <c r="AO2" i="15" l="1"/>
  <c r="AO2" i="29"/>
  <c r="Z9" i="31"/>
  <c r="K28" i="23"/>
  <c r="AC8" i="6"/>
  <c r="AC29" i="4"/>
  <c r="AA11" i="31" s="1"/>
  <c r="BN11" i="31" s="1"/>
  <c r="AC28" i="4"/>
  <c r="AA10" i="31" s="1"/>
  <c r="AC30" i="4"/>
  <c r="AA12" i="31" s="1"/>
  <c r="BN12" i="31" s="1"/>
  <c r="AQ3" i="15"/>
  <c r="AE3" i="4"/>
  <c r="AD2" i="4"/>
  <c r="AD1" i="4"/>
  <c r="AO12" i="13"/>
  <c r="AQ9" i="13"/>
  <c r="AP10" i="13"/>
  <c r="AP11" i="13" s="1"/>
  <c r="AP28" i="13" s="1"/>
  <c r="AP2" i="33" s="1"/>
  <c r="BG2" i="22"/>
  <c r="AA2" i="2"/>
  <c r="Z1" i="2"/>
  <c r="AP2" i="15" l="1"/>
  <c r="AP2" i="29"/>
  <c r="AA9" i="31"/>
  <c r="BN10" i="31"/>
  <c r="BN9" i="31" s="1"/>
  <c r="J5" i="27" s="1"/>
  <c r="L28" i="23"/>
  <c r="AD29" i="4"/>
  <c r="AB11" i="31" s="1"/>
  <c r="AD30" i="4"/>
  <c r="AB12" i="31" s="1"/>
  <c r="AD28" i="4"/>
  <c r="AB10" i="31" s="1"/>
  <c r="AD8" i="6"/>
  <c r="AF3" i="4"/>
  <c r="AE2" i="4"/>
  <c r="AE1" i="4"/>
  <c r="AR3" i="15"/>
  <c r="AS3" i="15" s="1"/>
  <c r="AT3" i="15" s="1"/>
  <c r="AU3" i="15" s="1"/>
  <c r="AV3" i="15" s="1"/>
  <c r="AW3" i="15" s="1"/>
  <c r="AX3" i="15" s="1"/>
  <c r="AY3" i="15" s="1"/>
  <c r="AZ3" i="15" s="1"/>
  <c r="BA3" i="15" s="1"/>
  <c r="BB3" i="15" s="1"/>
  <c r="BC3" i="15" s="1"/>
  <c r="BD3" i="15" s="1"/>
  <c r="BE3" i="15" s="1"/>
  <c r="BF3" i="15" s="1"/>
  <c r="BG3" i="15" s="1"/>
  <c r="BH3" i="15" s="1"/>
  <c r="BI3" i="15" s="1"/>
  <c r="BJ3" i="15" s="1"/>
  <c r="AP12" i="13"/>
  <c r="AR9" i="13"/>
  <c r="AQ10" i="13"/>
  <c r="AQ11" i="13" s="1"/>
  <c r="AQ28" i="13" s="1"/>
  <c r="AQ2" i="33" s="1"/>
  <c r="BH2" i="22"/>
  <c r="AB2" i="2"/>
  <c r="AA1" i="2"/>
  <c r="AQ2" i="15" l="1"/>
  <c r="AQ2" i="29"/>
  <c r="AB9" i="31"/>
  <c r="M28" i="23"/>
  <c r="AE8" i="6"/>
  <c r="AE29" i="4"/>
  <c r="AC11" i="31" s="1"/>
  <c r="AE30" i="4"/>
  <c r="AC12" i="31" s="1"/>
  <c r="AE28" i="4"/>
  <c r="AC10" i="31" s="1"/>
  <c r="W4" i="8"/>
  <c r="V3" i="8"/>
  <c r="Z5" i="8"/>
  <c r="X5" i="8"/>
  <c r="W5" i="8"/>
  <c r="AA5" i="8"/>
  <c r="AE5" i="8" s="1"/>
  <c r="W3" i="8"/>
  <c r="T4" i="8"/>
  <c r="U4" i="8"/>
  <c r="V4" i="8"/>
  <c r="U5" i="8"/>
  <c r="U3" i="8"/>
  <c r="V5" i="8"/>
  <c r="T5" i="8"/>
  <c r="Y5" i="8"/>
  <c r="T3" i="8"/>
  <c r="Z4" i="8"/>
  <c r="Y3" i="8"/>
  <c r="X4" i="8"/>
  <c r="AA4" i="8"/>
  <c r="AE4" i="8" s="1"/>
  <c r="AD17" i="4" s="1"/>
  <c r="AA3" i="8"/>
  <c r="AE3" i="8" s="1"/>
  <c r="X3" i="8"/>
  <c r="Y4" i="8"/>
  <c r="Z3" i="8"/>
  <c r="AD3" i="8" s="1"/>
  <c r="AG3" i="4"/>
  <c r="AF2" i="4"/>
  <c r="AF1" i="4"/>
  <c r="AQ12" i="13"/>
  <c r="AS9" i="13"/>
  <c r="AR10" i="13"/>
  <c r="AR11" i="13" s="1"/>
  <c r="AR28" i="13" s="1"/>
  <c r="BI2" i="22"/>
  <c r="AC2" i="2"/>
  <c r="AB1" i="2"/>
  <c r="AC9" i="31" l="1"/>
  <c r="N28" i="23"/>
  <c r="AF30" i="4"/>
  <c r="AD12" i="31" s="1"/>
  <c r="AF29" i="4"/>
  <c r="AD11" i="31" s="1"/>
  <c r="AF28" i="4"/>
  <c r="AD10" i="31" s="1"/>
  <c r="AF8" i="6"/>
  <c r="AC16" i="4"/>
  <c r="AC25" i="4" s="1"/>
  <c r="AA4" i="31" s="1"/>
  <c r="AD16" i="4"/>
  <c r="AF16" i="4"/>
  <c r="AH3" i="4"/>
  <c r="AG2" i="4"/>
  <c r="AG1" i="4"/>
  <c r="AE16" i="4"/>
  <c r="AE25" i="4" s="1"/>
  <c r="AC4" i="31" s="1"/>
  <c r="AR12" i="13"/>
  <c r="AT9" i="13"/>
  <c r="AS10" i="13"/>
  <c r="AS11" i="13" s="1"/>
  <c r="AS28" i="13" s="1"/>
  <c r="BJ2" i="22"/>
  <c r="AD2" i="2"/>
  <c r="AC1" i="2"/>
  <c r="P14" i="26" l="1"/>
  <c r="P20" i="26" s="1"/>
  <c r="P16" i="26" s="1"/>
  <c r="O30" i="23"/>
  <c r="AD9" i="31"/>
  <c r="O28" i="23"/>
  <c r="O29" i="23"/>
  <c r="AD25" i="4"/>
  <c r="AB4" i="31" s="1"/>
  <c r="AF25" i="4"/>
  <c r="AD4" i="31" s="1"/>
  <c r="AG30" i="4"/>
  <c r="AE12" i="31" s="1"/>
  <c r="AG29" i="4"/>
  <c r="AE11" i="31" s="1"/>
  <c r="AG28" i="4"/>
  <c r="AE10" i="31" s="1"/>
  <c r="AG8" i="6"/>
  <c r="AG16" i="4"/>
  <c r="AI3" i="4"/>
  <c r="AH2" i="4"/>
  <c r="AH1" i="4"/>
  <c r="AS12" i="13"/>
  <c r="AU9" i="13"/>
  <c r="AT10" i="13"/>
  <c r="AT11" i="13" s="1"/>
  <c r="AT28" i="13" s="1"/>
  <c r="AE2" i="2"/>
  <c r="AD1" i="2"/>
  <c r="O46" i="23" l="1"/>
  <c r="O95" i="25"/>
  <c r="Q14" i="26"/>
  <c r="Q20" i="26" s="1"/>
  <c r="Q16" i="26" s="1"/>
  <c r="P30" i="23"/>
  <c r="AI1" i="33"/>
  <c r="AQ1" i="33"/>
  <c r="AJ1" i="33"/>
  <c r="AR1" i="33"/>
  <c r="AK1" i="33"/>
  <c r="AS1" i="33"/>
  <c r="AL1" i="33"/>
  <c r="AT1" i="33"/>
  <c r="AM1" i="33"/>
  <c r="AN1" i="33"/>
  <c r="AG1" i="33"/>
  <c r="AO1" i="33"/>
  <c r="AH1" i="33"/>
  <c r="AP1" i="33"/>
  <c r="O45" i="23"/>
  <c r="O60" i="33" s="1"/>
  <c r="O101" i="25"/>
  <c r="AG1" i="29"/>
  <c r="AO1" i="29"/>
  <c r="AK1" i="31"/>
  <c r="AS1" i="31"/>
  <c r="AQ1" i="31"/>
  <c r="AH1" i="29"/>
  <c r="AP1" i="29"/>
  <c r="AL1" i="31"/>
  <c r="AT1" i="31"/>
  <c r="AI1" i="31"/>
  <c r="AI1" i="29"/>
  <c r="AQ1" i="29"/>
  <c r="AM1" i="31"/>
  <c r="AM1" i="29"/>
  <c r="AN1" i="29"/>
  <c r="AJ1" i="29"/>
  <c r="AR1" i="29"/>
  <c r="AN1" i="31"/>
  <c r="AJ1" i="31"/>
  <c r="AK1" i="29"/>
  <c r="AS1" i="29"/>
  <c r="AG1" i="31"/>
  <c r="AO1" i="31"/>
  <c r="AL1" i="29"/>
  <c r="AT1" i="29"/>
  <c r="AH1" i="31"/>
  <c r="AP1" i="31"/>
  <c r="AR1" i="31"/>
  <c r="AE9" i="31"/>
  <c r="P28" i="23"/>
  <c r="P29" i="23"/>
  <c r="AS1" i="25"/>
  <c r="CT1" i="10"/>
  <c r="AI2" i="10"/>
  <c r="AG25" i="4"/>
  <c r="AE4" i="31" s="1"/>
  <c r="AT1" i="26"/>
  <c r="AH30" i="4"/>
  <c r="AF12" i="31" s="1"/>
  <c r="AH28" i="4"/>
  <c r="AF10" i="31" s="1"/>
  <c r="AH29" i="4"/>
  <c r="AF11" i="31" s="1"/>
  <c r="AH8" i="6"/>
  <c r="AH16" i="4"/>
  <c r="AJ3" i="4"/>
  <c r="AJ1" i="4" s="1"/>
  <c r="AI2" i="4"/>
  <c r="AS1" i="23"/>
  <c r="AG1" i="25"/>
  <c r="AH1" i="26"/>
  <c r="AH1" i="25"/>
  <c r="AI1" i="26"/>
  <c r="AJ1" i="26"/>
  <c r="AI1" i="25"/>
  <c r="AK1" i="26"/>
  <c r="AJ1" i="25"/>
  <c r="AK1" i="25"/>
  <c r="AL1" i="26"/>
  <c r="AL1" i="25"/>
  <c r="AM1" i="26"/>
  <c r="AM1" i="25"/>
  <c r="AN1" i="26"/>
  <c r="AN1" i="25"/>
  <c r="AO1" i="26"/>
  <c r="AP1" i="26"/>
  <c r="AO1" i="25"/>
  <c r="AQ1" i="26"/>
  <c r="AP1" i="25"/>
  <c r="AR1" i="26"/>
  <c r="AQ1" i="25"/>
  <c r="AS1" i="26"/>
  <c r="AR1" i="25"/>
  <c r="AT1" i="25"/>
  <c r="AU1" i="26"/>
  <c r="AG1" i="23"/>
  <c r="AF2" i="23" s="1"/>
  <c r="AH1" i="23"/>
  <c r="AI1" i="23"/>
  <c r="AJ1" i="23"/>
  <c r="AK1" i="23"/>
  <c r="AL1" i="23"/>
  <c r="AM1" i="23"/>
  <c r="AN1" i="23"/>
  <c r="AO1" i="23"/>
  <c r="AP1" i="23"/>
  <c r="AQ1" i="23"/>
  <c r="AR1" i="23"/>
  <c r="AT1" i="20"/>
  <c r="AT1" i="23"/>
  <c r="AT12" i="13"/>
  <c r="AV2" i="10" s="1"/>
  <c r="AK2" i="10"/>
  <c r="AJ2" i="10"/>
  <c r="AL2" i="10"/>
  <c r="AN2" i="10"/>
  <c r="AM2" i="10"/>
  <c r="AO2" i="10"/>
  <c r="AP2" i="10"/>
  <c r="AQ2" i="10"/>
  <c r="AR2" i="10"/>
  <c r="AS2" i="10"/>
  <c r="AT2" i="10"/>
  <c r="AU2" i="10"/>
  <c r="AV9" i="13"/>
  <c r="AU1" i="29" s="1"/>
  <c r="AU10" i="13"/>
  <c r="AU11" i="13" s="1"/>
  <c r="AU28" i="13" s="1"/>
  <c r="AG1" i="11"/>
  <c r="AM1" i="6"/>
  <c r="AQ1" i="10"/>
  <c r="AJ1" i="6"/>
  <c r="AO1" i="15"/>
  <c r="AP1" i="6"/>
  <c r="AL1" i="10"/>
  <c r="AL28" i="10" s="1"/>
  <c r="AS1" i="6"/>
  <c r="AG1" i="15"/>
  <c r="AM1" i="11"/>
  <c r="AJ1" i="22"/>
  <c r="AN1" i="22"/>
  <c r="AI1" i="11"/>
  <c r="AG1" i="6"/>
  <c r="AS1" i="15"/>
  <c r="AK1" i="15"/>
  <c r="AT1" i="11"/>
  <c r="AK1" i="6"/>
  <c r="AR1" i="6"/>
  <c r="AO1" i="11"/>
  <c r="AI1" i="15"/>
  <c r="CU1" i="10"/>
  <c r="AQ1" i="11"/>
  <c r="AJ1" i="15"/>
  <c r="AL1" i="6"/>
  <c r="AK1" i="10"/>
  <c r="AK28" i="10" s="1"/>
  <c r="AN1" i="15"/>
  <c r="AQ1" i="6"/>
  <c r="AM1" i="10"/>
  <c r="AM28" i="10" s="1"/>
  <c r="AG1" i="22"/>
  <c r="AQ1" i="15"/>
  <c r="AJ1" i="11"/>
  <c r="AP1" i="11"/>
  <c r="AS1" i="11"/>
  <c r="AK1" i="11"/>
  <c r="AT1" i="15"/>
  <c r="AJ1" i="10"/>
  <c r="AK1" i="22"/>
  <c r="AO1" i="22"/>
  <c r="AL1" i="11"/>
  <c r="AW1" i="10"/>
  <c r="AR1" i="15"/>
  <c r="AR1" i="11"/>
  <c r="AO1" i="6"/>
  <c r="AH1" i="15"/>
  <c r="AI1" i="4"/>
  <c r="AP1" i="10"/>
  <c r="AP28" i="10" s="1"/>
  <c r="AO1" i="10"/>
  <c r="AO28" i="10" s="1"/>
  <c r="AH1" i="22"/>
  <c r="AM1" i="22"/>
  <c r="AQ1" i="22"/>
  <c r="AL1" i="15"/>
  <c r="AN1" i="6"/>
  <c r="AP1" i="15"/>
  <c r="AM1" i="15"/>
  <c r="AI1" i="6"/>
  <c r="AR1" i="22"/>
  <c r="AS1" i="10"/>
  <c r="AV1" i="10"/>
  <c r="AN1" i="10"/>
  <c r="AN28" i="10" s="1"/>
  <c r="AT1" i="6"/>
  <c r="AT1" i="10"/>
  <c r="AH1" i="6"/>
  <c r="AI1" i="22"/>
  <c r="AT1" i="22"/>
  <c r="AU1" i="10"/>
  <c r="AR1" i="10"/>
  <c r="AH1" i="11"/>
  <c r="AN1" i="11"/>
  <c r="AL1" i="22"/>
  <c r="AP1" i="22"/>
  <c r="CV1" i="10"/>
  <c r="AS1" i="22"/>
  <c r="CW1" i="10"/>
  <c r="AG1" i="20"/>
  <c r="CX1" i="10"/>
  <c r="CY1" i="10"/>
  <c r="AH1" i="20"/>
  <c r="AI1" i="20"/>
  <c r="CZ1" i="10"/>
  <c r="AJ1" i="20"/>
  <c r="DA1" i="10"/>
  <c r="DB1" i="10"/>
  <c r="AK1" i="20"/>
  <c r="AL1" i="20"/>
  <c r="DC1" i="10"/>
  <c r="AM1" i="20"/>
  <c r="DD1" i="10"/>
  <c r="AN1" i="20"/>
  <c r="DE1" i="10"/>
  <c r="AO1" i="20"/>
  <c r="DF1" i="10"/>
  <c r="AP1" i="20"/>
  <c r="DG1" i="10"/>
  <c r="AQ1" i="20"/>
  <c r="DH1" i="10"/>
  <c r="AR1" i="20"/>
  <c r="AS1" i="20"/>
  <c r="AF2" i="2"/>
  <c r="AE1" i="2"/>
  <c r="P95" i="25" l="1"/>
  <c r="P46" i="23"/>
  <c r="R14" i="26"/>
  <c r="R20" i="26" s="1"/>
  <c r="R16" i="26" s="1"/>
  <c r="Q30" i="23"/>
  <c r="O61" i="33"/>
  <c r="O55" i="33" s="1"/>
  <c r="O107" i="25"/>
  <c r="AU1" i="31"/>
  <c r="AU1" i="33"/>
  <c r="O113" i="25"/>
  <c r="O125" i="25" s="1"/>
  <c r="O17" i="25"/>
  <c r="O29" i="25" s="1"/>
  <c r="P45" i="23"/>
  <c r="P60" i="33" s="1"/>
  <c r="P101" i="25"/>
  <c r="AF9" i="31"/>
  <c r="Q28" i="23"/>
  <c r="Q29" i="23"/>
  <c r="AR2" i="23"/>
  <c r="AG2" i="23"/>
  <c r="AH25" i="4"/>
  <c r="AF4" i="31" s="1"/>
  <c r="AI28" i="4"/>
  <c r="AG10" i="31" s="1"/>
  <c r="AI29" i="4"/>
  <c r="AG11" i="31" s="1"/>
  <c r="BO11" i="31" s="1"/>
  <c r="AI30" i="4"/>
  <c r="AG12" i="31" s="1"/>
  <c r="BO12" i="31" s="1"/>
  <c r="AI8" i="6"/>
  <c r="AI18" i="4"/>
  <c r="AI17" i="4"/>
  <c r="AI16" i="4"/>
  <c r="AK3" i="4"/>
  <c r="AJ2" i="4"/>
  <c r="AN2" i="23"/>
  <c r="AW32" i="10"/>
  <c r="AW31" i="10"/>
  <c r="AQ31" i="10"/>
  <c r="AQ32" i="10"/>
  <c r="AT32" i="10"/>
  <c r="AT31" i="10"/>
  <c r="AQ53" i="23" s="1"/>
  <c r="AQ69" i="23" s="1"/>
  <c r="AV32" i="10"/>
  <c r="AV31" i="10"/>
  <c r="AS53" i="23" s="1"/>
  <c r="AS69" i="23" s="1"/>
  <c r="AR32" i="10"/>
  <c r="AR31" i="10"/>
  <c r="AU31" i="10"/>
  <c r="AU32" i="10"/>
  <c r="AS31" i="10"/>
  <c r="AP53" i="23" s="1"/>
  <c r="AP69" i="23" s="1"/>
  <c r="AS32" i="10"/>
  <c r="AU1" i="25"/>
  <c r="AV1" i="26"/>
  <c r="AH2" i="23"/>
  <c r="AI2" i="23"/>
  <c r="AO2" i="23"/>
  <c r="AL2" i="23"/>
  <c r="AM2" i="23"/>
  <c r="AJ2" i="23"/>
  <c r="AK2" i="23"/>
  <c r="AP2" i="23"/>
  <c r="AQ2" i="23"/>
  <c r="AR28" i="10"/>
  <c r="AO63" i="23" s="1"/>
  <c r="AR18" i="10"/>
  <c r="AO39" i="23" s="1"/>
  <c r="AV28" i="10"/>
  <c r="AS63" i="23" s="1"/>
  <c r="AV18" i="10"/>
  <c r="AS39" i="23" s="1"/>
  <c r="AU28" i="10"/>
  <c r="AR63" i="23" s="1"/>
  <c r="AU18" i="10"/>
  <c r="AR39" i="23" s="1"/>
  <c r="AS18" i="10"/>
  <c r="AP39" i="23" s="1"/>
  <c r="AS28" i="10"/>
  <c r="AP63" i="23" s="1"/>
  <c r="AW28" i="10"/>
  <c r="AT63" i="23" s="1"/>
  <c r="AW18" i="10"/>
  <c r="AT39" i="23" s="1"/>
  <c r="AQ18" i="10"/>
  <c r="AN39" i="23" s="1"/>
  <c r="AQ28" i="10"/>
  <c r="AN63" i="23" s="1"/>
  <c r="AT28" i="10"/>
  <c r="AQ63" i="23" s="1"/>
  <c r="AT18" i="10"/>
  <c r="AQ39" i="23" s="1"/>
  <c r="AP18" i="10"/>
  <c r="AM39" i="23" s="1"/>
  <c r="AM63" i="23"/>
  <c r="AW8" i="10"/>
  <c r="AT15" i="23" s="1"/>
  <c r="AW11" i="10"/>
  <c r="AW22" i="10"/>
  <c r="AW12" i="10"/>
  <c r="AW21" i="10"/>
  <c r="AT29" i="23" s="1"/>
  <c r="AT45" i="23" s="1"/>
  <c r="AQ8" i="10"/>
  <c r="AN15" i="23" s="1"/>
  <c r="AQ12" i="10"/>
  <c r="AQ21" i="10"/>
  <c r="AN29" i="23" s="1"/>
  <c r="AN45" i="23" s="1"/>
  <c r="AQ11" i="10"/>
  <c r="AQ22" i="10"/>
  <c r="AT8" i="10"/>
  <c r="AQ15" i="23" s="1"/>
  <c r="AT21" i="10"/>
  <c r="AQ29" i="23" s="1"/>
  <c r="AQ45" i="23" s="1"/>
  <c r="AT11" i="10"/>
  <c r="AT22" i="10"/>
  <c r="AT12" i="10"/>
  <c r="AP8" i="10"/>
  <c r="AM15" i="23" s="1"/>
  <c r="AU8" i="10"/>
  <c r="AR15" i="23" s="1"/>
  <c r="AU11" i="10"/>
  <c r="AU22" i="10"/>
  <c r="AU12" i="10"/>
  <c r="AU21" i="10"/>
  <c r="AR29" i="23" s="1"/>
  <c r="AR45" i="23" s="1"/>
  <c r="AU1" i="20"/>
  <c r="AU1" i="23"/>
  <c r="AT2" i="23" s="1"/>
  <c r="AU12" i="13"/>
  <c r="AS8" i="10"/>
  <c r="AP15" i="23" s="1"/>
  <c r="AS12" i="10"/>
  <c r="AS21" i="10"/>
  <c r="AP29" i="23" s="1"/>
  <c r="AP45" i="23" s="1"/>
  <c r="AS11" i="10"/>
  <c r="AS22" i="10"/>
  <c r="AR8" i="10"/>
  <c r="AO15" i="23" s="1"/>
  <c r="AR12" i="10"/>
  <c r="AR21" i="10"/>
  <c r="AO29" i="23" s="1"/>
  <c r="AO45" i="23" s="1"/>
  <c r="AR11" i="10"/>
  <c r="AR22" i="10"/>
  <c r="AV8" i="10"/>
  <c r="AS15" i="23" s="1"/>
  <c r="AV11" i="10"/>
  <c r="AV22" i="10"/>
  <c r="AV12" i="10"/>
  <c r="AV21" i="10"/>
  <c r="AS29" i="23" s="1"/>
  <c r="AS45" i="23" s="1"/>
  <c r="AS2" i="23"/>
  <c r="AN3" i="10"/>
  <c r="AR3" i="10"/>
  <c r="AV3" i="10"/>
  <c r="AL3" i="10"/>
  <c r="AT3" i="10"/>
  <c r="AM3" i="10"/>
  <c r="AU3" i="10"/>
  <c r="AS3" i="10"/>
  <c r="AJ3" i="10"/>
  <c r="AI3" i="10"/>
  <c r="AK3" i="10"/>
  <c r="AP3" i="10"/>
  <c r="AO3" i="10"/>
  <c r="AQ3" i="10"/>
  <c r="AU1" i="6"/>
  <c r="AU1" i="11"/>
  <c r="AU1" i="15"/>
  <c r="AX1" i="10"/>
  <c r="AU1" i="22"/>
  <c r="AW9" i="13"/>
  <c r="AV10" i="13"/>
  <c r="AV11" i="13" s="1"/>
  <c r="AV28" i="13" s="1"/>
  <c r="AG2" i="2"/>
  <c r="AF1" i="2"/>
  <c r="P17" i="25" l="1"/>
  <c r="P29" i="25" s="1"/>
  <c r="P65" i="31" s="1"/>
  <c r="Q95" i="25"/>
  <c r="Q46" i="23"/>
  <c r="S14" i="26"/>
  <c r="S20" i="26" s="1"/>
  <c r="S16" i="26" s="1"/>
  <c r="R30" i="23"/>
  <c r="P61" i="33"/>
  <c r="P55" i="33" s="1"/>
  <c r="P107" i="25"/>
  <c r="R28" i="23"/>
  <c r="O23" i="25"/>
  <c r="O35" i="25" s="1"/>
  <c r="O53" i="31"/>
  <c r="BM53" i="31" s="1"/>
  <c r="O65" i="31"/>
  <c r="BM65" i="31" s="1"/>
  <c r="O72" i="33"/>
  <c r="O30" i="29"/>
  <c r="P113" i="25"/>
  <c r="P125" i="25" s="1"/>
  <c r="Q45" i="23"/>
  <c r="Q60" i="33" s="1"/>
  <c r="Q101" i="25"/>
  <c r="AG9" i="31"/>
  <c r="BO10" i="31"/>
  <c r="BO9" i="31" s="1"/>
  <c r="K5" i="27" s="1"/>
  <c r="R29" i="23"/>
  <c r="AW2" i="10"/>
  <c r="AI27" i="4"/>
  <c r="AG6" i="31" s="1"/>
  <c r="AI25" i="4"/>
  <c r="AG4" i="31" s="1"/>
  <c r="AI26" i="4"/>
  <c r="AG5" i="31" s="1"/>
  <c r="AJ8" i="6"/>
  <c r="AJ18" i="4"/>
  <c r="AJ17" i="4"/>
  <c r="AJ16" i="4"/>
  <c r="AJ25" i="4" s="1"/>
  <c r="AH4" i="31" s="1"/>
  <c r="AL3" i="4"/>
  <c r="AK2" i="4"/>
  <c r="AK1" i="4"/>
  <c r="AX31" i="10"/>
  <c r="AX32" i="10"/>
  <c r="AQ6" i="23"/>
  <c r="AQ22" i="23" s="1"/>
  <c r="AR4" i="26"/>
  <c r="AR10" i="26" s="1"/>
  <c r="AR6" i="26" s="1"/>
  <c r="AT30" i="23"/>
  <c r="AT46" i="23" s="1"/>
  <c r="AU14" i="26"/>
  <c r="AU20" i="26" s="1"/>
  <c r="AU16" i="26" s="1"/>
  <c r="AO6" i="23"/>
  <c r="AO22" i="23" s="1"/>
  <c r="AP4" i="26"/>
  <c r="AP10" i="26" s="1"/>
  <c r="AP6" i="26" s="1"/>
  <c r="AN54" i="23"/>
  <c r="AN70" i="23" s="1"/>
  <c r="AO24" i="26"/>
  <c r="AO30" i="26" s="1"/>
  <c r="AO26" i="26" s="1"/>
  <c r="AQ54" i="23"/>
  <c r="AQ70" i="23" s="1"/>
  <c r="AR24" i="26"/>
  <c r="AR30" i="26" s="1"/>
  <c r="AR26" i="26" s="1"/>
  <c r="AS6" i="23"/>
  <c r="AS22" i="23" s="1"/>
  <c r="AT4" i="26"/>
  <c r="AT10" i="26" s="1"/>
  <c r="AT6" i="26" s="1"/>
  <c r="AP54" i="23"/>
  <c r="AP70" i="23" s="1"/>
  <c r="AQ24" i="26"/>
  <c r="AQ30" i="26" s="1"/>
  <c r="AQ26" i="26" s="1"/>
  <c r="AR54" i="23"/>
  <c r="AR70" i="23" s="1"/>
  <c r="AS24" i="26"/>
  <c r="AS30" i="26" s="1"/>
  <c r="AS26" i="26" s="1"/>
  <c r="AM54" i="23"/>
  <c r="AN24" i="26"/>
  <c r="AN30" i="26" s="1"/>
  <c r="AN26" i="26" s="1"/>
  <c r="AT6" i="23"/>
  <c r="AT22" i="23" s="1"/>
  <c r="AU4" i="26"/>
  <c r="AU10" i="26" s="1"/>
  <c r="AU6" i="26" s="1"/>
  <c r="AR6" i="23"/>
  <c r="AR22" i="23" s="1"/>
  <c r="AS4" i="26"/>
  <c r="AS10" i="26" s="1"/>
  <c r="AS6" i="26" s="1"/>
  <c r="AQ30" i="23"/>
  <c r="AQ46" i="23" s="1"/>
  <c r="AR14" i="26"/>
  <c r="AR20" i="26" s="1"/>
  <c r="AR16" i="26" s="1"/>
  <c r="AS30" i="23"/>
  <c r="AS46" i="23" s="1"/>
  <c r="AT14" i="26"/>
  <c r="AT20" i="26" s="1"/>
  <c r="AT16" i="26" s="1"/>
  <c r="AO30" i="23"/>
  <c r="AO46" i="23" s="1"/>
  <c r="AP14" i="26"/>
  <c r="AP20" i="26" s="1"/>
  <c r="AP16" i="26" s="1"/>
  <c r="AO54" i="23"/>
  <c r="AO70" i="23" s="1"/>
  <c r="AP24" i="26"/>
  <c r="AP30" i="26" s="1"/>
  <c r="AP26" i="26" s="1"/>
  <c r="AN30" i="23"/>
  <c r="AN46" i="23" s="1"/>
  <c r="AO14" i="26"/>
  <c r="AO20" i="26" s="1"/>
  <c r="AO16" i="26" s="1"/>
  <c r="AN6" i="23"/>
  <c r="AN22" i="23" s="1"/>
  <c r="AO4" i="26"/>
  <c r="AO10" i="26" s="1"/>
  <c r="AO6" i="26" s="1"/>
  <c r="AT54" i="23"/>
  <c r="AT70" i="23" s="1"/>
  <c r="AU24" i="26"/>
  <c r="AU30" i="26" s="1"/>
  <c r="AU26" i="26" s="1"/>
  <c r="AP6" i="23"/>
  <c r="AP22" i="23" s="1"/>
  <c r="AQ4" i="26"/>
  <c r="AQ10" i="26" s="1"/>
  <c r="AQ6" i="26" s="1"/>
  <c r="AS54" i="23"/>
  <c r="AS70" i="23" s="1"/>
  <c r="AT24" i="26"/>
  <c r="AT30" i="26" s="1"/>
  <c r="AT26" i="26" s="1"/>
  <c r="AP30" i="23"/>
  <c r="AP46" i="23" s="1"/>
  <c r="AQ14" i="26"/>
  <c r="AQ20" i="26" s="1"/>
  <c r="AQ16" i="26" s="1"/>
  <c r="AR30" i="23"/>
  <c r="AR46" i="23" s="1"/>
  <c r="AS14" i="26"/>
  <c r="AS20" i="26" s="1"/>
  <c r="AS16" i="26" s="1"/>
  <c r="AX18" i="10"/>
  <c r="AU39" i="23" s="1"/>
  <c r="AX28" i="10"/>
  <c r="AU63" i="23" s="1"/>
  <c r="AT53" i="23"/>
  <c r="AT69" i="23" s="1"/>
  <c r="AO53" i="23"/>
  <c r="AO69" i="23" s="1"/>
  <c r="AN53" i="23"/>
  <c r="AN69" i="23" s="1"/>
  <c r="AM53" i="23"/>
  <c r="AM69" i="23" s="1"/>
  <c r="AM84" i="33" s="1"/>
  <c r="AM78" i="33" s="1"/>
  <c r="V14" i="26"/>
  <c r="V20" i="26" s="1"/>
  <c r="V16" i="26" s="1"/>
  <c r="AR53" i="23"/>
  <c r="AR69" i="23" s="1"/>
  <c r="U29" i="23"/>
  <c r="B4" i="10"/>
  <c r="B6" i="10"/>
  <c r="B14" i="10"/>
  <c r="B16" i="10"/>
  <c r="B26" i="10"/>
  <c r="B24" i="10"/>
  <c r="AR30" i="10"/>
  <c r="AS20" i="10"/>
  <c r="AP28" i="23" s="1"/>
  <c r="AP44" i="23" s="1"/>
  <c r="AU30" i="10"/>
  <c r="AT20" i="10"/>
  <c r="AQ28" i="23" s="1"/>
  <c r="AQ44" i="23" s="1"/>
  <c r="AT30" i="10"/>
  <c r="AS30" i="10"/>
  <c r="AR20" i="10"/>
  <c r="AO28" i="23" s="1"/>
  <c r="AO44" i="23" s="1"/>
  <c r="AQ30" i="10"/>
  <c r="AW20" i="10"/>
  <c r="AT28" i="23" s="1"/>
  <c r="AT44" i="23" s="1"/>
  <c r="AW3" i="10"/>
  <c r="AX8" i="10"/>
  <c r="AU15" i="23" s="1"/>
  <c r="AX22" i="10"/>
  <c r="AX12" i="10"/>
  <c r="AX21" i="10"/>
  <c r="AU29" i="23" s="1"/>
  <c r="AU45" i="23" s="1"/>
  <c r="AX11" i="10"/>
  <c r="AU20" i="10"/>
  <c r="AR28" i="23" s="1"/>
  <c r="AR44" i="23" s="1"/>
  <c r="AV12" i="13"/>
  <c r="AV30" i="10"/>
  <c r="AV20" i="10"/>
  <c r="AS28" i="23" s="1"/>
  <c r="AS44" i="23" s="1"/>
  <c r="AQ20" i="10"/>
  <c r="AN28" i="23" s="1"/>
  <c r="AN44" i="23" s="1"/>
  <c r="AW30" i="10"/>
  <c r="AS5" i="23"/>
  <c r="AS21" i="23" s="1"/>
  <c r="AV10" i="10"/>
  <c r="AS4" i="23" s="1"/>
  <c r="AS20" i="23" s="1"/>
  <c r="AQ5" i="23"/>
  <c r="AQ21" i="23" s="1"/>
  <c r="AT10" i="10"/>
  <c r="AQ4" i="23" s="1"/>
  <c r="AQ20" i="23" s="1"/>
  <c r="AO5" i="23"/>
  <c r="AO21" i="23" s="1"/>
  <c r="AR10" i="10"/>
  <c r="AO4" i="23" s="1"/>
  <c r="AO20" i="23" s="1"/>
  <c r="AN5" i="23"/>
  <c r="AN21" i="23" s="1"/>
  <c r="AQ10" i="10"/>
  <c r="AN4" i="23" s="1"/>
  <c r="AN20" i="23" s="1"/>
  <c r="AR5" i="23"/>
  <c r="AR21" i="23" s="1"/>
  <c r="AU10" i="10"/>
  <c r="AR4" i="23" s="1"/>
  <c r="AR20" i="23" s="1"/>
  <c r="AP5" i="23"/>
  <c r="AP21" i="23" s="1"/>
  <c r="AS10" i="10"/>
  <c r="AP4" i="23" s="1"/>
  <c r="AP20" i="23" s="1"/>
  <c r="AT5" i="23"/>
  <c r="AT21" i="23" s="1"/>
  <c r="AW10" i="10"/>
  <c r="AT4" i="23" s="1"/>
  <c r="AT20" i="23" s="1"/>
  <c r="AX9" i="13"/>
  <c r="AW10" i="13"/>
  <c r="AW11" i="13" s="1"/>
  <c r="AW28" i="13" s="1"/>
  <c r="AH2" i="2"/>
  <c r="AG1" i="2"/>
  <c r="P53" i="31" l="1"/>
  <c r="R46" i="23"/>
  <c r="R95" i="25"/>
  <c r="T14" i="26"/>
  <c r="T20" i="26" s="1"/>
  <c r="T16" i="26" s="1"/>
  <c r="S30" i="23"/>
  <c r="Q61" i="33"/>
  <c r="Q55" i="33" s="1"/>
  <c r="Q107" i="25"/>
  <c r="P72" i="33"/>
  <c r="P30" i="29"/>
  <c r="R41" i="4"/>
  <c r="P23" i="31" s="1"/>
  <c r="P23" i="25"/>
  <c r="O70" i="33"/>
  <c r="O54" i="33"/>
  <c r="O71" i="31"/>
  <c r="BM71" i="31" s="1"/>
  <c r="O59" i="31"/>
  <c r="BM59" i="31" s="1"/>
  <c r="U45" i="23"/>
  <c r="U60" i="33" s="1"/>
  <c r="U101" i="25"/>
  <c r="Q113" i="25"/>
  <c r="Q125" i="25" s="1"/>
  <c r="Q32" i="4"/>
  <c r="Q17" i="25"/>
  <c r="Q29" i="25" s="1"/>
  <c r="R45" i="23"/>
  <c r="R60" i="33" s="1"/>
  <c r="R101" i="25"/>
  <c r="AG3" i="31"/>
  <c r="AM70" i="23"/>
  <c r="AM85" i="33" s="1"/>
  <c r="AM79" i="33" s="1"/>
  <c r="AM96" i="25"/>
  <c r="S28" i="23"/>
  <c r="S29" i="23"/>
  <c r="AJ26" i="4"/>
  <c r="AH5" i="31" s="1"/>
  <c r="AK8" i="6"/>
  <c r="AJ27" i="4"/>
  <c r="AH6" i="31" s="1"/>
  <c r="AK18" i="4"/>
  <c r="AK17" i="4"/>
  <c r="AK16" i="4"/>
  <c r="AM3" i="4"/>
  <c r="AL2" i="4"/>
  <c r="AL1" i="4"/>
  <c r="AN47" i="23"/>
  <c r="AR47" i="23"/>
  <c r="AR49" i="23" s="1"/>
  <c r="AO47" i="23"/>
  <c r="AO49" i="23" s="1"/>
  <c r="AT47" i="23"/>
  <c r="AT49" i="23" s="1"/>
  <c r="AS47" i="23"/>
  <c r="AP47" i="23"/>
  <c r="AP49" i="23" s="1"/>
  <c r="AQ47" i="23"/>
  <c r="AQ49" i="23" s="1"/>
  <c r="AU54" i="23"/>
  <c r="AU70" i="23" s="1"/>
  <c r="AV24" i="26"/>
  <c r="AV30" i="26" s="1"/>
  <c r="AV26" i="26" s="1"/>
  <c r="AU6" i="23"/>
  <c r="AU22" i="23" s="1"/>
  <c r="AV4" i="26"/>
  <c r="AV10" i="26" s="1"/>
  <c r="AV6" i="26" s="1"/>
  <c r="AU30" i="23"/>
  <c r="AU46" i="23" s="1"/>
  <c r="AV14" i="26"/>
  <c r="AV20" i="26" s="1"/>
  <c r="AV16" i="26" s="1"/>
  <c r="AP52" i="23"/>
  <c r="AP68" i="23" s="1"/>
  <c r="AP71" i="23" s="1"/>
  <c r="AS52" i="23"/>
  <c r="AS68" i="23" s="1"/>
  <c r="AS71" i="23" s="1"/>
  <c r="U30" i="23"/>
  <c r="AQ52" i="23"/>
  <c r="AQ68" i="23" s="1"/>
  <c r="AQ71" i="23" s="1"/>
  <c r="AT52" i="23"/>
  <c r="AT68" i="23" s="1"/>
  <c r="AT71" i="23" s="1"/>
  <c r="AR52" i="23"/>
  <c r="AR68" i="23" s="1"/>
  <c r="AR71" i="23" s="1"/>
  <c r="AU53" i="23"/>
  <c r="AU69" i="23" s="1"/>
  <c r="AN52" i="23"/>
  <c r="AN68" i="23" s="1"/>
  <c r="AN71" i="23" s="1"/>
  <c r="AM52" i="23"/>
  <c r="AM68" i="23" s="1"/>
  <c r="AM83" i="33" s="1"/>
  <c r="AO52" i="23"/>
  <c r="AO68" i="23" s="1"/>
  <c r="AO71" i="23" s="1"/>
  <c r="U28" i="23"/>
  <c r="AX30" i="10"/>
  <c r="AW12" i="13"/>
  <c r="AX20" i="10"/>
  <c r="AU28" i="23" s="1"/>
  <c r="AU44" i="23" s="1"/>
  <c r="AQ23" i="23"/>
  <c r="AQ25" i="23" s="1"/>
  <c r="AP23" i="23"/>
  <c r="AR23" i="23"/>
  <c r="AT23" i="23"/>
  <c r="AN23" i="23"/>
  <c r="AU5" i="23"/>
  <c r="AU21" i="23" s="1"/>
  <c r="AX10" i="10"/>
  <c r="AU4" i="23" s="1"/>
  <c r="AU20" i="23" s="1"/>
  <c r="AO23" i="23"/>
  <c r="AS23" i="23"/>
  <c r="AY9" i="13"/>
  <c r="AX10" i="13"/>
  <c r="AX11" i="13" s="1"/>
  <c r="AX28" i="13" s="1"/>
  <c r="AI2" i="2"/>
  <c r="AH1" i="2"/>
  <c r="S46" i="23" l="1"/>
  <c r="S95" i="25"/>
  <c r="U14" i="26"/>
  <c r="U20" i="26" s="1"/>
  <c r="U16" i="26" s="1"/>
  <c r="T30" i="23"/>
  <c r="T28" i="23"/>
  <c r="R61" i="33"/>
  <c r="R55" i="33" s="1"/>
  <c r="R107" i="25"/>
  <c r="R32" i="4"/>
  <c r="P35" i="25"/>
  <c r="R35" i="4" s="1"/>
  <c r="V28" i="23"/>
  <c r="Q35" i="4"/>
  <c r="Q72" i="33"/>
  <c r="S41" i="4"/>
  <c r="Q23" i="31" s="1"/>
  <c r="Q30" i="29"/>
  <c r="U113" i="25"/>
  <c r="U125" i="25" s="1"/>
  <c r="AM82" i="33"/>
  <c r="AM77" i="33"/>
  <c r="AM76" i="33" s="1"/>
  <c r="Q65" i="31"/>
  <c r="Q53" i="31"/>
  <c r="Q23" i="25"/>
  <c r="P59" i="31"/>
  <c r="R113" i="25"/>
  <c r="R125" i="25" s="1"/>
  <c r="P70" i="33"/>
  <c r="P54" i="33"/>
  <c r="R17" i="25"/>
  <c r="R29" i="25" s="1"/>
  <c r="S45" i="23"/>
  <c r="S60" i="33" s="1"/>
  <c r="S101" i="25"/>
  <c r="AH3" i="31"/>
  <c r="AM102" i="25"/>
  <c r="AM114" i="25" s="1"/>
  <c r="V29" i="23"/>
  <c r="U46" i="23"/>
  <c r="U61" i="33" s="1"/>
  <c r="U95" i="25"/>
  <c r="AM71" i="23"/>
  <c r="AM19" i="29" s="1"/>
  <c r="W14" i="26"/>
  <c r="W20" i="26" s="1"/>
  <c r="W16" i="26" s="1"/>
  <c r="T29" i="23"/>
  <c r="AK26" i="4"/>
  <c r="AI5" i="31" s="1"/>
  <c r="AK25" i="4"/>
  <c r="AI4" i="31" s="1"/>
  <c r="AL8" i="6"/>
  <c r="AK27" i="4"/>
  <c r="AI6" i="31" s="1"/>
  <c r="AN3" i="4"/>
  <c r="AO3" i="4" s="1"/>
  <c r="AM2" i="4"/>
  <c r="AM1" i="4"/>
  <c r="AL18" i="4"/>
  <c r="AL16" i="4"/>
  <c r="AL17" i="4"/>
  <c r="AS48" i="23"/>
  <c r="AO48" i="23"/>
  <c r="AR48" i="23"/>
  <c r="AN49" i="23"/>
  <c r="AP48" i="23"/>
  <c r="AS49" i="23"/>
  <c r="AT48" i="23"/>
  <c r="AQ48" i="23"/>
  <c r="AU47" i="23"/>
  <c r="AU49" i="23" s="1"/>
  <c r="AR73" i="23"/>
  <c r="AR72" i="23"/>
  <c r="AT73" i="23"/>
  <c r="AT72" i="23"/>
  <c r="AN73" i="23"/>
  <c r="AQ73" i="23"/>
  <c r="AQ72" i="23"/>
  <c r="AS73" i="23"/>
  <c r="AS72" i="23"/>
  <c r="AU52" i="23"/>
  <c r="AU68" i="23" s="1"/>
  <c r="AU71" i="23" s="1"/>
  <c r="X14" i="26"/>
  <c r="X20" i="26" s="1"/>
  <c r="X16" i="26" s="1"/>
  <c r="V30" i="23"/>
  <c r="AO73" i="23"/>
  <c r="AO72" i="23"/>
  <c r="AP73" i="23"/>
  <c r="AP72" i="23"/>
  <c r="AX12" i="13"/>
  <c r="AU23" i="23"/>
  <c r="AU25" i="23" s="1"/>
  <c r="AQ24" i="23"/>
  <c r="AO25" i="23"/>
  <c r="AO24" i="23"/>
  <c r="AN25" i="23"/>
  <c r="AT25" i="23"/>
  <c r="AT24" i="23"/>
  <c r="AS25" i="23"/>
  <c r="AS24" i="23"/>
  <c r="AR25" i="23"/>
  <c r="AR24" i="23"/>
  <c r="AP25" i="23"/>
  <c r="AP24" i="23"/>
  <c r="AZ9" i="13"/>
  <c r="AY10" i="13"/>
  <c r="AY11" i="13" s="1"/>
  <c r="AY28" i="13" s="1"/>
  <c r="AJ2" i="2"/>
  <c r="AI1" i="2"/>
  <c r="T95" i="25" l="1"/>
  <c r="T46" i="23"/>
  <c r="S61" i="33"/>
  <c r="S55" i="33" s="1"/>
  <c r="S107" i="25"/>
  <c r="S32" i="4"/>
  <c r="Q35" i="25"/>
  <c r="Q71" i="31" s="1"/>
  <c r="W28" i="23"/>
  <c r="X29" i="23"/>
  <c r="P71" i="31"/>
  <c r="R72" i="33"/>
  <c r="T41" i="4"/>
  <c r="R23" i="31" s="1"/>
  <c r="R30" i="29"/>
  <c r="U72" i="33"/>
  <c r="U30" i="29"/>
  <c r="Q59" i="31"/>
  <c r="S113" i="25"/>
  <c r="S125" i="25" s="1"/>
  <c r="S17" i="25"/>
  <c r="S29" i="25" s="1"/>
  <c r="R53" i="31"/>
  <c r="R65" i="31"/>
  <c r="R23" i="25"/>
  <c r="U55" i="33"/>
  <c r="Q70" i="33"/>
  <c r="Q54" i="33"/>
  <c r="AM36" i="31"/>
  <c r="BO36" i="31" s="1"/>
  <c r="T45" i="23"/>
  <c r="T60" i="33" s="1"/>
  <c r="T101" i="25"/>
  <c r="V45" i="23"/>
  <c r="V60" i="33" s="1"/>
  <c r="V101" i="25"/>
  <c r="AO2" i="4"/>
  <c r="AO1" i="4"/>
  <c r="AI3" i="31"/>
  <c r="U107" i="25"/>
  <c r="AM18" i="25"/>
  <c r="AM30" i="25" s="1"/>
  <c r="AM73" i="23"/>
  <c r="AM30" i="23"/>
  <c r="AN72" i="23"/>
  <c r="V46" i="23"/>
  <c r="V61" i="33" s="1"/>
  <c r="V55" i="33" s="1"/>
  <c r="V95" i="25"/>
  <c r="W29" i="23"/>
  <c r="AL27" i="4"/>
  <c r="AJ6" i="31" s="1"/>
  <c r="AL26" i="4"/>
  <c r="AJ5" i="31" s="1"/>
  <c r="AM8" i="6"/>
  <c r="AL25" i="4"/>
  <c r="AJ4" i="31" s="1"/>
  <c r="AM18" i="4"/>
  <c r="AM17" i="4"/>
  <c r="AM16" i="4"/>
  <c r="AN2" i="4"/>
  <c r="AN1" i="4"/>
  <c r="AU48" i="23"/>
  <c r="AU72" i="23"/>
  <c r="AU73" i="23"/>
  <c r="W30" i="23"/>
  <c r="Y14" i="26"/>
  <c r="Y20" i="26" s="1"/>
  <c r="Y16" i="26" s="1"/>
  <c r="AY12" i="13"/>
  <c r="U4" i="23"/>
  <c r="AU24" i="23"/>
  <c r="BA9" i="13"/>
  <c r="AZ10" i="13"/>
  <c r="AZ11" i="13" s="1"/>
  <c r="AZ28" i="13" s="1"/>
  <c r="AK2" i="2"/>
  <c r="AJ1" i="2"/>
  <c r="T61" i="33" l="1"/>
  <c r="T55" i="33" s="1"/>
  <c r="T107" i="25"/>
  <c r="T32" i="4"/>
  <c r="R35" i="25"/>
  <c r="R71" i="31" s="1"/>
  <c r="AJ3" i="31"/>
  <c r="S35" i="4"/>
  <c r="X28" i="23"/>
  <c r="Y29" i="23"/>
  <c r="V113" i="25"/>
  <c r="V125" i="25" s="1"/>
  <c r="S53" i="31"/>
  <c r="S65" i="31"/>
  <c r="S23" i="25"/>
  <c r="U70" i="33"/>
  <c r="U54" i="33"/>
  <c r="S72" i="33"/>
  <c r="S30" i="29"/>
  <c r="U41" i="4"/>
  <c r="S23" i="31" s="1"/>
  <c r="T113" i="25"/>
  <c r="T125" i="25" s="1"/>
  <c r="R59" i="31"/>
  <c r="R70" i="33"/>
  <c r="R54" i="33"/>
  <c r="AM54" i="31"/>
  <c r="BO54" i="31" s="1"/>
  <c r="AM66" i="31"/>
  <c r="BO66" i="31" s="1"/>
  <c r="W45" i="23"/>
  <c r="W60" i="33" s="1"/>
  <c r="W101" i="25"/>
  <c r="X45" i="23"/>
  <c r="X60" i="33" s="1"/>
  <c r="X101" i="25"/>
  <c r="T17" i="25"/>
  <c r="T29" i="25" s="1"/>
  <c r="F8" i="24"/>
  <c r="E12" i="24"/>
  <c r="F12" i="24"/>
  <c r="D16" i="24"/>
  <c r="D12" i="24"/>
  <c r="F16" i="24"/>
  <c r="E16" i="24"/>
  <c r="D8" i="24"/>
  <c r="E8" i="24"/>
  <c r="AO17" i="4"/>
  <c r="AO26" i="4" s="1"/>
  <c r="AM5" i="31" s="1"/>
  <c r="AO18" i="4"/>
  <c r="AO27" i="4" s="1"/>
  <c r="AM6" i="31" s="1"/>
  <c r="AO16" i="4"/>
  <c r="AO25" i="4" s="1"/>
  <c r="AM4" i="31" s="1"/>
  <c r="V107" i="25"/>
  <c r="AM24" i="25"/>
  <c r="AM36" i="25" s="1"/>
  <c r="U17" i="25"/>
  <c r="U29" i="25" s="1"/>
  <c r="AN14" i="26"/>
  <c r="AN20" i="26" s="1"/>
  <c r="AN16" i="26" s="1"/>
  <c r="AM46" i="23"/>
  <c r="AM61" i="33" s="1"/>
  <c r="AM55" i="33" s="1"/>
  <c r="AM95" i="25"/>
  <c r="W46" i="23"/>
  <c r="W61" i="33" s="1"/>
  <c r="W55" i="33" s="1"/>
  <c r="W95" i="25"/>
  <c r="AM26" i="4"/>
  <c r="AK5" i="31" s="1"/>
  <c r="AM25" i="4"/>
  <c r="AK4" i="31" s="1"/>
  <c r="AM27" i="4"/>
  <c r="AK6" i="31" s="1"/>
  <c r="AN8" i="6"/>
  <c r="E11" i="24"/>
  <c r="D15" i="24"/>
  <c r="D17" i="24" s="1"/>
  <c r="E7" i="24"/>
  <c r="F11" i="24"/>
  <c r="F15" i="24"/>
  <c r="E15" i="24"/>
  <c r="D7" i="24"/>
  <c r="AN18" i="4"/>
  <c r="AN17" i="4"/>
  <c r="AN16" i="4"/>
  <c r="D11" i="24"/>
  <c r="F7" i="24"/>
  <c r="Z14" i="26"/>
  <c r="Z20" i="26" s="1"/>
  <c r="Z16" i="26" s="1"/>
  <c r="X30" i="23"/>
  <c r="AZ12" i="13"/>
  <c r="BB9" i="13"/>
  <c r="BA10" i="13"/>
  <c r="BA11" i="13" s="1"/>
  <c r="BA28" i="13" s="1"/>
  <c r="AL2" i="2"/>
  <c r="AK1" i="2"/>
  <c r="U32" i="4" l="1"/>
  <c r="S35" i="25"/>
  <c r="S71" i="31" s="1"/>
  <c r="Y28" i="23"/>
  <c r="Z29" i="23"/>
  <c r="S70" i="33"/>
  <c r="S54" i="33"/>
  <c r="V72" i="33"/>
  <c r="X41" i="4"/>
  <c r="V23" i="31" s="1"/>
  <c r="V30" i="29"/>
  <c r="T53" i="31"/>
  <c r="T65" i="31"/>
  <c r="T23" i="25"/>
  <c r="T72" i="33"/>
  <c r="T30" i="29"/>
  <c r="V41" i="4"/>
  <c r="T23" i="31" s="1"/>
  <c r="W41" i="4"/>
  <c r="U23" i="31" s="1"/>
  <c r="T35" i="4"/>
  <c r="X113" i="25"/>
  <c r="X125" i="25" s="1"/>
  <c r="S59" i="31"/>
  <c r="U53" i="31"/>
  <c r="U65" i="31"/>
  <c r="U23" i="25"/>
  <c r="U35" i="25" s="1"/>
  <c r="W113" i="25"/>
  <c r="W125" i="25" s="1"/>
  <c r="Y45" i="23"/>
  <c r="Y60" i="33" s="1"/>
  <c r="Y101" i="25"/>
  <c r="AM3" i="31"/>
  <c r="AK3" i="31"/>
  <c r="AM60" i="31"/>
  <c r="BO60" i="31" s="1"/>
  <c r="AO33" i="4"/>
  <c r="W107" i="25"/>
  <c r="AM107" i="25"/>
  <c r="V17" i="25"/>
  <c r="V29" i="25" s="1"/>
  <c r="X46" i="23"/>
  <c r="X61" i="33" s="1"/>
  <c r="X55" i="33" s="1"/>
  <c r="X95" i="25"/>
  <c r="AN27" i="4"/>
  <c r="AL6" i="31" s="1"/>
  <c r="AN25" i="4"/>
  <c r="AL4" i="31" s="1"/>
  <c r="D13" i="24"/>
  <c r="D4" i="24"/>
  <c r="F13" i="24"/>
  <c r="AO8" i="6"/>
  <c r="AN26" i="4"/>
  <c r="AL5" i="31" s="1"/>
  <c r="F4" i="24"/>
  <c r="E4" i="24"/>
  <c r="D3" i="24"/>
  <c r="D9" i="24"/>
  <c r="E9" i="24"/>
  <c r="E3" i="24"/>
  <c r="F9" i="24"/>
  <c r="F3" i="24"/>
  <c r="E17" i="24"/>
  <c r="F17" i="24"/>
  <c r="E13" i="24"/>
  <c r="AA14" i="26"/>
  <c r="AA20" i="26" s="1"/>
  <c r="AA16" i="26" s="1"/>
  <c r="Y30" i="23"/>
  <c r="BA12" i="13"/>
  <c r="BC9" i="13"/>
  <c r="BB10" i="13"/>
  <c r="BB11" i="13" s="1"/>
  <c r="BB28" i="13" s="1"/>
  <c r="AM2" i="2"/>
  <c r="AL1" i="2"/>
  <c r="V32" i="4" l="1"/>
  <c r="T35" i="25"/>
  <c r="AW1" i="33"/>
  <c r="AY1" i="33"/>
  <c r="BA1" i="33"/>
  <c r="AV1" i="33"/>
  <c r="AX1" i="33"/>
  <c r="AZ1" i="33"/>
  <c r="BB1" i="33"/>
  <c r="Z28" i="23"/>
  <c r="AA29" i="23"/>
  <c r="U35" i="4"/>
  <c r="X72" i="33"/>
  <c r="X30" i="29"/>
  <c r="Z41" i="4"/>
  <c r="X23" i="31" s="1"/>
  <c r="U59" i="31"/>
  <c r="T70" i="33"/>
  <c r="T54" i="33"/>
  <c r="V70" i="33"/>
  <c r="V54" i="33"/>
  <c r="W72" i="33"/>
  <c r="W30" i="29"/>
  <c r="Y41" i="4"/>
  <c r="W23" i="31" s="1"/>
  <c r="Y113" i="25"/>
  <c r="Y125" i="25" s="1"/>
  <c r="T59" i="31"/>
  <c r="T71" i="31"/>
  <c r="V53" i="31"/>
  <c r="V65" i="31"/>
  <c r="V23" i="25"/>
  <c r="V35" i="25" s="1"/>
  <c r="Z45" i="23"/>
  <c r="Z60" i="33" s="1"/>
  <c r="Z101" i="25"/>
  <c r="AY1" i="31"/>
  <c r="AX1" i="31"/>
  <c r="AV1" i="31"/>
  <c r="BA1" i="29"/>
  <c r="AZ1" i="31"/>
  <c r="AW1" i="29"/>
  <c r="AX1" i="29"/>
  <c r="AY1" i="29"/>
  <c r="AV1" i="29"/>
  <c r="BB1" i="29"/>
  <c r="BB1" i="31"/>
  <c r="AW1" i="31"/>
  <c r="BA1" i="31"/>
  <c r="AZ1" i="29"/>
  <c r="AL3" i="31"/>
  <c r="BO4" i="31"/>
  <c r="D5" i="24"/>
  <c r="AM72" i="31"/>
  <c r="BO72" i="31" s="1"/>
  <c r="AO36" i="4"/>
  <c r="W32" i="4"/>
  <c r="X107" i="25"/>
  <c r="W17" i="25"/>
  <c r="W29" i="25" s="1"/>
  <c r="Y46" i="23"/>
  <c r="Y61" i="33" s="1"/>
  <c r="Y55" i="33" s="1"/>
  <c r="Y95" i="25"/>
  <c r="DI1" i="10"/>
  <c r="AX2" i="10"/>
  <c r="AP8" i="6"/>
  <c r="BA1" i="23"/>
  <c r="AV1" i="25"/>
  <c r="AW1" i="26"/>
  <c r="AX1" i="26"/>
  <c r="AW1" i="25"/>
  <c r="AX1" i="25"/>
  <c r="AY1" i="26"/>
  <c r="AZ1" i="26"/>
  <c r="AY1" i="25"/>
  <c r="BA1" i="26"/>
  <c r="AZ1" i="25"/>
  <c r="BB1" i="26"/>
  <c r="F5" i="24"/>
  <c r="BA1" i="25"/>
  <c r="E5" i="24"/>
  <c r="BB1" i="25"/>
  <c r="BC1" i="26"/>
  <c r="BA1" i="20"/>
  <c r="AV1" i="23"/>
  <c r="AW1" i="23"/>
  <c r="AX1" i="23"/>
  <c r="AY1" i="23"/>
  <c r="AZ1" i="23"/>
  <c r="AB14" i="26"/>
  <c r="AB20" i="26" s="1"/>
  <c r="AB16" i="26" s="1"/>
  <c r="Z30" i="23"/>
  <c r="BB1" i="20"/>
  <c r="BB1" i="23"/>
  <c r="BB12" i="13"/>
  <c r="BD2" i="10" s="1"/>
  <c r="AY2" i="10"/>
  <c r="AZ2" i="10"/>
  <c r="BA2" i="10"/>
  <c r="BC2" i="10"/>
  <c r="BB2" i="10"/>
  <c r="BD9" i="13"/>
  <c r="BC10" i="13"/>
  <c r="BC11" i="13" s="1"/>
  <c r="BC28" i="13" s="1"/>
  <c r="BB1" i="15"/>
  <c r="AW1" i="11"/>
  <c r="BA1" i="15"/>
  <c r="AX1" i="11"/>
  <c r="BA1" i="22"/>
  <c r="AY1" i="6"/>
  <c r="BB1" i="11"/>
  <c r="AY1" i="10"/>
  <c r="BA1" i="11"/>
  <c r="BE1" i="10"/>
  <c r="BD1" i="10"/>
  <c r="AV1" i="6"/>
  <c r="BA1" i="6"/>
  <c r="AZ1" i="11"/>
  <c r="AY1" i="15"/>
  <c r="AX1" i="6"/>
  <c r="AV1" i="22"/>
  <c r="AY1" i="22"/>
  <c r="DJ1" i="10"/>
  <c r="BA1" i="10"/>
  <c r="AW1" i="15"/>
  <c r="AV1" i="11"/>
  <c r="BC1" i="10"/>
  <c r="AW1" i="22"/>
  <c r="BB1" i="22"/>
  <c r="AX1" i="15"/>
  <c r="AZ1" i="6"/>
  <c r="BB1" i="10"/>
  <c r="AW1" i="6"/>
  <c r="AZ1" i="22"/>
  <c r="BB1" i="6"/>
  <c r="AZ1" i="15"/>
  <c r="AV1" i="15"/>
  <c r="AY1" i="11"/>
  <c r="AZ1" i="10"/>
  <c r="AX1" i="22"/>
  <c r="DK1" i="10"/>
  <c r="DL1" i="10"/>
  <c r="AV1" i="20"/>
  <c r="DM1" i="10"/>
  <c r="AW1" i="20"/>
  <c r="DN1" i="10"/>
  <c r="AX1" i="20"/>
  <c r="DO1" i="10"/>
  <c r="AY1" i="20"/>
  <c r="AZ1" i="20"/>
  <c r="AN2" i="2"/>
  <c r="AM1" i="2"/>
  <c r="BC1" i="31" l="1"/>
  <c r="BC1" i="33"/>
  <c r="AA28" i="23"/>
  <c r="AB29" i="23"/>
  <c r="Y72" i="33"/>
  <c r="Y30" i="29"/>
  <c r="AA41" i="4"/>
  <c r="Y23" i="31" s="1"/>
  <c r="W70" i="33"/>
  <c r="W54" i="33"/>
  <c r="Z113" i="25"/>
  <c r="Z125" i="25" s="1"/>
  <c r="V35" i="4"/>
  <c r="X70" i="33"/>
  <c r="X54" i="33"/>
  <c r="V59" i="31"/>
  <c r="W65" i="31"/>
  <c r="W53" i="31"/>
  <c r="W23" i="25"/>
  <c r="W35" i="25" s="1"/>
  <c r="AA45" i="23"/>
  <c r="AA60" i="33" s="1"/>
  <c r="AA101" i="25"/>
  <c r="BC1" i="29"/>
  <c r="U71" i="31"/>
  <c r="W35" i="4"/>
  <c r="X32" i="4"/>
  <c r="Y107" i="25"/>
  <c r="X17" i="25"/>
  <c r="X29" i="25" s="1"/>
  <c r="Z46" i="23"/>
  <c r="Z61" i="33" s="1"/>
  <c r="Z55" i="33" s="1"/>
  <c r="Z95" i="25"/>
  <c r="DP1" i="10"/>
  <c r="AQ8" i="6"/>
  <c r="BE31" i="10"/>
  <c r="BB53" i="23" s="1"/>
  <c r="BB69" i="23" s="1"/>
  <c r="BE32" i="10"/>
  <c r="AY31" i="10"/>
  <c r="AY32" i="10"/>
  <c r="BC31" i="10"/>
  <c r="AZ53" i="23" s="1"/>
  <c r="AZ69" i="23" s="1"/>
  <c r="BC32" i="10"/>
  <c r="BB31" i="10"/>
  <c r="BB32" i="10"/>
  <c r="BA31" i="10"/>
  <c r="BA32" i="10"/>
  <c r="AZ32" i="10"/>
  <c r="AZ31" i="10"/>
  <c r="AW53" i="23" s="1"/>
  <c r="AW69" i="23" s="1"/>
  <c r="BD32" i="10"/>
  <c r="BD31" i="10"/>
  <c r="AY2" i="23"/>
  <c r="AX2" i="23"/>
  <c r="BC1" i="25"/>
  <c r="BD1" i="26"/>
  <c r="AW2" i="23"/>
  <c r="AU2" i="23"/>
  <c r="AV2" i="23"/>
  <c r="AZ2" i="23"/>
  <c r="AY18" i="10"/>
  <c r="AV39" i="23" s="1"/>
  <c r="AY28" i="10"/>
  <c r="AV63" i="23" s="1"/>
  <c r="BC28" i="10"/>
  <c r="AZ63" i="23" s="1"/>
  <c r="BC18" i="10"/>
  <c r="AZ39" i="23" s="1"/>
  <c r="BB28" i="10"/>
  <c r="AY63" i="23" s="1"/>
  <c r="BB18" i="10"/>
  <c r="AY39" i="23" s="1"/>
  <c r="BA18" i="10"/>
  <c r="AX39" i="23" s="1"/>
  <c r="BA28" i="10"/>
  <c r="AX63" i="23" s="1"/>
  <c r="AZ18" i="10"/>
  <c r="AW39" i="23" s="1"/>
  <c r="AZ28" i="10"/>
  <c r="AW63" i="23" s="1"/>
  <c r="BD28" i="10"/>
  <c r="BA63" i="23" s="1"/>
  <c r="BD18" i="10"/>
  <c r="BA39" i="23" s="1"/>
  <c r="BE28" i="10"/>
  <c r="BB63" i="23" s="1"/>
  <c r="BE18" i="10"/>
  <c r="BB39" i="23" s="1"/>
  <c r="AC14" i="26"/>
  <c r="AC20" i="26" s="1"/>
  <c r="AC16" i="26" s="1"/>
  <c r="AA30" i="23"/>
  <c r="AZ8" i="10"/>
  <c r="AW15" i="23" s="1"/>
  <c r="AZ12" i="10"/>
  <c r="AZ21" i="10"/>
  <c r="AW29" i="23" s="1"/>
  <c r="AW45" i="23" s="1"/>
  <c r="AZ11" i="10"/>
  <c r="AZ22" i="10"/>
  <c r="BA8" i="10"/>
  <c r="AX15" i="23" s="1"/>
  <c r="BA12" i="10"/>
  <c r="BA21" i="10"/>
  <c r="AX29" i="23" s="1"/>
  <c r="AX45" i="23" s="1"/>
  <c r="BA11" i="10"/>
  <c r="BA22" i="10"/>
  <c r="BD8" i="10"/>
  <c r="BA15" i="23" s="1"/>
  <c r="BD11" i="10"/>
  <c r="BD22" i="10"/>
  <c r="BD12" i="10"/>
  <c r="BD21" i="10"/>
  <c r="BA29" i="23" s="1"/>
  <c r="BA45" i="23" s="1"/>
  <c r="BE8" i="10"/>
  <c r="BB15" i="23" s="1"/>
  <c r="BE11" i="10"/>
  <c r="BE22" i="10"/>
  <c r="BE12" i="10"/>
  <c r="BE21" i="10"/>
  <c r="BB29" i="23" s="1"/>
  <c r="BB45" i="23" s="1"/>
  <c r="BA2" i="23"/>
  <c r="BB8" i="10"/>
  <c r="AY15" i="23" s="1"/>
  <c r="BB21" i="10"/>
  <c r="AY29" i="23" s="1"/>
  <c r="AY45" i="23" s="1"/>
  <c r="BB11" i="10"/>
  <c r="BB22" i="10"/>
  <c r="BB12" i="10"/>
  <c r="AY8" i="10"/>
  <c r="AV15" i="23" s="1"/>
  <c r="AY12" i="10"/>
  <c r="AY21" i="10"/>
  <c r="AV29" i="23" s="1"/>
  <c r="AV45" i="23" s="1"/>
  <c r="AY11" i="10"/>
  <c r="AY22" i="10"/>
  <c r="BC1" i="23"/>
  <c r="BC12" i="13"/>
  <c r="BC8" i="10"/>
  <c r="AZ15" i="23" s="1"/>
  <c r="BC11" i="10"/>
  <c r="BC22" i="10"/>
  <c r="BC12" i="10"/>
  <c r="BC21" i="10"/>
  <c r="AZ29" i="23" s="1"/>
  <c r="AZ45" i="23" s="1"/>
  <c r="BB3" i="10"/>
  <c r="AY3" i="10"/>
  <c r="AX3" i="10"/>
  <c r="BC3" i="10"/>
  <c r="BA3" i="10"/>
  <c r="AZ3" i="10"/>
  <c r="BD3" i="10"/>
  <c r="BC1" i="15"/>
  <c r="BF1" i="10"/>
  <c r="BC1" i="22"/>
  <c r="BC1" i="20"/>
  <c r="BC1" i="6"/>
  <c r="BC1" i="11"/>
  <c r="BE9" i="13"/>
  <c r="BD10" i="13"/>
  <c r="BD11" i="13" s="1"/>
  <c r="BD28" i="13" s="1"/>
  <c r="AO2" i="2"/>
  <c r="AN1" i="2"/>
  <c r="AB28" i="23" l="1"/>
  <c r="Z72" i="33"/>
  <c r="Z30" i="29"/>
  <c r="AB41" i="4"/>
  <c r="Z23" i="31" s="1"/>
  <c r="AA113" i="25"/>
  <c r="AA125" i="25" s="1"/>
  <c r="Y70" i="33"/>
  <c r="Y54" i="33"/>
  <c r="W59" i="31"/>
  <c r="X65" i="31"/>
  <c r="X53" i="31"/>
  <c r="X23" i="25"/>
  <c r="X35" i="25" s="1"/>
  <c r="AB45" i="23"/>
  <c r="AB60" i="33" s="1"/>
  <c r="AB101" i="25"/>
  <c r="Y32" i="4"/>
  <c r="X35" i="4"/>
  <c r="V71" i="31"/>
  <c r="Y17" i="25"/>
  <c r="Y29" i="25" s="1"/>
  <c r="Z107" i="25"/>
  <c r="AA46" i="23"/>
  <c r="AA61" i="33" s="1"/>
  <c r="AA95" i="25"/>
  <c r="BE2" i="10"/>
  <c r="AR8" i="6"/>
  <c r="BF31" i="10"/>
  <c r="BC53" i="23" s="1"/>
  <c r="BC69" i="23" s="1"/>
  <c r="BF32" i="10"/>
  <c r="BB54" i="23"/>
  <c r="BB70" i="23" s="1"/>
  <c r="BC24" i="26"/>
  <c r="BC30" i="26" s="1"/>
  <c r="BC26" i="26" s="1"/>
  <c r="AY6" i="23"/>
  <c r="AY22" i="23" s="1"/>
  <c r="AZ4" i="26"/>
  <c r="AZ10" i="26" s="1"/>
  <c r="AZ6" i="26" s="1"/>
  <c r="BB30" i="23"/>
  <c r="BB46" i="23" s="1"/>
  <c r="BC14" i="26"/>
  <c r="BC20" i="26" s="1"/>
  <c r="BC16" i="26" s="1"/>
  <c r="BA6" i="23"/>
  <c r="BA22" i="23" s="1"/>
  <c r="BB4" i="26"/>
  <c r="BB10" i="26" s="1"/>
  <c r="BB6" i="26" s="1"/>
  <c r="AX54" i="23"/>
  <c r="AX70" i="23" s="1"/>
  <c r="AY24" i="26"/>
  <c r="AY30" i="26" s="1"/>
  <c r="AY26" i="26" s="1"/>
  <c r="AZ6" i="23"/>
  <c r="AZ22" i="23" s="1"/>
  <c r="BA4" i="26"/>
  <c r="BA10" i="26" s="1"/>
  <c r="BA6" i="26" s="1"/>
  <c r="AY30" i="23"/>
  <c r="AY46" i="23" s="1"/>
  <c r="AZ14" i="26"/>
  <c r="AZ20" i="26" s="1"/>
  <c r="AZ16" i="26" s="1"/>
  <c r="AY54" i="23"/>
  <c r="AY70" i="23" s="1"/>
  <c r="AZ24" i="26"/>
  <c r="AZ30" i="26" s="1"/>
  <c r="AZ26" i="26" s="1"/>
  <c r="BA30" i="23"/>
  <c r="BA46" i="23" s="1"/>
  <c r="BB14" i="26"/>
  <c r="BB20" i="26" s="1"/>
  <c r="BB16" i="26" s="1"/>
  <c r="AZ54" i="23"/>
  <c r="AZ70" i="23" s="1"/>
  <c r="BA24" i="26"/>
  <c r="BA30" i="26" s="1"/>
  <c r="BA26" i="26" s="1"/>
  <c r="AV30" i="23"/>
  <c r="AV46" i="23" s="1"/>
  <c r="AW14" i="26"/>
  <c r="AW20" i="26" s="1"/>
  <c r="AW16" i="26" s="1"/>
  <c r="AV6" i="23"/>
  <c r="AV22" i="23" s="1"/>
  <c r="AW4" i="26"/>
  <c r="AW10" i="26" s="1"/>
  <c r="AW6" i="26" s="1"/>
  <c r="AW6" i="23"/>
  <c r="AW22" i="23" s="1"/>
  <c r="AX4" i="26"/>
  <c r="AX10" i="26" s="1"/>
  <c r="AX6" i="26" s="1"/>
  <c r="AX30" i="23"/>
  <c r="AX46" i="23" s="1"/>
  <c r="AY14" i="26"/>
  <c r="AY20" i="26" s="1"/>
  <c r="AY16" i="26" s="1"/>
  <c r="AZ30" i="23"/>
  <c r="AZ46" i="23" s="1"/>
  <c r="BA14" i="26"/>
  <c r="BA20" i="26" s="1"/>
  <c r="BA16" i="26" s="1"/>
  <c r="BB6" i="23"/>
  <c r="BB22" i="23" s="1"/>
  <c r="BC4" i="26"/>
  <c r="BC10" i="26" s="1"/>
  <c r="BC6" i="26" s="1"/>
  <c r="BA54" i="23"/>
  <c r="BA70" i="23" s="1"/>
  <c r="BB24" i="26"/>
  <c r="BB30" i="26" s="1"/>
  <c r="BB26" i="26" s="1"/>
  <c r="AX6" i="23"/>
  <c r="AX22" i="23" s="1"/>
  <c r="AY4" i="26"/>
  <c r="AY10" i="26" s="1"/>
  <c r="AY6" i="26" s="1"/>
  <c r="AV54" i="23"/>
  <c r="AV70" i="23" s="1"/>
  <c r="AW24" i="26"/>
  <c r="AW30" i="26" s="1"/>
  <c r="AW26" i="26" s="1"/>
  <c r="AW30" i="23"/>
  <c r="AW46" i="23" s="1"/>
  <c r="AX14" i="26"/>
  <c r="AX20" i="26" s="1"/>
  <c r="AX16" i="26" s="1"/>
  <c r="AW54" i="23"/>
  <c r="AW70" i="23" s="1"/>
  <c r="AX24" i="26"/>
  <c r="AX30" i="26" s="1"/>
  <c r="AX26" i="26" s="1"/>
  <c r="BF18" i="10"/>
  <c r="BC39" i="23" s="1"/>
  <c r="BF28" i="10"/>
  <c r="BC63" i="23" s="1"/>
  <c r="AD14" i="26"/>
  <c r="AD20" i="26" s="1"/>
  <c r="AD16" i="26" s="1"/>
  <c r="AB30" i="23"/>
  <c r="AX53" i="23"/>
  <c r="AX69" i="23" s="1"/>
  <c r="AV53" i="23"/>
  <c r="AV69" i="23" s="1"/>
  <c r="AY53" i="23"/>
  <c r="AY69" i="23" s="1"/>
  <c r="BA53" i="23"/>
  <c r="BA69" i="23" s="1"/>
  <c r="BA20" i="10"/>
  <c r="AX28" i="23" s="1"/>
  <c r="AX44" i="23" s="1"/>
  <c r="BC30" i="10"/>
  <c r="AY20" i="10"/>
  <c r="AV28" i="23" s="1"/>
  <c r="AV44" i="23" s="1"/>
  <c r="BE30" i="10"/>
  <c r="BC20" i="10"/>
  <c r="AZ28" i="23" s="1"/>
  <c r="AZ44" i="23" s="1"/>
  <c r="BB20" i="10"/>
  <c r="AY28" i="23" s="1"/>
  <c r="AY44" i="23" s="1"/>
  <c r="BE20" i="10"/>
  <c r="BB28" i="23" s="1"/>
  <c r="BB44" i="23" s="1"/>
  <c r="BD12" i="13"/>
  <c r="AZ20" i="10"/>
  <c r="AW28" i="23" s="1"/>
  <c r="AW44" i="23" s="1"/>
  <c r="AZ30" i="10"/>
  <c r="AY30" i="10"/>
  <c r="BD30" i="10"/>
  <c r="BB30" i="10"/>
  <c r="BD20" i="10"/>
  <c r="BA28" i="23" s="1"/>
  <c r="BA44" i="23" s="1"/>
  <c r="BF8" i="10"/>
  <c r="BC15" i="23" s="1"/>
  <c r="BF22" i="10"/>
  <c r="BF12" i="10"/>
  <c r="BF21" i="10"/>
  <c r="BC29" i="23" s="1"/>
  <c r="BC45" i="23" s="1"/>
  <c r="BF11" i="10"/>
  <c r="BA30" i="10"/>
  <c r="BB2" i="23"/>
  <c r="BA5" i="23"/>
  <c r="BA21" i="23" s="1"/>
  <c r="BD10" i="10"/>
  <c r="BA4" i="23" s="1"/>
  <c r="BA20" i="23" s="1"/>
  <c r="AX5" i="23"/>
  <c r="AX21" i="23" s="1"/>
  <c r="BA10" i="10"/>
  <c r="AX4" i="23" s="1"/>
  <c r="AX20" i="23" s="1"/>
  <c r="BB5" i="23"/>
  <c r="BB21" i="23" s="1"/>
  <c r="BE10" i="10"/>
  <c r="BB4" i="23" s="1"/>
  <c r="BB20" i="23" s="1"/>
  <c r="AW5" i="23"/>
  <c r="AW21" i="23" s="1"/>
  <c r="AZ10" i="10"/>
  <c r="AW4" i="23" s="1"/>
  <c r="AW20" i="23" s="1"/>
  <c r="AZ5" i="23"/>
  <c r="AZ21" i="23" s="1"/>
  <c r="BC10" i="10"/>
  <c r="AZ4" i="23" s="1"/>
  <c r="AZ20" i="23" s="1"/>
  <c r="BE3" i="10"/>
  <c r="AV5" i="23"/>
  <c r="AV21" i="23" s="1"/>
  <c r="AY10" i="10"/>
  <c r="AV4" i="23" s="1"/>
  <c r="AV20" i="23" s="1"/>
  <c r="AY5" i="23"/>
  <c r="AY21" i="23" s="1"/>
  <c r="BB10" i="10"/>
  <c r="AY4" i="23" s="1"/>
  <c r="AY20" i="23" s="1"/>
  <c r="BF9" i="13"/>
  <c r="BE10" i="13"/>
  <c r="BE11" i="13" s="1"/>
  <c r="BE28" i="13" s="1"/>
  <c r="AP2" i="2"/>
  <c r="AO1" i="2"/>
  <c r="AC28" i="23" l="1"/>
  <c r="AA55" i="33"/>
  <c r="AB113" i="25"/>
  <c r="AB125" i="25" s="1"/>
  <c r="AA72" i="33"/>
  <c r="AA30" i="29"/>
  <c r="AC41" i="4"/>
  <c r="AA23" i="31" s="1"/>
  <c r="BN23" i="31" s="1"/>
  <c r="Z70" i="33"/>
  <c r="Z54" i="33"/>
  <c r="Y65" i="31"/>
  <c r="Y53" i="31"/>
  <c r="Y23" i="25"/>
  <c r="Y35" i="25" s="1"/>
  <c r="X59" i="31"/>
  <c r="W71" i="31"/>
  <c r="Y35" i="4"/>
  <c r="Z32" i="4"/>
  <c r="Z17" i="25"/>
  <c r="Z29" i="25" s="1"/>
  <c r="AA107" i="25"/>
  <c r="AB46" i="23"/>
  <c r="AB61" i="33" s="1"/>
  <c r="AB95" i="25"/>
  <c r="AS8" i="6"/>
  <c r="AW47" i="23"/>
  <c r="AW49" i="23" s="1"/>
  <c r="BB47" i="23"/>
  <c r="BB49" i="23" s="1"/>
  <c r="AY47" i="23"/>
  <c r="AY49" i="23" s="1"/>
  <c r="AZ47" i="23"/>
  <c r="AZ49" i="23" s="1"/>
  <c r="AV47" i="23"/>
  <c r="AV49" i="23" s="1"/>
  <c r="AX47" i="23"/>
  <c r="AX49" i="23" s="1"/>
  <c r="AC29" i="23"/>
  <c r="BA47" i="23"/>
  <c r="BC6" i="23"/>
  <c r="BC22" i="23" s="1"/>
  <c r="BD4" i="26"/>
  <c r="BD10" i="26" s="1"/>
  <c r="BD6" i="26" s="1"/>
  <c r="BC30" i="23"/>
  <c r="BC46" i="23" s="1"/>
  <c r="BD14" i="26"/>
  <c r="BD20" i="26" s="1"/>
  <c r="BD16" i="26" s="1"/>
  <c r="BC54" i="23"/>
  <c r="BC70" i="23" s="1"/>
  <c r="BD24" i="26"/>
  <c r="BD30" i="26" s="1"/>
  <c r="BD26" i="26" s="1"/>
  <c r="AZ52" i="23"/>
  <c r="AZ68" i="23" s="1"/>
  <c r="AZ71" i="23" s="1"/>
  <c r="AW52" i="23"/>
  <c r="AW68" i="23" s="1"/>
  <c r="AW71" i="23" s="1"/>
  <c r="AX52" i="23"/>
  <c r="AX68" i="23" s="1"/>
  <c r="AX71" i="23" s="1"/>
  <c r="AV52" i="23"/>
  <c r="AV68" i="23" s="1"/>
  <c r="AV71" i="23" s="1"/>
  <c r="AY52" i="23"/>
  <c r="AY68" i="23" s="1"/>
  <c r="AY71" i="23" s="1"/>
  <c r="BB52" i="23"/>
  <c r="BB68" i="23" s="1"/>
  <c r="BB71" i="23" s="1"/>
  <c r="AE14" i="26"/>
  <c r="AE20" i="26" s="1"/>
  <c r="AE16" i="26" s="1"/>
  <c r="AC30" i="23"/>
  <c r="BA52" i="23"/>
  <c r="BA68" i="23" s="1"/>
  <c r="BA71" i="23" s="1"/>
  <c r="BF20" i="10"/>
  <c r="BC28" i="23" s="1"/>
  <c r="BC44" i="23" s="1"/>
  <c r="BF30" i="10"/>
  <c r="BE12" i="13"/>
  <c r="AV23" i="23"/>
  <c r="AV25" i="23" s="1"/>
  <c r="AX23" i="23"/>
  <c r="BA23" i="23"/>
  <c r="BC5" i="23"/>
  <c r="BC21" i="23" s="1"/>
  <c r="BF10" i="10"/>
  <c r="BC4" i="23" s="1"/>
  <c r="BC20" i="23" s="1"/>
  <c r="AZ23" i="23"/>
  <c r="AY23" i="23"/>
  <c r="AW23" i="23"/>
  <c r="BB23" i="23"/>
  <c r="BG9" i="13"/>
  <c r="BF10" i="13"/>
  <c r="BF11" i="13" s="1"/>
  <c r="BF28" i="13" s="1"/>
  <c r="AQ2" i="2"/>
  <c r="AP1" i="2"/>
  <c r="BE1" i="33" l="1"/>
  <c r="BD1" i="33"/>
  <c r="BF1" i="33"/>
  <c r="AD28" i="23"/>
  <c r="AB55" i="33"/>
  <c r="AA70" i="33"/>
  <c r="AA54" i="33"/>
  <c r="AB72" i="33"/>
  <c r="AB30" i="29"/>
  <c r="AD41" i="4"/>
  <c r="AB23" i="31" s="1"/>
  <c r="Z53" i="31"/>
  <c r="Z65" i="31"/>
  <c r="Z23" i="25"/>
  <c r="Z35" i="25" s="1"/>
  <c r="Y59" i="31"/>
  <c r="AC45" i="23"/>
  <c r="AC60" i="33" s="1"/>
  <c r="AC101" i="25"/>
  <c r="BF1" i="31"/>
  <c r="BF1" i="29"/>
  <c r="BD1" i="31"/>
  <c r="BD1" i="29"/>
  <c r="BE1" i="29"/>
  <c r="BE1" i="31"/>
  <c r="AA32" i="4"/>
  <c r="Z35" i="4"/>
  <c r="X71" i="31"/>
  <c r="AA17" i="25"/>
  <c r="AA29" i="25" s="1"/>
  <c r="AB107" i="25"/>
  <c r="AC46" i="23"/>
  <c r="AC61" i="33" s="1"/>
  <c r="AC55" i="33" s="1"/>
  <c r="AC95" i="25"/>
  <c r="BE1" i="25"/>
  <c r="DQ1" i="10"/>
  <c r="BF2" i="10"/>
  <c r="AT8" i="6"/>
  <c r="BA48" i="23"/>
  <c r="BF1" i="26"/>
  <c r="BD1" i="25"/>
  <c r="BE1" i="26"/>
  <c r="BE1" i="23"/>
  <c r="AX48" i="23"/>
  <c r="AZ48" i="23"/>
  <c r="AY48" i="23"/>
  <c r="BA49" i="23"/>
  <c r="BB48" i="23"/>
  <c r="AV48" i="23"/>
  <c r="AW48" i="23"/>
  <c r="BF1" i="25"/>
  <c r="BG1" i="26"/>
  <c r="AD29" i="23"/>
  <c r="BC47" i="23"/>
  <c r="BC49" i="23" s="1"/>
  <c r="BG2" i="10"/>
  <c r="BD1" i="23"/>
  <c r="BC2" i="23" s="1"/>
  <c r="BA73" i="23"/>
  <c r="BA72" i="23"/>
  <c r="AX73" i="23"/>
  <c r="AX72" i="23"/>
  <c r="AV72" i="23"/>
  <c r="AV73" i="23"/>
  <c r="AW73" i="23"/>
  <c r="AW72" i="23"/>
  <c r="BB73" i="23"/>
  <c r="BB72" i="23"/>
  <c r="BC52" i="23"/>
  <c r="BC68" i="23" s="1"/>
  <c r="BC71" i="23" s="1"/>
  <c r="AF14" i="26"/>
  <c r="AF20" i="26" s="1"/>
  <c r="AF16" i="26" s="1"/>
  <c r="AD30" i="23"/>
  <c r="AZ73" i="23"/>
  <c r="AZ72" i="23"/>
  <c r="AY72" i="23"/>
  <c r="AY73" i="23"/>
  <c r="BF1" i="20"/>
  <c r="BF1" i="23"/>
  <c r="BF12" i="13"/>
  <c r="AV24" i="23"/>
  <c r="BB25" i="23"/>
  <c r="BB24" i="23"/>
  <c r="AW25" i="23"/>
  <c r="AW24" i="23"/>
  <c r="AX25" i="23"/>
  <c r="AX24" i="23"/>
  <c r="AY25" i="23"/>
  <c r="AY24" i="23"/>
  <c r="AZ25" i="23"/>
  <c r="AZ24" i="23"/>
  <c r="BA25" i="23"/>
  <c r="BA24" i="23"/>
  <c r="BC23" i="23"/>
  <c r="BH9" i="13"/>
  <c r="BG10" i="13"/>
  <c r="BG11" i="13" s="1"/>
  <c r="BG28" i="13" s="1"/>
  <c r="DR1" i="10"/>
  <c r="BD1" i="15"/>
  <c r="BG1" i="10"/>
  <c r="BH1" i="10"/>
  <c r="BI1" i="10"/>
  <c r="BD1" i="6"/>
  <c r="BD1" i="11"/>
  <c r="BF1" i="15"/>
  <c r="BE1" i="22"/>
  <c r="DS1" i="10"/>
  <c r="BE1" i="6"/>
  <c r="BF1" i="11"/>
  <c r="BE1" i="15"/>
  <c r="BF1" i="22"/>
  <c r="BF1" i="6"/>
  <c r="BD1" i="22"/>
  <c r="BE1" i="11"/>
  <c r="BD1" i="20"/>
  <c r="BE1" i="20"/>
  <c r="AR2" i="2"/>
  <c r="AQ1" i="2"/>
  <c r="BG1" i="29" l="1"/>
  <c r="BG1" i="33"/>
  <c r="AE28" i="23"/>
  <c r="AB70" i="33"/>
  <c r="AB54" i="33"/>
  <c r="AC113" i="25"/>
  <c r="AC125" i="25" s="1"/>
  <c r="AA65" i="31"/>
  <c r="BN65" i="31" s="1"/>
  <c r="AA53" i="31"/>
  <c r="BN53" i="31" s="1"/>
  <c r="AA23" i="25"/>
  <c r="AA35" i="25" s="1"/>
  <c r="Z59" i="31"/>
  <c r="AD45" i="23"/>
  <c r="AD60" i="33" s="1"/>
  <c r="AD101" i="25"/>
  <c r="AB32" i="4"/>
  <c r="Y71" i="31"/>
  <c r="AA35" i="4"/>
  <c r="AC107" i="25"/>
  <c r="AB17" i="25"/>
  <c r="AB29" i="25" s="1"/>
  <c r="AD46" i="23"/>
  <c r="AD61" i="33" s="1"/>
  <c r="AD55" i="33" s="1"/>
  <c r="AD95" i="25"/>
  <c r="DT1" i="10"/>
  <c r="BH2" i="10"/>
  <c r="AU8" i="6"/>
  <c r="BI31" i="10"/>
  <c r="BF53" i="23" s="1"/>
  <c r="BF69" i="23" s="1"/>
  <c r="BI32" i="10"/>
  <c r="BG31" i="10"/>
  <c r="BD53" i="23" s="1"/>
  <c r="BD69" i="23" s="1"/>
  <c r="BG32" i="10"/>
  <c r="BH32" i="10"/>
  <c r="BH31" i="10"/>
  <c r="BE53" i="23" s="1"/>
  <c r="BE69" i="23" s="1"/>
  <c r="BD2" i="23"/>
  <c r="BC48" i="23"/>
  <c r="BH1" i="26"/>
  <c r="BG1" i="25"/>
  <c r="AE29" i="23"/>
  <c r="BI18" i="10"/>
  <c r="BF39" i="23" s="1"/>
  <c r="BI28" i="10"/>
  <c r="BF63" i="23" s="1"/>
  <c r="BH18" i="10"/>
  <c r="BE39" i="23" s="1"/>
  <c r="BH28" i="10"/>
  <c r="BE63" i="23" s="1"/>
  <c r="BG18" i="10"/>
  <c r="BD39" i="23" s="1"/>
  <c r="BG28" i="10"/>
  <c r="BD63" i="23" s="1"/>
  <c r="BC73" i="23"/>
  <c r="BC72" i="23"/>
  <c r="AE30" i="23"/>
  <c r="BI8" i="10"/>
  <c r="BF15" i="23" s="1"/>
  <c r="BI12" i="10"/>
  <c r="BI21" i="10"/>
  <c r="BF29" i="23" s="1"/>
  <c r="BF45" i="23" s="1"/>
  <c r="BI11" i="10"/>
  <c r="BI22" i="10"/>
  <c r="BH8" i="10"/>
  <c r="BE15" i="23" s="1"/>
  <c r="BH12" i="10"/>
  <c r="BH21" i="10"/>
  <c r="BE29" i="23" s="1"/>
  <c r="BE45" i="23" s="1"/>
  <c r="BH11" i="10"/>
  <c r="BH22" i="10"/>
  <c r="BG8" i="10"/>
  <c r="BD15" i="23" s="1"/>
  <c r="BG12" i="10"/>
  <c r="BG21" i="10"/>
  <c r="BD29" i="23" s="1"/>
  <c r="BD45" i="23" s="1"/>
  <c r="BG11" i="10"/>
  <c r="BG22" i="10"/>
  <c r="BG1" i="20"/>
  <c r="BG1" i="23"/>
  <c r="BG12" i="13"/>
  <c r="BE2" i="23"/>
  <c r="BC25" i="23"/>
  <c r="BC24" i="23"/>
  <c r="BG3" i="10"/>
  <c r="BF3" i="10"/>
  <c r="BH3" i="10"/>
  <c r="BG1" i="11"/>
  <c r="BG1" i="15"/>
  <c r="BG1" i="22"/>
  <c r="BG1" i="6"/>
  <c r="BJ1" i="10"/>
  <c r="BI9" i="13"/>
  <c r="BH10" i="13"/>
  <c r="BH11" i="13" s="1"/>
  <c r="BH28" i="13" s="1"/>
  <c r="AS2" i="2"/>
  <c r="AR1" i="2"/>
  <c r="BH1" i="33" l="1"/>
  <c r="AF28" i="23"/>
  <c r="AC72" i="33"/>
  <c r="AC30" i="29"/>
  <c r="AE41" i="4"/>
  <c r="AC23" i="31" s="1"/>
  <c r="AD113" i="25"/>
  <c r="AD125" i="25" s="1"/>
  <c r="AA59" i="31"/>
  <c r="BN59" i="31" s="1"/>
  <c r="AA71" i="31"/>
  <c r="BN71" i="31" s="1"/>
  <c r="AB53" i="31"/>
  <c r="AB65" i="31"/>
  <c r="AB23" i="25"/>
  <c r="AB35" i="25" s="1"/>
  <c r="AE45" i="23"/>
  <c r="AE60" i="33" s="1"/>
  <c r="AE101" i="25"/>
  <c r="AC32" i="4"/>
  <c r="DU1" i="10"/>
  <c r="BH1" i="29"/>
  <c r="Z71" i="31"/>
  <c r="AB35" i="4"/>
  <c r="AC17" i="25"/>
  <c r="AC29" i="25" s="1"/>
  <c r="AD107" i="25"/>
  <c r="AE46" i="23"/>
  <c r="AE61" i="33" s="1"/>
  <c r="AE95" i="25"/>
  <c r="BI2" i="10"/>
  <c r="AV8" i="6"/>
  <c r="AG14" i="26"/>
  <c r="AG20" i="26" s="1"/>
  <c r="AG16" i="26" s="1"/>
  <c r="BJ32" i="10"/>
  <c r="BJ31" i="10"/>
  <c r="BH1" i="25"/>
  <c r="BI1" i="26"/>
  <c r="AF29" i="23"/>
  <c r="BF6" i="23"/>
  <c r="BF22" i="23" s="1"/>
  <c r="BG4" i="26"/>
  <c r="BG10" i="26" s="1"/>
  <c r="BG6" i="26" s="1"/>
  <c r="BD6" i="23"/>
  <c r="BD22" i="23" s="1"/>
  <c r="BE4" i="26"/>
  <c r="BE10" i="26" s="1"/>
  <c r="BE6" i="26" s="1"/>
  <c r="BE6" i="23"/>
  <c r="BE22" i="23" s="1"/>
  <c r="BF4" i="26"/>
  <c r="BF10" i="26" s="1"/>
  <c r="BF6" i="26" s="1"/>
  <c r="BF54" i="23"/>
  <c r="BF70" i="23" s="1"/>
  <c r="BG24" i="26"/>
  <c r="BG30" i="26" s="1"/>
  <c r="BG26" i="26" s="1"/>
  <c r="BD54" i="23"/>
  <c r="BD70" i="23" s="1"/>
  <c r="BE24" i="26"/>
  <c r="BE30" i="26" s="1"/>
  <c r="BE26" i="26" s="1"/>
  <c r="BE30" i="23"/>
  <c r="BE46" i="23" s="1"/>
  <c r="BF14" i="26"/>
  <c r="BF20" i="26" s="1"/>
  <c r="BF16" i="26" s="1"/>
  <c r="BE54" i="23"/>
  <c r="BE70" i="23" s="1"/>
  <c r="BF24" i="26"/>
  <c r="BF30" i="26" s="1"/>
  <c r="BF26" i="26" s="1"/>
  <c r="BF30" i="23"/>
  <c r="BF46" i="23" s="1"/>
  <c r="BG14" i="26"/>
  <c r="BG20" i="26" s="1"/>
  <c r="BG16" i="26" s="1"/>
  <c r="BD30" i="23"/>
  <c r="BD46" i="23" s="1"/>
  <c r="BE14" i="26"/>
  <c r="BE20" i="26" s="1"/>
  <c r="BE16" i="26" s="1"/>
  <c r="BJ28" i="10"/>
  <c r="BG63" i="23" s="1"/>
  <c r="BJ18" i="10"/>
  <c r="BG39" i="23" s="1"/>
  <c r="AF30" i="23"/>
  <c r="BI30" i="10"/>
  <c r="BH20" i="10"/>
  <c r="BE28" i="23" s="1"/>
  <c r="BE44" i="23" s="1"/>
  <c r="BH30" i="10"/>
  <c r="BG30" i="10"/>
  <c r="BJ8" i="10"/>
  <c r="BG15" i="23" s="1"/>
  <c r="BJ21" i="10"/>
  <c r="BG29" i="23" s="1"/>
  <c r="BG45" i="23" s="1"/>
  <c r="BJ11" i="10"/>
  <c r="BJ22" i="10"/>
  <c r="BJ12" i="10"/>
  <c r="BI20" i="10"/>
  <c r="BF28" i="23" s="1"/>
  <c r="BF44" i="23" s="1"/>
  <c r="BH1" i="20"/>
  <c r="BH1" i="23"/>
  <c r="BG2" i="23" s="1"/>
  <c r="BH12" i="13"/>
  <c r="BG20" i="10"/>
  <c r="BD28" i="23" s="1"/>
  <c r="BD44" i="23" s="1"/>
  <c r="BF2" i="23"/>
  <c r="BD5" i="23"/>
  <c r="BD21" i="23" s="1"/>
  <c r="BG10" i="10"/>
  <c r="BD4" i="23" s="1"/>
  <c r="BD20" i="23" s="1"/>
  <c r="BF5" i="23"/>
  <c r="BF21" i="23" s="1"/>
  <c r="BI10" i="10"/>
  <c r="BF4" i="23" s="1"/>
  <c r="BF20" i="23" s="1"/>
  <c r="BE5" i="23"/>
  <c r="BE21" i="23" s="1"/>
  <c r="BH10" i="10"/>
  <c r="BE4" i="23" s="1"/>
  <c r="BE20" i="23" s="1"/>
  <c r="BI3" i="10"/>
  <c r="BJ9" i="13"/>
  <c r="BI10" i="13"/>
  <c r="BI11" i="13" s="1"/>
  <c r="BI28" i="13" s="1"/>
  <c r="DV1" i="10"/>
  <c r="BK1" i="10"/>
  <c r="BH1" i="15"/>
  <c r="BH1" i="11"/>
  <c r="BH1" i="22"/>
  <c r="BH1" i="6"/>
  <c r="AT2" i="2"/>
  <c r="AS1" i="2"/>
  <c r="BI1" i="33" l="1"/>
  <c r="AG28" i="23"/>
  <c r="AH29" i="23"/>
  <c r="AD72" i="33"/>
  <c r="AD30" i="29"/>
  <c r="AF41" i="4"/>
  <c r="AD23" i="31" s="1"/>
  <c r="AE55" i="33"/>
  <c r="AC35" i="4"/>
  <c r="AE113" i="25"/>
  <c r="AE125" i="25" s="1"/>
  <c r="AC70" i="33"/>
  <c r="AC54" i="33"/>
  <c r="AB59" i="31"/>
  <c r="AC65" i="31"/>
  <c r="AC53" i="31"/>
  <c r="AC23" i="25"/>
  <c r="AC35" i="25" s="1"/>
  <c r="AF45" i="23"/>
  <c r="AF60" i="33" s="1"/>
  <c r="AF101" i="25"/>
  <c r="BG1" i="31"/>
  <c r="BH1" i="31"/>
  <c r="BI1" i="31"/>
  <c r="BI1" i="29"/>
  <c r="AD32" i="4"/>
  <c r="AD17" i="25"/>
  <c r="AD29" i="25" s="1"/>
  <c r="AE107" i="25"/>
  <c r="AF46" i="23"/>
  <c r="AF61" i="33" s="1"/>
  <c r="AF95" i="25"/>
  <c r="AG29" i="23"/>
  <c r="BJ2" i="10"/>
  <c r="AW8" i="6"/>
  <c r="BK32" i="10"/>
  <c r="BK31" i="10"/>
  <c r="BH53" i="23" s="1"/>
  <c r="BH69" i="23" s="1"/>
  <c r="AG30" i="23"/>
  <c r="AH14" i="26"/>
  <c r="AH20" i="26" s="1"/>
  <c r="AH16" i="26" s="1"/>
  <c r="BF47" i="23"/>
  <c r="BF49" i="23" s="1"/>
  <c r="BD47" i="23"/>
  <c r="BD48" i="23" s="1"/>
  <c r="BE47" i="23"/>
  <c r="BI1" i="25"/>
  <c r="BJ1" i="26"/>
  <c r="BG6" i="23"/>
  <c r="BG22" i="23" s="1"/>
  <c r="BH4" i="26"/>
  <c r="BH10" i="26" s="1"/>
  <c r="BH6" i="26" s="1"/>
  <c r="BG54" i="23"/>
  <c r="BG70" i="23" s="1"/>
  <c r="BH24" i="26"/>
  <c r="BH30" i="26" s="1"/>
  <c r="BH26" i="26" s="1"/>
  <c r="BG30" i="23"/>
  <c r="BG46" i="23" s="1"/>
  <c r="BH14" i="26"/>
  <c r="BH20" i="26" s="1"/>
  <c r="BH16" i="26" s="1"/>
  <c r="BK28" i="10"/>
  <c r="BH63" i="23" s="1"/>
  <c r="BK18" i="10"/>
  <c r="BH39" i="23" s="1"/>
  <c r="BF52" i="23"/>
  <c r="BF68" i="23" s="1"/>
  <c r="BF71" i="23" s="1"/>
  <c r="BD52" i="23"/>
  <c r="BD68" i="23" s="1"/>
  <c r="BD71" i="23" s="1"/>
  <c r="BE52" i="23"/>
  <c r="BE68" i="23" s="1"/>
  <c r="BE71" i="23" s="1"/>
  <c r="BG53" i="23"/>
  <c r="BG69" i="23" s="1"/>
  <c r="BJ30" i="10"/>
  <c r="BK8" i="10"/>
  <c r="BH15" i="23" s="1"/>
  <c r="BK11" i="10"/>
  <c r="BK22" i="10"/>
  <c r="BK12" i="10"/>
  <c r="BK21" i="10"/>
  <c r="BH29" i="23" s="1"/>
  <c r="BH45" i="23" s="1"/>
  <c r="BJ20" i="10"/>
  <c r="BG28" i="23" s="1"/>
  <c r="BG44" i="23" s="1"/>
  <c r="BI1" i="20"/>
  <c r="BI1" i="23"/>
  <c r="BH2" i="23" s="1"/>
  <c r="BI12" i="13"/>
  <c r="BD23" i="23"/>
  <c r="BD25" i="23" s="1"/>
  <c r="BF23" i="23"/>
  <c r="BG5" i="23"/>
  <c r="BG21" i="23" s="1"/>
  <c r="BJ10" i="10"/>
  <c r="BG4" i="23" s="1"/>
  <c r="BG20" i="23" s="1"/>
  <c r="BE23" i="23"/>
  <c r="BJ3" i="10"/>
  <c r="BI1" i="6"/>
  <c r="BL1" i="10"/>
  <c r="BI1" i="11"/>
  <c r="BI1" i="22"/>
  <c r="BI1" i="15"/>
  <c r="BJ10" i="13"/>
  <c r="BJ11" i="13" s="1"/>
  <c r="BJ28" i="13" s="1"/>
  <c r="AU2" i="2"/>
  <c r="AT1" i="2"/>
  <c r="BJ1" i="33" l="1"/>
  <c r="AH28" i="23"/>
  <c r="AI29" i="23"/>
  <c r="AE72" i="33"/>
  <c r="AE30" i="29"/>
  <c r="AG41" i="4"/>
  <c r="AE23" i="31" s="1"/>
  <c r="AF113" i="25"/>
  <c r="AF125" i="25" s="1"/>
  <c r="AF55" i="33"/>
  <c r="AD70" i="33"/>
  <c r="AD54" i="33"/>
  <c r="AD53" i="31"/>
  <c r="AD65" i="31"/>
  <c r="AD23" i="25"/>
  <c r="AD35" i="25" s="1"/>
  <c r="AC59" i="31"/>
  <c r="AE35" i="4"/>
  <c r="AE32" i="4"/>
  <c r="AG45" i="23"/>
  <c r="AG60" i="33" s="1"/>
  <c r="AG101" i="25"/>
  <c r="AH45" i="23"/>
  <c r="AH60" i="33" s="1"/>
  <c r="AH101" i="25"/>
  <c r="BJ1" i="29"/>
  <c r="BJ1" i="31"/>
  <c r="AB71" i="31"/>
  <c r="AD35" i="4"/>
  <c r="AE17" i="25"/>
  <c r="AE29" i="25" s="1"/>
  <c r="AF107" i="25"/>
  <c r="AG46" i="23"/>
  <c r="AG61" i="33" s="1"/>
  <c r="AG55" i="33" s="1"/>
  <c r="AG95" i="25"/>
  <c r="DW1" i="10"/>
  <c r="BK2" i="10"/>
  <c r="AX8" i="6"/>
  <c r="AH30" i="23"/>
  <c r="AI14" i="26"/>
  <c r="AI20" i="26" s="1"/>
  <c r="AI16" i="26" s="1"/>
  <c r="BL31" i="10"/>
  <c r="BL32" i="10"/>
  <c r="BD49" i="23"/>
  <c r="BF48" i="23"/>
  <c r="BE49" i="23"/>
  <c r="BE48" i="23"/>
  <c r="BG47" i="23"/>
  <c r="BG48" i="23" s="1"/>
  <c r="BJ1" i="25"/>
  <c r="BK1" i="26"/>
  <c r="BH54" i="23"/>
  <c r="BH70" i="23" s="1"/>
  <c r="BI24" i="26"/>
  <c r="BI30" i="26" s="1"/>
  <c r="BI26" i="26" s="1"/>
  <c r="BH6" i="23"/>
  <c r="BH22" i="23" s="1"/>
  <c r="BI4" i="26"/>
  <c r="BI10" i="26" s="1"/>
  <c r="BI6" i="26" s="1"/>
  <c r="BH30" i="23"/>
  <c r="BH46" i="23" s="1"/>
  <c r="BI14" i="26"/>
  <c r="BI20" i="26" s="1"/>
  <c r="BI16" i="26" s="1"/>
  <c r="BL28" i="10"/>
  <c r="BI63" i="23" s="1"/>
  <c r="BL18" i="10"/>
  <c r="BI39" i="23" s="1"/>
  <c r="BE72" i="23"/>
  <c r="BE73" i="23"/>
  <c r="BG52" i="23"/>
  <c r="BG68" i="23" s="1"/>
  <c r="BG71" i="23" s="1"/>
  <c r="BF72" i="23"/>
  <c r="BF73" i="23"/>
  <c r="BD73" i="23"/>
  <c r="BD72" i="23"/>
  <c r="BK30" i="10"/>
  <c r="BK20" i="10"/>
  <c r="BH28" i="23" s="1"/>
  <c r="BH44" i="23" s="1"/>
  <c r="DX1" i="10"/>
  <c r="BJ1" i="23"/>
  <c r="BJ2" i="23" s="1"/>
  <c r="BJ12" i="13"/>
  <c r="BM2" i="10" s="1"/>
  <c r="BL8" i="10"/>
  <c r="BI15" i="23" s="1"/>
  <c r="BL11" i="10"/>
  <c r="BL22" i="10"/>
  <c r="BL12" i="10"/>
  <c r="BL21" i="10"/>
  <c r="BI29" i="23" s="1"/>
  <c r="BI45" i="23" s="1"/>
  <c r="BD24" i="23"/>
  <c r="BE25" i="23"/>
  <c r="BE24" i="23"/>
  <c r="BF25" i="23"/>
  <c r="BF24" i="23"/>
  <c r="BG23" i="23"/>
  <c r="BH5" i="23"/>
  <c r="BH21" i="23" s="1"/>
  <c r="BK10" i="10"/>
  <c r="BH4" i="23" s="1"/>
  <c r="BH20" i="23" s="1"/>
  <c r="BK3" i="10"/>
  <c r="BJ1" i="11"/>
  <c r="BJ1" i="20"/>
  <c r="BJ1" i="6"/>
  <c r="BJ1" i="22"/>
  <c r="BM1" i="10"/>
  <c r="BJ1" i="15"/>
  <c r="AV2" i="2"/>
  <c r="AU1" i="2"/>
  <c r="AI28" i="23" l="1"/>
  <c r="AH113" i="25"/>
  <c r="AH125" i="25" s="1"/>
  <c r="AG113" i="25"/>
  <c r="AG125" i="25" s="1"/>
  <c r="AF72" i="33"/>
  <c r="AF30" i="29"/>
  <c r="AH41" i="4"/>
  <c r="AF23" i="31" s="1"/>
  <c r="AE70" i="33"/>
  <c r="AE54" i="33"/>
  <c r="AC71" i="31"/>
  <c r="AE65" i="31"/>
  <c r="AE53" i="31"/>
  <c r="AE23" i="25"/>
  <c r="AD59" i="31"/>
  <c r="AI45" i="23"/>
  <c r="AI60" i="33" s="1"/>
  <c r="AI101" i="25"/>
  <c r="AF32" i="4"/>
  <c r="AG107" i="25"/>
  <c r="AF17" i="25"/>
  <c r="AF29" i="25" s="1"/>
  <c r="AH46" i="23"/>
  <c r="AH61" i="33" s="1"/>
  <c r="AH95" i="25"/>
  <c r="AG17" i="25"/>
  <c r="AG29" i="25" s="1"/>
  <c r="AJ29" i="23"/>
  <c r="BL2" i="10"/>
  <c r="AY8" i="6"/>
  <c r="BM32" i="10"/>
  <c r="BM31" i="10"/>
  <c r="AJ14" i="26"/>
  <c r="AJ20" i="26" s="1"/>
  <c r="AJ16" i="26" s="1"/>
  <c r="AI30" i="23"/>
  <c r="BG49" i="23"/>
  <c r="BH47" i="23"/>
  <c r="BH48" i="23" s="1"/>
  <c r="BI6" i="23"/>
  <c r="BI22" i="23" s="1"/>
  <c r="BJ4" i="26"/>
  <c r="BJ10" i="26" s="1"/>
  <c r="BJ6" i="26" s="1"/>
  <c r="BI30" i="23"/>
  <c r="BI46" i="23" s="1"/>
  <c r="BJ14" i="26"/>
  <c r="BJ20" i="26" s="1"/>
  <c r="BJ16" i="26" s="1"/>
  <c r="BI54" i="23"/>
  <c r="BI70" i="23" s="1"/>
  <c r="BJ24" i="26"/>
  <c r="BJ30" i="26" s="1"/>
  <c r="BJ26" i="26" s="1"/>
  <c r="BM28" i="10"/>
  <c r="BJ63" i="23" s="1"/>
  <c r="BM18" i="10"/>
  <c r="BJ39" i="23" s="1"/>
  <c r="BI53" i="23"/>
  <c r="BI69" i="23" s="1"/>
  <c r="BH52" i="23"/>
  <c r="BH68" i="23" s="1"/>
  <c r="BH71" i="23" s="1"/>
  <c r="BG73" i="23"/>
  <c r="BG72" i="23"/>
  <c r="BL20" i="10"/>
  <c r="BI28" i="23" s="1"/>
  <c r="BI44" i="23" s="1"/>
  <c r="BM8" i="10"/>
  <c r="BJ15" i="23" s="1"/>
  <c r="BM11" i="10"/>
  <c r="BM22" i="10"/>
  <c r="BM12" i="10"/>
  <c r="BM21" i="10"/>
  <c r="BJ29" i="23" s="1"/>
  <c r="BJ45" i="23" s="1"/>
  <c r="BI2" i="23"/>
  <c r="BL30" i="10"/>
  <c r="BG25" i="23"/>
  <c r="BG24" i="23"/>
  <c r="BH23" i="23"/>
  <c r="BM3" i="10"/>
  <c r="BI5" i="23"/>
  <c r="BI21" i="23" s="1"/>
  <c r="BL10" i="10"/>
  <c r="BI4" i="23" s="1"/>
  <c r="BI20" i="23" s="1"/>
  <c r="BL3" i="10"/>
  <c r="AH5" i="8"/>
  <c r="AK5" i="8" s="1"/>
  <c r="AF3" i="8"/>
  <c r="AI3" i="8" s="1"/>
  <c r="AL3" i="8" s="1"/>
  <c r="AG3" i="8"/>
  <c r="AJ3" i="8" s="1"/>
  <c r="AM3" i="8" s="1"/>
  <c r="AF5" i="8"/>
  <c r="AI5" i="8" s="1"/>
  <c r="AL5" i="8" s="1"/>
  <c r="AO5" i="8" s="1"/>
  <c r="AG4" i="8"/>
  <c r="AJ4" i="8" s="1"/>
  <c r="AM4" i="8" s="1"/>
  <c r="AG5" i="8"/>
  <c r="AJ5" i="8" s="1"/>
  <c r="AM5" i="8" s="1"/>
  <c r="AP5" i="8" s="1"/>
  <c r="AH4" i="8"/>
  <c r="AK4" i="8" s="1"/>
  <c r="AN4" i="8" s="1"/>
  <c r="AH3" i="8"/>
  <c r="AK3" i="8" s="1"/>
  <c r="AN3" i="8" s="1"/>
  <c r="AF4" i="8"/>
  <c r="AI4" i="8" s="1"/>
  <c r="AL4" i="8" s="1"/>
  <c r="AD5" i="8"/>
  <c r="AC4" i="8"/>
  <c r="AB4" i="8"/>
  <c r="AD4" i="8"/>
  <c r="AB5" i="8"/>
  <c r="AB3" i="8"/>
  <c r="AC3" i="8"/>
  <c r="R16" i="4" s="1"/>
  <c r="AC5" i="8"/>
  <c r="AW2" i="2"/>
  <c r="AV1" i="2"/>
  <c r="AG32" i="4" l="1"/>
  <c r="AE35" i="25"/>
  <c r="AJ28" i="23"/>
  <c r="AK29" i="23"/>
  <c r="AG72" i="33"/>
  <c r="AG30" i="29"/>
  <c r="AI41" i="4"/>
  <c r="AG23" i="31" s="1"/>
  <c r="AF70" i="33"/>
  <c r="AF54" i="33"/>
  <c r="AH72" i="33"/>
  <c r="AH30" i="29"/>
  <c r="AJ41" i="4"/>
  <c r="AH23" i="31" s="1"/>
  <c r="AI113" i="25"/>
  <c r="AI125" i="25" s="1"/>
  <c r="AH55" i="33"/>
  <c r="AG65" i="31"/>
  <c r="AG53" i="31"/>
  <c r="AG23" i="25"/>
  <c r="AG35" i="25" s="1"/>
  <c r="AF65" i="31"/>
  <c r="AF53" i="31"/>
  <c r="AF23" i="25"/>
  <c r="AF35" i="25" s="1"/>
  <c r="AE59" i="31"/>
  <c r="AE71" i="31"/>
  <c r="AJ45" i="23"/>
  <c r="AJ60" i="33" s="1"/>
  <c r="AJ101" i="25"/>
  <c r="AF35" i="4"/>
  <c r="AD71" i="31"/>
  <c r="AH107" i="25"/>
  <c r="AI46" i="23"/>
  <c r="AI61" i="33" s="1"/>
  <c r="AI95" i="25"/>
  <c r="AH17" i="25"/>
  <c r="AH29" i="25" s="1"/>
  <c r="E18" i="4"/>
  <c r="E27" i="4" s="1"/>
  <c r="C6" i="31" s="1"/>
  <c r="C30" i="31" s="1"/>
  <c r="E16" i="4"/>
  <c r="E25" i="4" s="1"/>
  <c r="C4" i="31" s="1"/>
  <c r="B15" i="10"/>
  <c r="B25" i="10"/>
  <c r="B27" i="10"/>
  <c r="B5" i="10"/>
  <c r="B17" i="10"/>
  <c r="B7" i="10"/>
  <c r="E17" i="4"/>
  <c r="E26" i="4" s="1"/>
  <c r="C5" i="31" s="1"/>
  <c r="C29" i="31" s="1"/>
  <c r="AZ8" i="6"/>
  <c r="AC18" i="4"/>
  <c r="AC27" i="4" s="1"/>
  <c r="AA6" i="31" s="1"/>
  <c r="AD18" i="4"/>
  <c r="AD27" i="4" s="1"/>
  <c r="AB6" i="31" s="1"/>
  <c r="AE18" i="4"/>
  <c r="AE27" i="4" s="1"/>
  <c r="AC6" i="31" s="1"/>
  <c r="AF18" i="4"/>
  <c r="AF27" i="4" s="1"/>
  <c r="AD6" i="31" s="1"/>
  <c r="AG18" i="4"/>
  <c r="AG27" i="4" s="1"/>
  <c r="AE6" i="31" s="1"/>
  <c r="AH18" i="4"/>
  <c r="AH27" i="4" s="1"/>
  <c r="AF6" i="31" s="1"/>
  <c r="R18" i="4"/>
  <c r="R27" i="4" s="1"/>
  <c r="P6" i="31" s="1"/>
  <c r="S18" i="4"/>
  <c r="S27" i="4" s="1"/>
  <c r="Q6" i="31" s="1"/>
  <c r="T18" i="4"/>
  <c r="T27" i="4" s="1"/>
  <c r="R6" i="31" s="1"/>
  <c r="U18" i="4"/>
  <c r="U27" i="4" s="1"/>
  <c r="S6" i="31" s="1"/>
  <c r="V18" i="4"/>
  <c r="V27" i="4" s="1"/>
  <c r="T6" i="31" s="1"/>
  <c r="W18" i="4"/>
  <c r="W27" i="4" s="1"/>
  <c r="U6" i="31" s="1"/>
  <c r="X18" i="4"/>
  <c r="X27" i="4" s="1"/>
  <c r="V6" i="31" s="1"/>
  <c r="Y18" i="4"/>
  <c r="Y27" i="4" s="1"/>
  <c r="W6" i="31" s="1"/>
  <c r="Z18" i="4"/>
  <c r="Z27" i="4" s="1"/>
  <c r="X6" i="31" s="1"/>
  <c r="AA18" i="4"/>
  <c r="AA27" i="4" s="1"/>
  <c r="Y6" i="31" s="1"/>
  <c r="AB18" i="4"/>
  <c r="AB27" i="4" s="1"/>
  <c r="Z6" i="31" s="1"/>
  <c r="W17" i="4"/>
  <c r="W26" i="4" s="1"/>
  <c r="U5" i="31" s="1"/>
  <c r="V17" i="4"/>
  <c r="V26" i="4" s="1"/>
  <c r="T5" i="31" s="1"/>
  <c r="U17" i="4"/>
  <c r="U26" i="4" s="1"/>
  <c r="S5" i="31" s="1"/>
  <c r="R17" i="4"/>
  <c r="R26" i="4" s="1"/>
  <c r="P5" i="31" s="1"/>
  <c r="AB17" i="4"/>
  <c r="AB26" i="4" s="1"/>
  <c r="Z5" i="31" s="1"/>
  <c r="T17" i="4"/>
  <c r="T26" i="4" s="1"/>
  <c r="R5" i="31" s="1"/>
  <c r="AA17" i="4"/>
  <c r="AA26" i="4" s="1"/>
  <c r="Y5" i="31" s="1"/>
  <c r="S17" i="4"/>
  <c r="S26" i="4" s="1"/>
  <c r="Q5" i="31" s="1"/>
  <c r="Z17" i="4"/>
  <c r="Z26" i="4" s="1"/>
  <c r="X5" i="31" s="1"/>
  <c r="Y17" i="4"/>
  <c r="Y26" i="4" s="1"/>
  <c r="W5" i="31" s="1"/>
  <c r="X17" i="4"/>
  <c r="X26" i="4" s="1"/>
  <c r="V5" i="31" s="1"/>
  <c r="U16" i="4"/>
  <c r="U25" i="4" s="1"/>
  <c r="S4" i="31" s="1"/>
  <c r="X16" i="4"/>
  <c r="X25" i="4" s="1"/>
  <c r="V4" i="31" s="1"/>
  <c r="AB16" i="4"/>
  <c r="AB25" i="4" s="1"/>
  <c r="Z4" i="31" s="1"/>
  <c r="T16" i="4"/>
  <c r="T25" i="4" s="1"/>
  <c r="R4" i="31" s="1"/>
  <c r="W16" i="4"/>
  <c r="W25" i="4" s="1"/>
  <c r="U4" i="31" s="1"/>
  <c r="AA16" i="4"/>
  <c r="AA25" i="4" s="1"/>
  <c r="Y4" i="31" s="1"/>
  <c r="S16" i="4"/>
  <c r="S25" i="4" s="1"/>
  <c r="Q4" i="31" s="1"/>
  <c r="V16" i="4"/>
  <c r="V25" i="4" s="1"/>
  <c r="T4" i="31" s="1"/>
  <c r="Z16" i="4"/>
  <c r="Z25" i="4" s="1"/>
  <c r="X4" i="31" s="1"/>
  <c r="Y16" i="4"/>
  <c r="Y25" i="4" s="1"/>
  <c r="W4" i="31" s="1"/>
  <c r="AE17" i="4"/>
  <c r="AE26" i="4" s="1"/>
  <c r="AC5" i="31" s="1"/>
  <c r="AC17" i="4"/>
  <c r="AC26" i="4" s="1"/>
  <c r="AA5" i="31" s="1"/>
  <c r="AF17" i="4"/>
  <c r="AF26" i="4" s="1"/>
  <c r="AD5" i="31" s="1"/>
  <c r="AH17" i="4"/>
  <c r="AH26" i="4" s="1"/>
  <c r="AF5" i="31" s="1"/>
  <c r="AG17" i="4"/>
  <c r="AG26" i="4" s="1"/>
  <c r="AE5" i="31" s="1"/>
  <c r="AN5" i="8"/>
  <c r="AQ5" i="8" s="1"/>
  <c r="AX5" i="8"/>
  <c r="AW5" i="8"/>
  <c r="AJ30" i="23"/>
  <c r="AK14" i="26"/>
  <c r="AK20" i="26" s="1"/>
  <c r="AK16" i="26" s="1"/>
  <c r="AN18" i="10"/>
  <c r="BH49" i="23"/>
  <c r="BI47" i="23"/>
  <c r="BI48" i="23" s="1"/>
  <c r="BJ6" i="23"/>
  <c r="BJ22" i="23" s="1"/>
  <c r="BK4" i="26"/>
  <c r="BK10" i="26" s="1"/>
  <c r="BK6" i="26" s="1"/>
  <c r="BJ54" i="23"/>
  <c r="BJ70" i="23" s="1"/>
  <c r="BK24" i="26"/>
  <c r="BK30" i="26" s="1"/>
  <c r="BK26" i="26" s="1"/>
  <c r="BJ30" i="23"/>
  <c r="BJ46" i="23" s="1"/>
  <c r="BK14" i="26"/>
  <c r="BK20" i="26" s="1"/>
  <c r="BK16" i="26" s="1"/>
  <c r="BJ53" i="23"/>
  <c r="BJ69" i="23" s="1"/>
  <c r="BI52" i="23"/>
  <c r="BI68" i="23" s="1"/>
  <c r="BI71" i="23" s="1"/>
  <c r="BH73" i="23"/>
  <c r="BH72" i="23"/>
  <c r="BM20" i="10"/>
  <c r="BJ28" i="23" s="1"/>
  <c r="BJ44" i="23" s="1"/>
  <c r="BM30" i="10"/>
  <c r="BH25" i="23"/>
  <c r="BH24" i="23"/>
  <c r="BI23" i="23"/>
  <c r="BJ5" i="23"/>
  <c r="BJ21" i="23" s="1"/>
  <c r="BM10" i="10"/>
  <c r="BJ4" i="23" s="1"/>
  <c r="BJ20" i="23" s="1"/>
  <c r="AX2" i="2"/>
  <c r="AW1" i="2"/>
  <c r="AC3" i="31" l="1"/>
  <c r="AF3" i="31"/>
  <c r="W3" i="31"/>
  <c r="T3" i="31"/>
  <c r="AD3" i="31"/>
  <c r="V3" i="31"/>
  <c r="X3" i="31"/>
  <c r="U3" i="31"/>
  <c r="AK28" i="23"/>
  <c r="AL29" i="23"/>
  <c r="AG35" i="4"/>
  <c r="AI72" i="33"/>
  <c r="AI30" i="29"/>
  <c r="AK41" i="4"/>
  <c r="AI23" i="31" s="1"/>
  <c r="AH70" i="33"/>
  <c r="AH54" i="33"/>
  <c r="AJ113" i="25"/>
  <c r="AJ125" i="25" s="1"/>
  <c r="AI55" i="33"/>
  <c r="AG70" i="33"/>
  <c r="AG54" i="33"/>
  <c r="AF59" i="31"/>
  <c r="AG59" i="31"/>
  <c r="AH53" i="31"/>
  <c r="AH65" i="31"/>
  <c r="AH23" i="25"/>
  <c r="AH35" i="25" s="1"/>
  <c r="AK45" i="23"/>
  <c r="AK60" i="33" s="1"/>
  <c r="AK101" i="25"/>
  <c r="BO6" i="31"/>
  <c r="BN6" i="31"/>
  <c r="R3" i="31"/>
  <c r="Z3" i="31"/>
  <c r="AA3" i="31"/>
  <c r="S3" i="31"/>
  <c r="AE3" i="31"/>
  <c r="BN5" i="31"/>
  <c r="Q3" i="31"/>
  <c r="Y3" i="31"/>
  <c r="C28" i="31"/>
  <c r="C27" i="31" s="1"/>
  <c r="C3" i="31"/>
  <c r="AH32" i="4"/>
  <c r="AI32" i="4"/>
  <c r="AI107" i="25"/>
  <c r="F11" i="10"/>
  <c r="AI17" i="25"/>
  <c r="AI29" i="25" s="1"/>
  <c r="AJ46" i="23"/>
  <c r="AJ61" i="33" s="1"/>
  <c r="AJ95" i="25"/>
  <c r="R25" i="4"/>
  <c r="AD26" i="4"/>
  <c r="F12" i="10"/>
  <c r="AN8" i="10"/>
  <c r="I29" i="23"/>
  <c r="K14" i="26"/>
  <c r="K20" i="26" s="1"/>
  <c r="K16" i="26" s="1"/>
  <c r="J30" i="23"/>
  <c r="J14" i="26"/>
  <c r="J20" i="26" s="1"/>
  <c r="J16" i="26" s="1"/>
  <c r="I30" i="23"/>
  <c r="AD18" i="10"/>
  <c r="AA39" i="23" s="1"/>
  <c r="AA44" i="23" s="1"/>
  <c r="AE18" i="10"/>
  <c r="AB39" i="23" s="1"/>
  <c r="AB44" i="23" s="1"/>
  <c r="AF18" i="10"/>
  <c r="AC39" i="23" s="1"/>
  <c r="AC44" i="23" s="1"/>
  <c r="AG18" i="10"/>
  <c r="AD39" i="23" s="1"/>
  <c r="AD44" i="23" s="1"/>
  <c r="AH18" i="10"/>
  <c r="AE39" i="23" s="1"/>
  <c r="AE44" i="23" s="1"/>
  <c r="AJ18" i="10"/>
  <c r="AG39" i="23" s="1"/>
  <c r="AI18" i="10"/>
  <c r="AF39" i="23" s="1"/>
  <c r="AF44" i="23" s="1"/>
  <c r="AK18" i="10"/>
  <c r="AL18" i="10"/>
  <c r="AM18" i="10"/>
  <c r="AK8" i="10"/>
  <c r="AL8" i="10"/>
  <c r="AM8" i="10"/>
  <c r="B31" i="10"/>
  <c r="B32" i="10"/>
  <c r="F18" i="10"/>
  <c r="C39" i="23" s="1"/>
  <c r="L18" i="10"/>
  <c r="I39" i="23" s="1"/>
  <c r="I44" i="23" s="1"/>
  <c r="I59" i="33" s="1"/>
  <c r="M18" i="10"/>
  <c r="J39" i="23" s="1"/>
  <c r="J44" i="23" s="1"/>
  <c r="J59" i="33" s="1"/>
  <c r="R18" i="10"/>
  <c r="O39" i="23" s="1"/>
  <c r="O44" i="23" s="1"/>
  <c r="S18" i="10"/>
  <c r="P39" i="23" s="1"/>
  <c r="P44" i="23" s="1"/>
  <c r="T18" i="10"/>
  <c r="Q39" i="23" s="1"/>
  <c r="Q44" i="23" s="1"/>
  <c r="U18" i="10"/>
  <c r="R39" i="23" s="1"/>
  <c r="R44" i="23" s="1"/>
  <c r="V18" i="10"/>
  <c r="S39" i="23" s="1"/>
  <c r="S44" i="23" s="1"/>
  <c r="W18" i="10"/>
  <c r="T39" i="23" s="1"/>
  <c r="T44" i="23" s="1"/>
  <c r="B22" i="10"/>
  <c r="X18" i="10"/>
  <c r="U39" i="23" s="1"/>
  <c r="U44" i="23" s="1"/>
  <c r="Y18" i="10"/>
  <c r="V39" i="23" s="1"/>
  <c r="V44" i="23" s="1"/>
  <c r="Z18" i="10"/>
  <c r="W39" i="23" s="1"/>
  <c r="W44" i="23" s="1"/>
  <c r="AA18" i="10"/>
  <c r="X39" i="23" s="1"/>
  <c r="X44" i="23" s="1"/>
  <c r="AB18" i="10"/>
  <c r="Y39" i="23" s="1"/>
  <c r="Y44" i="23" s="1"/>
  <c r="AC18" i="10"/>
  <c r="Z39" i="23" s="1"/>
  <c r="Z44" i="23" s="1"/>
  <c r="A2" i="10"/>
  <c r="F8" i="10"/>
  <c r="C20" i="23" s="1"/>
  <c r="C35" i="33" s="1"/>
  <c r="C29" i="33" s="1"/>
  <c r="B12" i="10"/>
  <c r="B11" i="10"/>
  <c r="B21" i="10"/>
  <c r="BA8" i="6"/>
  <c r="AO8" i="10"/>
  <c r="AL14" i="26"/>
  <c r="AL20" i="26" s="1"/>
  <c r="AL16" i="26" s="1"/>
  <c r="AK30" i="23"/>
  <c r="AO18" i="10"/>
  <c r="BI49" i="23"/>
  <c r="BJ47" i="23"/>
  <c r="BJ49" i="23" s="1"/>
  <c r="BI73" i="23"/>
  <c r="BI72" i="23"/>
  <c r="BJ52" i="23"/>
  <c r="BJ68" i="23" s="1"/>
  <c r="BJ71" i="23" s="1"/>
  <c r="J7" i="24"/>
  <c r="J11" i="24"/>
  <c r="N11" i="24" s="1"/>
  <c r="I11" i="24"/>
  <c r="M11" i="24" s="1"/>
  <c r="I7" i="24"/>
  <c r="H7" i="24"/>
  <c r="H11" i="24"/>
  <c r="L11" i="24" s="1"/>
  <c r="BJ23" i="23"/>
  <c r="BJ25" i="23" s="1"/>
  <c r="BI25" i="23"/>
  <c r="BI24" i="23"/>
  <c r="AY2" i="2"/>
  <c r="AX1" i="2"/>
  <c r="V4" i="26" l="1"/>
  <c r="V10" i="26" s="1"/>
  <c r="V6" i="26" s="1"/>
  <c r="X8" i="10"/>
  <c r="U15" i="23" s="1"/>
  <c r="U20" i="23" s="1"/>
  <c r="U35" i="33" s="1"/>
  <c r="U29" i="33" s="1"/>
  <c r="C5" i="23"/>
  <c r="C21" i="23" s="1"/>
  <c r="C36" i="33" s="1"/>
  <c r="AG44" i="23"/>
  <c r="AG47" i="23" s="1"/>
  <c r="AG18" i="29" s="1"/>
  <c r="AG35" i="31" s="1"/>
  <c r="AH39" i="23"/>
  <c r="AI39" i="23" s="1"/>
  <c r="AJ39" i="23" s="1"/>
  <c r="AK39" i="23" s="1"/>
  <c r="AL39" i="23" s="1"/>
  <c r="AL28" i="23"/>
  <c r="AK113" i="25"/>
  <c r="AK125" i="25" s="1"/>
  <c r="T47" i="23"/>
  <c r="T18" i="29" s="1"/>
  <c r="T35" i="31" s="1"/>
  <c r="T59" i="33"/>
  <c r="AF47" i="23"/>
  <c r="AF18" i="29" s="1"/>
  <c r="AF35" i="31" s="1"/>
  <c r="AF59" i="33"/>
  <c r="I53" i="33"/>
  <c r="Z47" i="23"/>
  <c r="Z18" i="29" s="1"/>
  <c r="Z35" i="31" s="1"/>
  <c r="Z59" i="33"/>
  <c r="R47" i="23"/>
  <c r="R18" i="29" s="1"/>
  <c r="R35" i="31" s="1"/>
  <c r="R59" i="33"/>
  <c r="AE47" i="23"/>
  <c r="AE18" i="29" s="1"/>
  <c r="AE35" i="31" s="1"/>
  <c r="AE59" i="33"/>
  <c r="X47" i="23"/>
  <c r="X18" i="29" s="1"/>
  <c r="X35" i="31" s="1"/>
  <c r="X59" i="33"/>
  <c r="Q47" i="23"/>
  <c r="Q18" i="29" s="1"/>
  <c r="Q35" i="31" s="1"/>
  <c r="Q59" i="33"/>
  <c r="AD47" i="23"/>
  <c r="AD18" i="29" s="1"/>
  <c r="AD35" i="31" s="1"/>
  <c r="AD59" i="33"/>
  <c r="W47" i="23"/>
  <c r="W18" i="29" s="1"/>
  <c r="W35" i="31" s="1"/>
  <c r="W59" i="33"/>
  <c r="P47" i="23"/>
  <c r="P18" i="29" s="1"/>
  <c r="P35" i="31" s="1"/>
  <c r="P59" i="33"/>
  <c r="AC47" i="23"/>
  <c r="AC18" i="29" s="1"/>
  <c r="AC35" i="31" s="1"/>
  <c r="AC59" i="33"/>
  <c r="AJ72" i="33"/>
  <c r="AL41" i="4"/>
  <c r="AJ23" i="31" s="1"/>
  <c r="AJ30" i="29"/>
  <c r="S47" i="23"/>
  <c r="S18" i="29" s="1"/>
  <c r="S35" i="31" s="1"/>
  <c r="S59" i="33"/>
  <c r="Y47" i="23"/>
  <c r="Y18" i="29" s="1"/>
  <c r="Y35" i="31" s="1"/>
  <c r="Y59" i="33"/>
  <c r="V47" i="23"/>
  <c r="V18" i="29" s="1"/>
  <c r="V35" i="31" s="1"/>
  <c r="V59" i="33"/>
  <c r="O47" i="23"/>
  <c r="O18" i="29" s="1"/>
  <c r="O35" i="31" s="1"/>
  <c r="BM35" i="31" s="1"/>
  <c r="O59" i="33"/>
  <c r="AB47" i="23"/>
  <c r="AB18" i="29" s="1"/>
  <c r="AB35" i="31" s="1"/>
  <c r="AB59" i="33"/>
  <c r="AJ55" i="33"/>
  <c r="U47" i="23"/>
  <c r="U18" i="29" s="1"/>
  <c r="U35" i="31" s="1"/>
  <c r="U59" i="33"/>
  <c r="J53" i="33"/>
  <c r="AA47" i="23"/>
  <c r="AA49" i="23" s="1"/>
  <c r="AA59" i="33"/>
  <c r="AI70" i="33"/>
  <c r="AI54" i="33"/>
  <c r="AI65" i="31"/>
  <c r="AI53" i="31"/>
  <c r="AI23" i="25"/>
  <c r="AI35" i="25" s="1"/>
  <c r="AH59" i="31"/>
  <c r="AL45" i="23"/>
  <c r="AL60" i="33" s="1"/>
  <c r="AL101" i="25"/>
  <c r="I45" i="23"/>
  <c r="I60" i="33" s="1"/>
  <c r="I101" i="25"/>
  <c r="I113" i="25" s="1"/>
  <c r="AB5" i="31"/>
  <c r="P4" i="31"/>
  <c r="AH35" i="4"/>
  <c r="AF71" i="31"/>
  <c r="AG71" i="31"/>
  <c r="AI35" i="4"/>
  <c r="AJ32" i="4"/>
  <c r="AJ107" i="25"/>
  <c r="AK46" i="23"/>
  <c r="AK61" i="33" s="1"/>
  <c r="AK95" i="25"/>
  <c r="I46" i="23"/>
  <c r="I61" i="33" s="1"/>
  <c r="I95" i="25"/>
  <c r="J46" i="23"/>
  <c r="J61" i="33" s="1"/>
  <c r="J95" i="25"/>
  <c r="AJ17" i="25"/>
  <c r="AJ29" i="25" s="1"/>
  <c r="C6" i="23"/>
  <c r="D4" i="26"/>
  <c r="D10" i="26" s="1"/>
  <c r="D6" i="26" s="1"/>
  <c r="C29" i="23"/>
  <c r="C45" i="23" s="1"/>
  <c r="C60" i="33" s="1"/>
  <c r="C54" i="33" s="1"/>
  <c r="C28" i="23"/>
  <c r="C54" i="23"/>
  <c r="D24" i="26"/>
  <c r="D30" i="26" s="1"/>
  <c r="D26" i="26" s="1"/>
  <c r="C53" i="23"/>
  <c r="C69" i="23" s="1"/>
  <c r="C84" i="33" s="1"/>
  <c r="C78" i="33" s="1"/>
  <c r="F30" i="10"/>
  <c r="C30" i="23"/>
  <c r="D14" i="26"/>
  <c r="D20" i="26" s="1"/>
  <c r="D16" i="26" s="1"/>
  <c r="F28" i="10"/>
  <c r="C63" i="23" s="1"/>
  <c r="L14" i="26"/>
  <c r="L20" i="26" s="1"/>
  <c r="L16" i="26" s="1"/>
  <c r="K30" i="23"/>
  <c r="J29" i="23"/>
  <c r="BB8" i="6"/>
  <c r="AL30" i="23"/>
  <c r="AM14" i="26"/>
  <c r="AM20" i="26" s="1"/>
  <c r="AM16" i="26" s="1"/>
  <c r="N7" i="24"/>
  <c r="L7" i="24"/>
  <c r="M7" i="24"/>
  <c r="BJ48" i="23"/>
  <c r="BJ73" i="23"/>
  <c r="BJ72" i="23"/>
  <c r="BJ24" i="23"/>
  <c r="AZ2" i="2"/>
  <c r="AY1" i="2"/>
  <c r="D4" i="23" l="1"/>
  <c r="E4" i="23"/>
  <c r="U5" i="23"/>
  <c r="U100" i="25" s="1"/>
  <c r="U6" i="23"/>
  <c r="U22" i="23" s="1"/>
  <c r="Y8" i="10"/>
  <c r="V15" i="23" s="1"/>
  <c r="I8" i="10"/>
  <c r="F15" i="23" s="1"/>
  <c r="T49" i="23"/>
  <c r="AG59" i="33"/>
  <c r="AG53" i="33" s="1"/>
  <c r="AG52" i="33" s="1"/>
  <c r="G8" i="10"/>
  <c r="D15" i="23" s="1"/>
  <c r="AL44" i="23"/>
  <c r="AL59" i="33" s="1"/>
  <c r="AL53" i="33" s="1"/>
  <c r="AB49" i="23"/>
  <c r="Z48" i="23"/>
  <c r="AB23" i="4" s="1"/>
  <c r="Z17" i="31" s="1"/>
  <c r="Z29" i="31" s="1"/>
  <c r="W49" i="23"/>
  <c r="X48" i="23"/>
  <c r="Z23" i="4" s="1"/>
  <c r="X17" i="31" s="1"/>
  <c r="X29" i="31" s="1"/>
  <c r="X49" i="23"/>
  <c r="AH44" i="23"/>
  <c r="AH47" i="23" s="1"/>
  <c r="AH18" i="29" s="1"/>
  <c r="AH35" i="31" s="1"/>
  <c r="R49" i="23"/>
  <c r="AC49" i="23"/>
  <c r="AC48" i="23"/>
  <c r="AE23" i="4" s="1"/>
  <c r="AC17" i="31" s="1"/>
  <c r="AC29" i="31" s="1"/>
  <c r="AD49" i="23"/>
  <c r="AD48" i="23"/>
  <c r="AF23" i="4" s="1"/>
  <c r="AD17" i="31" s="1"/>
  <c r="AD29" i="31" s="1"/>
  <c r="AI44" i="23"/>
  <c r="AE48" i="23"/>
  <c r="AG23" i="4" s="1"/>
  <c r="AE17" i="31" s="1"/>
  <c r="AE29" i="31" s="1"/>
  <c r="AE49" i="23"/>
  <c r="V49" i="23"/>
  <c r="W48" i="23"/>
  <c r="Y23" i="4" s="1"/>
  <c r="W17" i="31" s="1"/>
  <c r="W29" i="31" s="1"/>
  <c r="AF49" i="23"/>
  <c r="Y49" i="23"/>
  <c r="Y48" i="23"/>
  <c r="AA23" i="4" s="1"/>
  <c r="Y17" i="31" s="1"/>
  <c r="Y29" i="31" s="1"/>
  <c r="AK44" i="23"/>
  <c r="AK59" i="33" s="1"/>
  <c r="AK53" i="33" s="1"/>
  <c r="Z49" i="23"/>
  <c r="P49" i="23"/>
  <c r="AF48" i="23"/>
  <c r="AH23" i="4" s="1"/>
  <c r="AF17" i="31" s="1"/>
  <c r="AF29" i="31" s="1"/>
  <c r="AJ44" i="23"/>
  <c r="AB48" i="23"/>
  <c r="AD23" i="4" s="1"/>
  <c r="AB17" i="31" s="1"/>
  <c r="AB29" i="31" s="1"/>
  <c r="S49" i="23"/>
  <c r="V48" i="23"/>
  <c r="X23" i="4" s="1"/>
  <c r="V17" i="31" s="1"/>
  <c r="V29" i="31" s="1"/>
  <c r="Q48" i="23"/>
  <c r="S23" i="4" s="1"/>
  <c r="Q17" i="31" s="1"/>
  <c r="Q29" i="31" s="1"/>
  <c r="AG48" i="23"/>
  <c r="AI23" i="4" s="1"/>
  <c r="AG17" i="31" s="1"/>
  <c r="AG29" i="31" s="1"/>
  <c r="U48" i="23"/>
  <c r="W23" i="4" s="1"/>
  <c r="U17" i="31" s="1"/>
  <c r="U29" i="31" s="1"/>
  <c r="S48" i="23"/>
  <c r="U23" i="4" s="1"/>
  <c r="S17" i="31" s="1"/>
  <c r="S29" i="31" s="1"/>
  <c r="AA48" i="23"/>
  <c r="AC23" i="4" s="1"/>
  <c r="AA17" i="31" s="1"/>
  <c r="AA29" i="31" s="1"/>
  <c r="Q49" i="23"/>
  <c r="AG49" i="23"/>
  <c r="AA18" i="29"/>
  <c r="AA35" i="31" s="1"/>
  <c r="BN35" i="31" s="1"/>
  <c r="R48" i="23"/>
  <c r="T23" i="4" s="1"/>
  <c r="R17" i="31" s="1"/>
  <c r="R29" i="31" s="1"/>
  <c r="U49" i="23"/>
  <c r="T48" i="23"/>
  <c r="V23" i="4" s="1"/>
  <c r="T17" i="31" s="1"/>
  <c r="T29" i="31" s="1"/>
  <c r="P48" i="23"/>
  <c r="R23" i="4" s="1"/>
  <c r="P17" i="31" s="1"/>
  <c r="P29" i="31" s="1"/>
  <c r="O53" i="33"/>
  <c r="O52" i="33" s="1"/>
  <c r="O58" i="33"/>
  <c r="P53" i="33"/>
  <c r="P52" i="33" s="1"/>
  <c r="P58" i="33"/>
  <c r="T53" i="33"/>
  <c r="T52" i="33" s="1"/>
  <c r="T58" i="33"/>
  <c r="AB53" i="33"/>
  <c r="AB52" i="33" s="1"/>
  <c r="AB58" i="33"/>
  <c r="S53" i="33"/>
  <c r="S52" i="33" s="1"/>
  <c r="S58" i="33"/>
  <c r="AC58" i="33"/>
  <c r="AC53" i="33"/>
  <c r="AC52" i="33" s="1"/>
  <c r="Y53" i="33"/>
  <c r="Y52" i="33" s="1"/>
  <c r="Y58" i="33"/>
  <c r="J55" i="33"/>
  <c r="I54" i="33"/>
  <c r="V53" i="33"/>
  <c r="V52" i="33" s="1"/>
  <c r="V58" i="33"/>
  <c r="W53" i="33"/>
  <c r="W52" i="33" s="1"/>
  <c r="W58" i="33"/>
  <c r="R53" i="33"/>
  <c r="R52" i="33" s="1"/>
  <c r="R58" i="33"/>
  <c r="O49" i="23"/>
  <c r="G28" i="10"/>
  <c r="D63" i="23" s="1"/>
  <c r="AL113" i="25"/>
  <c r="AL125" i="25" s="1"/>
  <c r="AA53" i="33"/>
  <c r="AA52" i="33" s="1"/>
  <c r="AA58" i="33"/>
  <c r="AD58" i="33"/>
  <c r="AD53" i="33"/>
  <c r="AD52" i="33" s="1"/>
  <c r="Q53" i="33"/>
  <c r="Q52" i="33" s="1"/>
  <c r="Q58" i="33"/>
  <c r="AF53" i="33"/>
  <c r="AF52" i="33" s="1"/>
  <c r="AF58" i="33"/>
  <c r="I55" i="33"/>
  <c r="U58" i="33"/>
  <c r="U53" i="33"/>
  <c r="U52" i="33" s="1"/>
  <c r="Z53" i="33"/>
  <c r="Z52" i="33" s="1"/>
  <c r="Z58" i="33"/>
  <c r="AJ70" i="33"/>
  <c r="AJ54" i="33"/>
  <c r="X53" i="33"/>
  <c r="X52" i="33" s="1"/>
  <c r="X58" i="33"/>
  <c r="AE53" i="33"/>
  <c r="AE52" i="33" s="1"/>
  <c r="AE58" i="33"/>
  <c r="AK72" i="33"/>
  <c r="AK30" i="29"/>
  <c r="AM41" i="4"/>
  <c r="AK23" i="31" s="1"/>
  <c r="C12" i="33"/>
  <c r="C6" i="33" s="1"/>
  <c r="C30" i="33"/>
  <c r="D53" i="23"/>
  <c r="D69" i="23" s="1"/>
  <c r="D84" i="33" s="1"/>
  <c r="D78" i="33" s="1"/>
  <c r="AK55" i="33"/>
  <c r="I58" i="33"/>
  <c r="AI59" i="31"/>
  <c r="AJ65" i="31"/>
  <c r="AJ53" i="31"/>
  <c r="AJ23" i="25"/>
  <c r="AJ35" i="25" s="1"/>
  <c r="J45" i="23"/>
  <c r="J60" i="33" s="1"/>
  <c r="J101" i="25"/>
  <c r="BO5" i="31"/>
  <c r="BO3" i="31" s="1"/>
  <c r="K4" i="27" s="1"/>
  <c r="K4" i="34" s="1"/>
  <c r="AB3" i="31"/>
  <c r="P3" i="31"/>
  <c r="BN4" i="31"/>
  <c r="BN3" i="31" s="1"/>
  <c r="J4" i="27" s="1"/>
  <c r="J4" i="34" s="1"/>
  <c r="C93" i="23"/>
  <c r="C44" i="23"/>
  <c r="C59" i="33" s="1"/>
  <c r="C78" i="23"/>
  <c r="F42" i="10" s="1"/>
  <c r="C77" i="23"/>
  <c r="F41" i="10" s="1"/>
  <c r="AK32" i="4"/>
  <c r="AH71" i="31"/>
  <c r="AJ35" i="4"/>
  <c r="I107" i="25"/>
  <c r="J107" i="25"/>
  <c r="AK107" i="25"/>
  <c r="I17" i="25"/>
  <c r="I29" i="25" s="1"/>
  <c r="I47" i="23"/>
  <c r="I49" i="23" s="1"/>
  <c r="K46" i="23"/>
  <c r="K61" i="33" s="1"/>
  <c r="K95" i="25"/>
  <c r="C70" i="23"/>
  <c r="C85" i="33" s="1"/>
  <c r="C46" i="23"/>
  <c r="C61" i="33" s="1"/>
  <c r="C55" i="33" s="1"/>
  <c r="AK17" i="25"/>
  <c r="AK29" i="25" s="1"/>
  <c r="C22" i="23"/>
  <c r="C37" i="33" s="1"/>
  <c r="AL46" i="23"/>
  <c r="AL61" i="33" s="1"/>
  <c r="AL95" i="25"/>
  <c r="AM28" i="23"/>
  <c r="AM29" i="23"/>
  <c r="AM101" i="25" s="1"/>
  <c r="D54" i="23"/>
  <c r="D96" i="25" s="1"/>
  <c r="E24" i="26"/>
  <c r="E30" i="26" s="1"/>
  <c r="E26" i="26" s="1"/>
  <c r="C52" i="23"/>
  <c r="C68" i="23" s="1"/>
  <c r="C83" i="33" s="1"/>
  <c r="C77" i="33" s="1"/>
  <c r="D6" i="23"/>
  <c r="D94" i="25" s="1"/>
  <c r="E4" i="26"/>
  <c r="E10" i="26" s="1"/>
  <c r="E6" i="26" s="1"/>
  <c r="D28" i="23"/>
  <c r="G18" i="10"/>
  <c r="D29" i="23"/>
  <c r="E14" i="26"/>
  <c r="E20" i="26" s="1"/>
  <c r="E16" i="26" s="1"/>
  <c r="D30" i="23"/>
  <c r="D95" i="25" s="1"/>
  <c r="E5" i="23"/>
  <c r="H8" i="10"/>
  <c r="E15" i="23" s="1"/>
  <c r="K29" i="23"/>
  <c r="N18" i="10"/>
  <c r="K39" i="23" s="1"/>
  <c r="K44" i="23" s="1"/>
  <c r="K59" i="33" s="1"/>
  <c r="K53" i="33" s="1"/>
  <c r="M14" i="26"/>
  <c r="M20" i="26" s="1"/>
  <c r="M16" i="26" s="1"/>
  <c r="L30" i="23"/>
  <c r="BC8" i="6"/>
  <c r="BA2" i="2"/>
  <c r="AZ1" i="2"/>
  <c r="U94" i="25" l="1"/>
  <c r="U16" i="25" s="1"/>
  <c r="U28" i="25" s="1"/>
  <c r="U21" i="23"/>
  <c r="U23" i="23" s="1"/>
  <c r="V4" i="23"/>
  <c r="V20" i="23" s="1"/>
  <c r="V6" i="23"/>
  <c r="V22" i="23" s="1"/>
  <c r="W4" i="26"/>
  <c r="W10" i="26" s="1"/>
  <c r="W6" i="26" s="1"/>
  <c r="W4" i="23"/>
  <c r="D5" i="23"/>
  <c r="D21" i="23" s="1"/>
  <c r="D36" i="33" s="1"/>
  <c r="D30" i="33" s="1"/>
  <c r="V5" i="23"/>
  <c r="V21" i="23" s="1"/>
  <c r="V36" i="33" s="1"/>
  <c r="AG58" i="33"/>
  <c r="F4" i="23"/>
  <c r="D45" i="23"/>
  <c r="D60" i="33" s="1"/>
  <c r="D54" i="33" s="1"/>
  <c r="D101" i="25"/>
  <c r="D113" i="25" s="1"/>
  <c r="D20" i="23"/>
  <c r="D35" i="33" s="1"/>
  <c r="D29" i="33" s="1"/>
  <c r="E21" i="23"/>
  <c r="E36" i="33" s="1"/>
  <c r="E30" i="33" s="1"/>
  <c r="E100" i="25"/>
  <c r="E112" i="25" s="1"/>
  <c r="D102" i="25"/>
  <c r="D114" i="25" s="1"/>
  <c r="X4" i="26"/>
  <c r="X10" i="26" s="1"/>
  <c r="X6" i="26" s="1"/>
  <c r="W6" i="23"/>
  <c r="U37" i="33"/>
  <c r="U31" i="33" s="1"/>
  <c r="U106" i="25"/>
  <c r="U105" i="25" s="1"/>
  <c r="U112" i="25"/>
  <c r="U124" i="25" s="1"/>
  <c r="AH48" i="23"/>
  <c r="AJ23" i="4" s="1"/>
  <c r="AH17" i="31" s="1"/>
  <c r="AH29" i="31" s="1"/>
  <c r="E54" i="23"/>
  <c r="AH49" i="23"/>
  <c r="AH59" i="33"/>
  <c r="AH53" i="33" s="1"/>
  <c r="AH52" i="33" s="1"/>
  <c r="AI47" i="23"/>
  <c r="AI59" i="33"/>
  <c r="F24" i="26"/>
  <c r="F30" i="26" s="1"/>
  <c r="F26" i="26" s="1"/>
  <c r="J47" i="23"/>
  <c r="J18" i="29" s="1"/>
  <c r="AK47" i="23"/>
  <c r="AK18" i="29" s="1"/>
  <c r="AK35" i="31" s="1"/>
  <c r="AJ59" i="33"/>
  <c r="AJ47" i="23"/>
  <c r="AK58" i="33"/>
  <c r="E53" i="23"/>
  <c r="E69" i="23" s="1"/>
  <c r="E84" i="33" s="1"/>
  <c r="E78" i="33" s="1"/>
  <c r="H28" i="10"/>
  <c r="E63" i="23" s="1"/>
  <c r="I28" i="10"/>
  <c r="F63" i="23" s="1"/>
  <c r="I52" i="33"/>
  <c r="AL72" i="33"/>
  <c r="AL30" i="29"/>
  <c r="AN41" i="4"/>
  <c r="AL23" i="31" s="1"/>
  <c r="K55" i="33"/>
  <c r="C53" i="33"/>
  <c r="C52" i="33" s="1"/>
  <c r="C11" i="33"/>
  <c r="C58" i="33"/>
  <c r="J58" i="33"/>
  <c r="AL55" i="33"/>
  <c r="C31" i="33"/>
  <c r="C28" i="33" s="1"/>
  <c r="C13" i="33"/>
  <c r="C7" i="33" s="1"/>
  <c r="AK70" i="33"/>
  <c r="AK54" i="33"/>
  <c r="AK52" i="33" s="1"/>
  <c r="J113" i="25"/>
  <c r="J125" i="25" s="1"/>
  <c r="C82" i="33"/>
  <c r="C79" i="33"/>
  <c r="C76" i="33" s="1"/>
  <c r="AL58" i="33"/>
  <c r="I53" i="31"/>
  <c r="I23" i="25"/>
  <c r="I35" i="25" s="1"/>
  <c r="I65" i="31"/>
  <c r="C34" i="33"/>
  <c r="AJ59" i="31"/>
  <c r="AK65" i="31"/>
  <c r="AK53" i="31"/>
  <c r="AK23" i="25"/>
  <c r="AK35" i="25" s="1"/>
  <c r="K45" i="23"/>
  <c r="K60" i="33" s="1"/>
  <c r="K58" i="33" s="1"/>
  <c r="K101" i="25"/>
  <c r="AM113" i="25"/>
  <c r="AM17" i="25"/>
  <c r="AM29" i="25" s="1"/>
  <c r="D78" i="23"/>
  <c r="G42" i="10" s="1"/>
  <c r="K6" i="27"/>
  <c r="K6" i="34" s="1"/>
  <c r="K17" i="27"/>
  <c r="J6" i="27"/>
  <c r="J6" i="34" s="1"/>
  <c r="J17" i="27"/>
  <c r="C94" i="23"/>
  <c r="BN29" i="31"/>
  <c r="BN17" i="31"/>
  <c r="C92" i="23"/>
  <c r="C76" i="23"/>
  <c r="F40" i="10" s="1"/>
  <c r="AM45" i="23"/>
  <c r="AM44" i="23"/>
  <c r="AM59" i="33" s="1"/>
  <c r="AI71" i="31"/>
  <c r="AK35" i="4"/>
  <c r="AL32" i="4"/>
  <c r="K107" i="25"/>
  <c r="AL107" i="25"/>
  <c r="J17" i="25"/>
  <c r="J29" i="25" s="1"/>
  <c r="C71" i="23"/>
  <c r="C19" i="29" s="1"/>
  <c r="C36" i="31" s="1"/>
  <c r="I18" i="29"/>
  <c r="I35" i="31" s="1"/>
  <c r="AL47" i="23"/>
  <c r="AL18" i="29" s="1"/>
  <c r="C23" i="23"/>
  <c r="C25" i="23" s="1"/>
  <c r="C47" i="23"/>
  <c r="C18" i="29" s="1"/>
  <c r="C35" i="31" s="1"/>
  <c r="D22" i="23"/>
  <c r="AL17" i="25"/>
  <c r="AL29" i="25" s="1"/>
  <c r="D46" i="23"/>
  <c r="C93" i="25"/>
  <c r="L46" i="23"/>
  <c r="L61" i="33" s="1"/>
  <c r="L95" i="25"/>
  <c r="D70" i="23"/>
  <c r="D85" i="33" s="1"/>
  <c r="D79" i="33" s="1"/>
  <c r="D52" i="23"/>
  <c r="D44" i="23"/>
  <c r="D59" i="33" s="1"/>
  <c r="H18" i="10"/>
  <c r="E29" i="23"/>
  <c r="E28" i="23"/>
  <c r="F4" i="26"/>
  <c r="F10" i="26" s="1"/>
  <c r="F6" i="26" s="1"/>
  <c r="E6" i="23"/>
  <c r="E94" i="25" s="1"/>
  <c r="E30" i="23"/>
  <c r="E95" i="25" s="1"/>
  <c r="F14" i="26"/>
  <c r="F20" i="26" s="1"/>
  <c r="F16" i="26" s="1"/>
  <c r="G24" i="26"/>
  <c r="G30" i="26" s="1"/>
  <c r="G26" i="26" s="1"/>
  <c r="F54" i="23"/>
  <c r="F96" i="25" s="1"/>
  <c r="E20" i="23"/>
  <c r="E35" i="33" s="1"/>
  <c r="F5" i="23"/>
  <c r="N14" i="26"/>
  <c r="N20" i="26" s="1"/>
  <c r="N16" i="26" s="1"/>
  <c r="M30" i="23"/>
  <c r="L29" i="23"/>
  <c r="O18" i="10"/>
  <c r="L39" i="23" s="1"/>
  <c r="L44" i="23" s="1"/>
  <c r="L59" i="33" s="1"/>
  <c r="BD8" i="6"/>
  <c r="BB2" i="2"/>
  <c r="BA1" i="2"/>
  <c r="U36" i="33" l="1"/>
  <c r="V94" i="25"/>
  <c r="AA8" i="10"/>
  <c r="X15" i="23" s="1"/>
  <c r="W5" i="23"/>
  <c r="W100" i="25" s="1"/>
  <c r="V100" i="25"/>
  <c r="V112" i="25" s="1"/>
  <c r="V124" i="25" s="1"/>
  <c r="Z8" i="10"/>
  <c r="W15" i="23" s="1"/>
  <c r="W20" i="23" s="1"/>
  <c r="D77" i="23"/>
  <c r="G41" i="10" s="1"/>
  <c r="D100" i="25"/>
  <c r="D112" i="25" s="1"/>
  <c r="I5" i="23"/>
  <c r="I100" i="25" s="1"/>
  <c r="I112" i="25" s="1"/>
  <c r="L8" i="10"/>
  <c r="I15" i="23" s="1"/>
  <c r="G4" i="23"/>
  <c r="D93" i="23"/>
  <c r="E16" i="25"/>
  <c r="E28" i="25" s="1"/>
  <c r="E64" i="31" s="1"/>
  <c r="E45" i="23"/>
  <c r="E60" i="33" s="1"/>
  <c r="E54" i="33" s="1"/>
  <c r="E101" i="25"/>
  <c r="E113" i="25" s="1"/>
  <c r="D17" i="25"/>
  <c r="D61" i="33"/>
  <c r="D55" i="33" s="1"/>
  <c r="D107" i="25"/>
  <c r="D18" i="25"/>
  <c r="D12" i="33"/>
  <c r="D6" i="33" s="1"/>
  <c r="F21" i="23"/>
  <c r="F36" i="33" s="1"/>
  <c r="F30" i="33" s="1"/>
  <c r="F100" i="25"/>
  <c r="F112" i="25" s="1"/>
  <c r="F102" i="25"/>
  <c r="F114" i="25" s="1"/>
  <c r="D37" i="33"/>
  <c r="D31" i="33" s="1"/>
  <c r="D28" i="33" s="1"/>
  <c r="D106" i="25"/>
  <c r="E70" i="23"/>
  <c r="E85" i="33" s="1"/>
  <c r="E79" i="33" s="1"/>
  <c r="E96" i="25"/>
  <c r="W94" i="25"/>
  <c r="W22" i="23"/>
  <c r="Y4" i="26"/>
  <c r="Y10" i="26" s="1"/>
  <c r="Y6" i="26" s="1"/>
  <c r="X6" i="23"/>
  <c r="V37" i="33"/>
  <c r="V31" i="33" s="1"/>
  <c r="V106" i="25"/>
  <c r="V105" i="25" s="1"/>
  <c r="U17" i="29"/>
  <c r="U25" i="23"/>
  <c r="U34" i="33"/>
  <c r="U48" i="33"/>
  <c r="U29" i="29"/>
  <c r="U28" i="29" s="1"/>
  <c r="U123" i="25"/>
  <c r="U64" i="31"/>
  <c r="U52" i="31"/>
  <c r="U22" i="25"/>
  <c r="U34" i="25" s="1"/>
  <c r="V35" i="33"/>
  <c r="V23" i="23"/>
  <c r="J5" i="23"/>
  <c r="M8" i="10"/>
  <c r="J15" i="23" s="1"/>
  <c r="AH58" i="33"/>
  <c r="AK48" i="23"/>
  <c r="AM23" i="4" s="1"/>
  <c r="AK17" i="31" s="1"/>
  <c r="AK29" i="31" s="1"/>
  <c r="AK49" i="23"/>
  <c r="AL35" i="31"/>
  <c r="AI53" i="33"/>
  <c r="AI52" i="33" s="1"/>
  <c r="AI58" i="33"/>
  <c r="AI49" i="23"/>
  <c r="AI18" i="29"/>
  <c r="AI35" i="31" s="1"/>
  <c r="AI48" i="23"/>
  <c r="AK23" i="4" s="1"/>
  <c r="AI17" i="31" s="1"/>
  <c r="AI29" i="31" s="1"/>
  <c r="J48" i="23"/>
  <c r="L23" i="4" s="1"/>
  <c r="J17" i="31" s="1"/>
  <c r="J49" i="23"/>
  <c r="F53" i="23"/>
  <c r="F69" i="23" s="1"/>
  <c r="F84" i="33" s="1"/>
  <c r="F78" i="33" s="1"/>
  <c r="AJ18" i="29"/>
  <c r="AJ35" i="31" s="1"/>
  <c r="AJ48" i="23"/>
  <c r="AL23" i="4" s="1"/>
  <c r="AJ17" i="31" s="1"/>
  <c r="AJ29" i="31" s="1"/>
  <c r="AJ49" i="23"/>
  <c r="AJ58" i="33"/>
  <c r="AJ53" i="33"/>
  <c r="AJ52" i="33" s="1"/>
  <c r="E29" i="33"/>
  <c r="K47" i="23"/>
  <c r="K49" i="23" s="1"/>
  <c r="D53" i="33"/>
  <c r="K113" i="25"/>
  <c r="K125" i="25" s="1"/>
  <c r="AM125" i="25"/>
  <c r="AM23" i="25" s="1"/>
  <c r="AM35" i="25" s="1"/>
  <c r="C5" i="33"/>
  <c r="C4" i="33" s="1"/>
  <c r="C10" i="33"/>
  <c r="AM60" i="33"/>
  <c r="I59" i="31"/>
  <c r="AM53" i="33"/>
  <c r="L53" i="33"/>
  <c r="J65" i="31"/>
  <c r="J23" i="25"/>
  <c r="J35" i="25" s="1"/>
  <c r="J53" i="31"/>
  <c r="J72" i="33"/>
  <c r="L41" i="4"/>
  <c r="J23" i="31" s="1"/>
  <c r="J30" i="29"/>
  <c r="L55" i="33"/>
  <c r="AL70" i="33"/>
  <c r="AL54" i="33"/>
  <c r="AL52" i="33" s="1"/>
  <c r="AL53" i="31"/>
  <c r="AL65" i="31"/>
  <c r="AL23" i="25"/>
  <c r="AL35" i="25" s="1"/>
  <c r="AM65" i="31"/>
  <c r="BO65" i="31" s="1"/>
  <c r="AM53" i="31"/>
  <c r="AK59" i="31"/>
  <c r="E78" i="23"/>
  <c r="H42" i="10" s="1"/>
  <c r="L45" i="23"/>
  <c r="L101" i="25"/>
  <c r="D94" i="23"/>
  <c r="E77" i="23"/>
  <c r="H41" i="10" s="1"/>
  <c r="C73" i="23"/>
  <c r="AM47" i="23"/>
  <c r="AN48" i="23" s="1"/>
  <c r="C17" i="29"/>
  <c r="D68" i="23"/>
  <c r="D76" i="23"/>
  <c r="G40" i="10" s="1"/>
  <c r="AJ71" i="31"/>
  <c r="AL35" i="4"/>
  <c r="K32" i="4"/>
  <c r="AM32" i="4"/>
  <c r="L107" i="25"/>
  <c r="AL49" i="23"/>
  <c r="K17" i="25"/>
  <c r="K29" i="25" s="1"/>
  <c r="AL48" i="23"/>
  <c r="AN23" i="4" s="1"/>
  <c r="AL17" i="31" s="1"/>
  <c r="D23" i="23"/>
  <c r="D17" i="29" s="1"/>
  <c r="D34" i="31" s="1"/>
  <c r="C99" i="25"/>
  <c r="C49" i="23"/>
  <c r="D47" i="23"/>
  <c r="D48" i="23" s="1"/>
  <c r="F23" i="4" s="1"/>
  <c r="M46" i="23"/>
  <c r="M61" i="33" s="1"/>
  <c r="M95" i="25"/>
  <c r="E22" i="23"/>
  <c r="D93" i="25"/>
  <c r="F70" i="23"/>
  <c r="F85" i="33" s="1"/>
  <c r="F79" i="33" s="1"/>
  <c r="C111" i="25"/>
  <c r="E46" i="23"/>
  <c r="E52" i="23"/>
  <c r="F20" i="23"/>
  <c r="F35" i="33" s="1"/>
  <c r="F29" i="23"/>
  <c r="I18" i="10"/>
  <c r="F28" i="23"/>
  <c r="G14" i="26"/>
  <c r="G20" i="26" s="1"/>
  <c r="G16" i="26" s="1"/>
  <c r="F30" i="23"/>
  <c r="F95" i="25" s="1"/>
  <c r="G4" i="26"/>
  <c r="G10" i="26" s="1"/>
  <c r="G6" i="26" s="1"/>
  <c r="F6" i="23"/>
  <c r="F94" i="25" s="1"/>
  <c r="E44" i="23"/>
  <c r="E59" i="33" s="1"/>
  <c r="G5" i="23"/>
  <c r="J8" i="10"/>
  <c r="G15" i="23" s="1"/>
  <c r="H24" i="26"/>
  <c r="H30" i="26" s="1"/>
  <c r="H26" i="26" s="1"/>
  <c r="G54" i="23"/>
  <c r="G96" i="25" s="1"/>
  <c r="M29" i="23"/>
  <c r="P18" i="10"/>
  <c r="M39" i="23" s="1"/>
  <c r="M44" i="23" s="1"/>
  <c r="M59" i="33" s="1"/>
  <c r="O14" i="26"/>
  <c r="O20" i="26" s="1"/>
  <c r="O16" i="26" s="1"/>
  <c r="N30" i="23"/>
  <c r="BE8" i="6"/>
  <c r="BC2" i="2"/>
  <c r="BB1" i="2"/>
  <c r="X4" i="23" l="1"/>
  <c r="X5" i="23"/>
  <c r="W21" i="23"/>
  <c r="W36" i="33" s="1"/>
  <c r="Y5" i="23"/>
  <c r="V16" i="25"/>
  <c r="V28" i="25" s="1"/>
  <c r="V64" i="31" s="1"/>
  <c r="D16" i="25"/>
  <c r="D52" i="31" s="1"/>
  <c r="E12" i="33"/>
  <c r="E6" i="33" s="1"/>
  <c r="I21" i="23"/>
  <c r="I36" i="33" s="1"/>
  <c r="I30" i="33" s="1"/>
  <c r="E93" i="23"/>
  <c r="F18" i="25"/>
  <c r="F30" i="25" s="1"/>
  <c r="F66" i="31" s="1"/>
  <c r="F16" i="25"/>
  <c r="F28" i="25" s="1"/>
  <c r="F64" i="31" s="1"/>
  <c r="H4" i="23"/>
  <c r="E52" i="31"/>
  <c r="D58" i="33"/>
  <c r="D105" i="25"/>
  <c r="D29" i="25"/>
  <c r="D65" i="31" s="1"/>
  <c r="D53" i="31"/>
  <c r="D23" i="25"/>
  <c r="D59" i="31" s="1"/>
  <c r="E17" i="25"/>
  <c r="D34" i="33"/>
  <c r="D13" i="33"/>
  <c r="D7" i="33" s="1"/>
  <c r="E61" i="33"/>
  <c r="E58" i="33" s="1"/>
  <c r="E107" i="25"/>
  <c r="E37" i="33"/>
  <c r="E31" i="33" s="1"/>
  <c r="E28" i="33" s="1"/>
  <c r="E106" i="25"/>
  <c r="E102" i="25"/>
  <c r="E114" i="25" s="1"/>
  <c r="F45" i="23"/>
  <c r="F60" i="33" s="1"/>
  <c r="F54" i="33" s="1"/>
  <c r="F101" i="25"/>
  <c r="D54" i="31"/>
  <c r="D30" i="25"/>
  <c r="D66" i="31" s="1"/>
  <c r="D24" i="25"/>
  <c r="X22" i="23"/>
  <c r="X94" i="25"/>
  <c r="Z4" i="26"/>
  <c r="Z10" i="26" s="1"/>
  <c r="Z6" i="26" s="1"/>
  <c r="Y6" i="23"/>
  <c r="W37" i="33"/>
  <c r="W31" i="33" s="1"/>
  <c r="W106" i="25"/>
  <c r="W105" i="25" s="1"/>
  <c r="X20" i="23"/>
  <c r="X35" i="33" s="1"/>
  <c r="U24" i="33"/>
  <c r="U22" i="33" s="1"/>
  <c r="U46" i="33"/>
  <c r="V17" i="29"/>
  <c r="V24" i="23"/>
  <c r="X22" i="4" s="1"/>
  <c r="V16" i="31" s="1"/>
  <c r="V25" i="23"/>
  <c r="W112" i="25"/>
  <c r="W124" i="25" s="1"/>
  <c r="W16" i="25"/>
  <c r="W28" i="25" s="1"/>
  <c r="V29" i="33"/>
  <c r="V34" i="33"/>
  <c r="U58" i="31"/>
  <c r="W31" i="4"/>
  <c r="X100" i="25"/>
  <c r="X21" i="23"/>
  <c r="X36" i="33" s="1"/>
  <c r="U34" i="31"/>
  <c r="W35" i="33"/>
  <c r="W23" i="23"/>
  <c r="V48" i="33"/>
  <c r="X40" i="4"/>
  <c r="V22" i="31" s="1"/>
  <c r="V21" i="31" s="1"/>
  <c r="V29" i="29"/>
  <c r="V28" i="29" s="1"/>
  <c r="V123" i="25"/>
  <c r="U30" i="33"/>
  <c r="U28" i="33" s="1"/>
  <c r="J100" i="25"/>
  <c r="J21" i="23"/>
  <c r="J36" i="33" s="1"/>
  <c r="N8" i="10"/>
  <c r="K15" i="23" s="1"/>
  <c r="K5" i="23"/>
  <c r="J12" i="24"/>
  <c r="J13" i="24" s="1"/>
  <c r="AT4" i="8"/>
  <c r="K18" i="29"/>
  <c r="K48" i="23"/>
  <c r="M23" i="4" s="1"/>
  <c r="K17" i="31" s="1"/>
  <c r="J28" i="10"/>
  <c r="G63" i="23" s="1"/>
  <c r="G53" i="23"/>
  <c r="G69" i="23" s="1"/>
  <c r="G84" i="33" s="1"/>
  <c r="G78" i="33" s="1"/>
  <c r="G21" i="23"/>
  <c r="G36" i="33" s="1"/>
  <c r="G30" i="33" s="1"/>
  <c r="G100" i="25"/>
  <c r="G112" i="25" s="1"/>
  <c r="J29" i="31"/>
  <c r="E53" i="33"/>
  <c r="F29" i="33"/>
  <c r="L113" i="25"/>
  <c r="L125" i="25" s="1"/>
  <c r="J59" i="31"/>
  <c r="AM58" i="33"/>
  <c r="M53" i="33"/>
  <c r="J35" i="31"/>
  <c r="L47" i="23"/>
  <c r="L49" i="23" s="1"/>
  <c r="L60" i="33"/>
  <c r="K23" i="25"/>
  <c r="K35" i="25" s="1"/>
  <c r="K53" i="31"/>
  <c r="K65" i="31"/>
  <c r="AM72" i="33"/>
  <c r="AM54" i="33" s="1"/>
  <c r="AM52" i="33" s="1"/>
  <c r="AM30" i="29"/>
  <c r="AO41" i="4"/>
  <c r="AM23" i="31" s="1"/>
  <c r="M55" i="33"/>
  <c r="D92" i="23"/>
  <c r="D83" i="33"/>
  <c r="J70" i="33"/>
  <c r="J54" i="33"/>
  <c r="J52" i="33" s="1"/>
  <c r="K72" i="33"/>
  <c r="M41" i="4"/>
  <c r="K23" i="31" s="1"/>
  <c r="K30" i="29"/>
  <c r="D52" i="33"/>
  <c r="AM49" i="23"/>
  <c r="C34" i="31"/>
  <c r="C33" i="31" s="1"/>
  <c r="AM59" i="31"/>
  <c r="AL59" i="31"/>
  <c r="AM18" i="29"/>
  <c r="AO32" i="4"/>
  <c r="M45" i="23"/>
  <c r="M60" i="33" s="1"/>
  <c r="M58" i="33" s="1"/>
  <c r="M101" i="25"/>
  <c r="BO53" i="31"/>
  <c r="E94" i="23"/>
  <c r="F78" i="23"/>
  <c r="I42" i="10" s="1"/>
  <c r="F77" i="23"/>
  <c r="I41" i="10" s="1"/>
  <c r="AM48" i="23"/>
  <c r="AO23" i="4" s="1"/>
  <c r="AM17" i="31" s="1"/>
  <c r="D17" i="31"/>
  <c r="D29" i="31" s="1"/>
  <c r="C16" i="29"/>
  <c r="D71" i="23"/>
  <c r="D72" i="23" s="1"/>
  <c r="F24" i="4" s="1"/>
  <c r="D18" i="31" s="1"/>
  <c r="E68" i="23"/>
  <c r="E76" i="23"/>
  <c r="H40" i="10" s="1"/>
  <c r="AL29" i="31"/>
  <c r="AM35" i="4"/>
  <c r="AK71" i="31"/>
  <c r="L32" i="4"/>
  <c r="I71" i="31"/>
  <c r="K35" i="4"/>
  <c r="AN32" i="4"/>
  <c r="M107" i="25"/>
  <c r="L17" i="25"/>
  <c r="L29" i="25" s="1"/>
  <c r="D24" i="23"/>
  <c r="F22" i="4" s="1"/>
  <c r="D25" i="23"/>
  <c r="D49" i="23"/>
  <c r="E47" i="23"/>
  <c r="E18" i="29" s="1"/>
  <c r="E35" i="31" s="1"/>
  <c r="D18" i="29"/>
  <c r="D35" i="31" s="1"/>
  <c r="E23" i="23"/>
  <c r="E24" i="23" s="1"/>
  <c r="G22" i="4" s="1"/>
  <c r="E16" i="31" s="1"/>
  <c r="E28" i="31" s="1"/>
  <c r="F22" i="23"/>
  <c r="D99" i="25"/>
  <c r="D111" i="25"/>
  <c r="E93" i="25"/>
  <c r="G70" i="23"/>
  <c r="G85" i="33" s="1"/>
  <c r="G79" i="33" s="1"/>
  <c r="N46" i="23"/>
  <c r="N61" i="33" s="1"/>
  <c r="N95" i="25"/>
  <c r="F46" i="23"/>
  <c r="F52" i="23"/>
  <c r="F44" i="23"/>
  <c r="F59" i="33" s="1"/>
  <c r="G30" i="23"/>
  <c r="G95" i="25" s="1"/>
  <c r="H14" i="26"/>
  <c r="H20" i="26" s="1"/>
  <c r="H16" i="26" s="1"/>
  <c r="G6" i="23"/>
  <c r="H4" i="26"/>
  <c r="H10" i="26" s="1"/>
  <c r="H6" i="26" s="1"/>
  <c r="G20" i="23"/>
  <c r="G35" i="33" s="1"/>
  <c r="J18" i="10"/>
  <c r="G39" i="23" s="1"/>
  <c r="G28" i="23"/>
  <c r="G29" i="23"/>
  <c r="H5" i="23"/>
  <c r="K8" i="10"/>
  <c r="H15" i="23" s="1"/>
  <c r="H54" i="23"/>
  <c r="I24" i="26"/>
  <c r="I30" i="26" s="1"/>
  <c r="I26" i="26" s="1"/>
  <c r="N29" i="23"/>
  <c r="Q18" i="10"/>
  <c r="N39" i="23" s="1"/>
  <c r="N44" i="23" s="1"/>
  <c r="N59" i="33" s="1"/>
  <c r="BF8" i="6"/>
  <c r="BD2" i="2"/>
  <c r="BC1" i="2"/>
  <c r="V22" i="25" l="1"/>
  <c r="V34" i="25" s="1"/>
  <c r="Y4" i="23"/>
  <c r="V52" i="31"/>
  <c r="AB8" i="10"/>
  <c r="Y15" i="23" s="1"/>
  <c r="Y20" i="23" s="1"/>
  <c r="D15" i="25"/>
  <c r="D27" i="25" s="1"/>
  <c r="D63" i="31" s="1"/>
  <c r="D28" i="25"/>
  <c r="D64" i="31" s="1"/>
  <c r="D22" i="25"/>
  <c r="D34" i="25" s="1"/>
  <c r="F24" i="25"/>
  <c r="F60" i="31" s="1"/>
  <c r="F54" i="31"/>
  <c r="F52" i="31"/>
  <c r="F12" i="33"/>
  <c r="F6" i="33" s="1"/>
  <c r="F93" i="23"/>
  <c r="D35" i="25"/>
  <c r="F35" i="4" s="1"/>
  <c r="F32" i="4"/>
  <c r="E23" i="25"/>
  <c r="G32" i="4" s="1"/>
  <c r="E53" i="31"/>
  <c r="E29" i="25"/>
  <c r="E65" i="31" s="1"/>
  <c r="E13" i="33"/>
  <c r="E7" i="33" s="1"/>
  <c r="E34" i="33"/>
  <c r="E55" i="33"/>
  <c r="E52" i="33" s="1"/>
  <c r="F61" i="33"/>
  <c r="F58" i="33" s="1"/>
  <c r="F107" i="25"/>
  <c r="F37" i="33"/>
  <c r="F31" i="33" s="1"/>
  <c r="F28" i="33" s="1"/>
  <c r="F106" i="25"/>
  <c r="D36" i="25"/>
  <c r="D60" i="31"/>
  <c r="F33" i="4"/>
  <c r="E18" i="25"/>
  <c r="F113" i="25"/>
  <c r="F17" i="25"/>
  <c r="E105" i="25"/>
  <c r="E22" i="25"/>
  <c r="F36" i="25"/>
  <c r="H33" i="4"/>
  <c r="D51" i="31"/>
  <c r="Y22" i="23"/>
  <c r="Y94" i="25"/>
  <c r="X23" i="23"/>
  <c r="X24" i="23" s="1"/>
  <c r="Z22" i="4" s="1"/>
  <c r="X16" i="31" s="1"/>
  <c r="AA4" i="26"/>
  <c r="AA10" i="26" s="1"/>
  <c r="AA6" i="26" s="1"/>
  <c r="Z6" i="23"/>
  <c r="X37" i="33"/>
  <c r="X31" i="33" s="1"/>
  <c r="X106" i="25"/>
  <c r="X105" i="25" s="1"/>
  <c r="Z4" i="23"/>
  <c r="Z5" i="23"/>
  <c r="AC8" i="10"/>
  <c r="Z15" i="23" s="1"/>
  <c r="X112" i="25"/>
  <c r="X124" i="25" s="1"/>
  <c r="X16" i="25"/>
  <c r="X28" i="25" s="1"/>
  <c r="W29" i="29"/>
  <c r="W28" i="29" s="1"/>
  <c r="W123" i="25"/>
  <c r="Y40" i="4"/>
  <c r="W22" i="31" s="1"/>
  <c r="W21" i="31" s="1"/>
  <c r="W48" i="33"/>
  <c r="Y100" i="25"/>
  <c r="Y21" i="23"/>
  <c r="Y36" i="33" s="1"/>
  <c r="W34" i="4"/>
  <c r="U70" i="31"/>
  <c r="V28" i="31"/>
  <c r="W22" i="25"/>
  <c r="W34" i="25" s="1"/>
  <c r="W64" i="31"/>
  <c r="W52" i="31"/>
  <c r="V30" i="33"/>
  <c r="V28" i="33" s="1"/>
  <c r="V46" i="33"/>
  <c r="V24" i="33"/>
  <c r="V22" i="33" s="1"/>
  <c r="W17" i="29"/>
  <c r="W24" i="23"/>
  <c r="Y22" i="4" s="1"/>
  <c r="W16" i="31" s="1"/>
  <c r="W25" i="23"/>
  <c r="V34" i="31"/>
  <c r="X31" i="4"/>
  <c r="V58" i="31"/>
  <c r="W29" i="33"/>
  <c r="W34" i="33"/>
  <c r="X29" i="33"/>
  <c r="K21" i="23"/>
  <c r="K36" i="33" s="1"/>
  <c r="K100" i="25"/>
  <c r="O8" i="10"/>
  <c r="L15" i="23" s="1"/>
  <c r="L5" i="23"/>
  <c r="J112" i="25"/>
  <c r="J124" i="25" s="1"/>
  <c r="K28" i="10"/>
  <c r="H63" i="23" s="1"/>
  <c r="H53" i="23"/>
  <c r="H69" i="23" s="1"/>
  <c r="H84" i="33" s="1"/>
  <c r="H78" i="33" s="1"/>
  <c r="N12" i="24"/>
  <c r="L48" i="23"/>
  <c r="N23" i="4" s="1"/>
  <c r="L17" i="31" s="1"/>
  <c r="L18" i="29"/>
  <c r="H21" i="23"/>
  <c r="H36" i="33" s="1"/>
  <c r="H30" i="33" s="1"/>
  <c r="H100" i="25"/>
  <c r="H112" i="25" s="1"/>
  <c r="D82" i="33"/>
  <c r="D77" i="33"/>
  <c r="D76" i="33" s="1"/>
  <c r="D11" i="33"/>
  <c r="L72" i="33"/>
  <c r="L54" i="33" s="1"/>
  <c r="L52" i="33" s="1"/>
  <c r="N41" i="4"/>
  <c r="L23" i="31" s="1"/>
  <c r="L30" i="29"/>
  <c r="N53" i="33"/>
  <c r="K70" i="33"/>
  <c r="K54" i="33"/>
  <c r="K52" i="33" s="1"/>
  <c r="K59" i="31"/>
  <c r="M47" i="23"/>
  <c r="M48" i="23" s="1"/>
  <c r="O23" i="4" s="1"/>
  <c r="M17" i="31" s="1"/>
  <c r="L23" i="25"/>
  <c r="L35" i="25" s="1"/>
  <c r="L53" i="31"/>
  <c r="L65" i="31"/>
  <c r="E71" i="23"/>
  <c r="E19" i="29" s="1"/>
  <c r="E36" i="31" s="1"/>
  <c r="E83" i="33"/>
  <c r="BO23" i="31"/>
  <c r="L58" i="33"/>
  <c r="M113" i="25"/>
  <c r="M125" i="25" s="1"/>
  <c r="N55" i="33"/>
  <c r="K35" i="31"/>
  <c r="F53" i="33"/>
  <c r="G29" i="33"/>
  <c r="AM70" i="33"/>
  <c r="K29" i="31"/>
  <c r="AM35" i="31"/>
  <c r="L28" i="10"/>
  <c r="I63" i="23" s="1"/>
  <c r="N45" i="23"/>
  <c r="N60" i="33" s="1"/>
  <c r="N58" i="33" s="1"/>
  <c r="N101" i="25"/>
  <c r="BO59" i="31"/>
  <c r="G45" i="23"/>
  <c r="G101" i="25"/>
  <c r="G113" i="25" s="1"/>
  <c r="AM71" i="31"/>
  <c r="BO71" i="31" s="1"/>
  <c r="AO35" i="4"/>
  <c r="F94" i="23"/>
  <c r="G78" i="23"/>
  <c r="J42" i="10" s="1"/>
  <c r="G77" i="23"/>
  <c r="J41" i="10" s="1"/>
  <c r="D19" i="29"/>
  <c r="D36" i="31" s="1"/>
  <c r="D73" i="23"/>
  <c r="D16" i="31"/>
  <c r="D28" i="31" s="1"/>
  <c r="D30" i="31"/>
  <c r="E92" i="23"/>
  <c r="F68" i="23"/>
  <c r="F76" i="23"/>
  <c r="I40" i="10" s="1"/>
  <c r="AM29" i="31"/>
  <c r="BO17" i="31"/>
  <c r="AN35" i="4"/>
  <c r="AL71" i="31"/>
  <c r="M32" i="4"/>
  <c r="J71" i="31"/>
  <c r="L35" i="4"/>
  <c r="N107" i="25"/>
  <c r="F23" i="23"/>
  <c r="F24" i="23" s="1"/>
  <c r="H22" i="4" s="1"/>
  <c r="F16" i="31" s="1"/>
  <c r="G102" i="25"/>
  <c r="G114" i="25" s="1"/>
  <c r="M17" i="25"/>
  <c r="M29" i="25" s="1"/>
  <c r="E49" i="23"/>
  <c r="E48" i="23"/>
  <c r="G23" i="4" s="1"/>
  <c r="E25" i="23"/>
  <c r="E17" i="29"/>
  <c r="E34" i="31" s="1"/>
  <c r="F47" i="23"/>
  <c r="F48" i="23" s="1"/>
  <c r="H23" i="4" s="1"/>
  <c r="F17" i="31" s="1"/>
  <c r="F29" i="31" s="1"/>
  <c r="H70" i="23"/>
  <c r="H85" i="33" s="1"/>
  <c r="H79" i="33" s="1"/>
  <c r="H96" i="25"/>
  <c r="G22" i="23"/>
  <c r="G37" i="33" s="1"/>
  <c r="G31" i="33" s="1"/>
  <c r="G94" i="25"/>
  <c r="E111" i="25"/>
  <c r="E99" i="25"/>
  <c r="F93" i="25"/>
  <c r="G46" i="23"/>
  <c r="G61" i="33" s="1"/>
  <c r="H52" i="23"/>
  <c r="G52" i="23"/>
  <c r="H20" i="23"/>
  <c r="H35" i="33" s="1"/>
  <c r="G44" i="23"/>
  <c r="G59" i="33" s="1"/>
  <c r="H29" i="23"/>
  <c r="H28" i="23"/>
  <c r="K18" i="10"/>
  <c r="H39" i="23" s="1"/>
  <c r="I4" i="26"/>
  <c r="I10" i="26" s="1"/>
  <c r="I6" i="26" s="1"/>
  <c r="H6" i="23"/>
  <c r="I14" i="26"/>
  <c r="I20" i="26" s="1"/>
  <c r="I16" i="26" s="1"/>
  <c r="H30" i="23"/>
  <c r="I52" i="23"/>
  <c r="I53" i="23"/>
  <c r="J24" i="26"/>
  <c r="J30" i="26" s="1"/>
  <c r="J26" i="26" s="1"/>
  <c r="I54" i="23"/>
  <c r="BG8" i="6"/>
  <c r="N13" i="24"/>
  <c r="BE2" i="2"/>
  <c r="BD1" i="2"/>
  <c r="D58" i="31" l="1"/>
  <c r="D57" i="31" s="1"/>
  <c r="F31" i="4"/>
  <c r="D21" i="25"/>
  <c r="D33" i="25" s="1"/>
  <c r="D69" i="31" s="1"/>
  <c r="F55" i="33"/>
  <c r="F52" i="33" s="1"/>
  <c r="D71" i="31"/>
  <c r="X34" i="33"/>
  <c r="E59" i="31"/>
  <c r="J4" i="26"/>
  <c r="J10" i="26" s="1"/>
  <c r="J6" i="26" s="1"/>
  <c r="I6" i="23"/>
  <c r="I78" i="23" s="1"/>
  <c r="L42" i="10" s="1"/>
  <c r="I4" i="23"/>
  <c r="I20" i="23" s="1"/>
  <c r="E35" i="25"/>
  <c r="G35" i="4" s="1"/>
  <c r="F13" i="33"/>
  <c r="F7" i="33" s="1"/>
  <c r="F34" i="33"/>
  <c r="F29" i="25"/>
  <c r="F65" i="31" s="1"/>
  <c r="F53" i="31"/>
  <c r="F51" i="31" s="1"/>
  <c r="F23" i="25"/>
  <c r="F15" i="25"/>
  <c r="F27" i="25" s="1"/>
  <c r="F63" i="31" s="1"/>
  <c r="E54" i="31"/>
  <c r="E51" i="31" s="1"/>
  <c r="E30" i="25"/>
  <c r="E66" i="31" s="1"/>
  <c r="E24" i="25"/>
  <c r="E15" i="25"/>
  <c r="E27" i="25" s="1"/>
  <c r="E63" i="31" s="1"/>
  <c r="D72" i="31"/>
  <c r="F36" i="4"/>
  <c r="F34" i="4"/>
  <c r="D70" i="31"/>
  <c r="F105" i="25"/>
  <c r="F22" i="25"/>
  <c r="E58" i="31"/>
  <c r="E34" i="25"/>
  <c r="G31" i="4"/>
  <c r="F72" i="31"/>
  <c r="H36" i="4"/>
  <c r="X25" i="23"/>
  <c r="X17" i="29"/>
  <c r="Z20" i="23"/>
  <c r="Z35" i="33" s="1"/>
  <c r="W28" i="31"/>
  <c r="Z22" i="23"/>
  <c r="Z94" i="25"/>
  <c r="AB4" i="26"/>
  <c r="AB10" i="26" s="1"/>
  <c r="AB6" i="26" s="1"/>
  <c r="AA6" i="23"/>
  <c r="Y37" i="33"/>
  <c r="Y31" i="33" s="1"/>
  <c r="Y106" i="25"/>
  <c r="Y105" i="25" s="1"/>
  <c r="W34" i="31"/>
  <c r="Y112" i="25"/>
  <c r="Y124" i="25" s="1"/>
  <c r="Y16" i="25"/>
  <c r="Y28" i="25" s="1"/>
  <c r="X64" i="31"/>
  <c r="X52" i="31"/>
  <c r="X22" i="25"/>
  <c r="X34" i="25" s="1"/>
  <c r="X29" i="29"/>
  <c r="X28" i="29" s="1"/>
  <c r="X48" i="33"/>
  <c r="Z40" i="4"/>
  <c r="X22" i="31" s="1"/>
  <c r="X21" i="31" s="1"/>
  <c r="X123" i="25"/>
  <c r="W30" i="33"/>
  <c r="W28" i="33" s="1"/>
  <c r="W46" i="33"/>
  <c r="W24" i="33"/>
  <c r="W22" i="33" s="1"/>
  <c r="AA4" i="23"/>
  <c r="AA5" i="23"/>
  <c r="AD8" i="10"/>
  <c r="AA15" i="23" s="1"/>
  <c r="Y31" i="4"/>
  <c r="W58" i="31"/>
  <c r="Z100" i="25"/>
  <c r="Z21" i="23"/>
  <c r="Z36" i="33" s="1"/>
  <c r="V70" i="31"/>
  <c r="X34" i="4"/>
  <c r="Y35" i="33"/>
  <c r="Y23" i="23"/>
  <c r="L21" i="23"/>
  <c r="L100" i="25"/>
  <c r="M5" i="23"/>
  <c r="P8" i="10"/>
  <c r="M15" i="23" s="1"/>
  <c r="K112" i="25"/>
  <c r="K124" i="25" s="1"/>
  <c r="J123" i="25"/>
  <c r="J48" i="33"/>
  <c r="J29" i="29"/>
  <c r="L40" i="4"/>
  <c r="J22" i="31" s="1"/>
  <c r="J21" i="31" s="1"/>
  <c r="M18" i="29"/>
  <c r="M49" i="23"/>
  <c r="BO35" i="31"/>
  <c r="G34" i="33"/>
  <c r="G28" i="33"/>
  <c r="N47" i="23"/>
  <c r="N49" i="23" s="1"/>
  <c r="E73" i="23"/>
  <c r="E72" i="23"/>
  <c r="G24" i="4" s="1"/>
  <c r="E18" i="31" s="1"/>
  <c r="E30" i="31" s="1"/>
  <c r="L35" i="31"/>
  <c r="L59" i="31"/>
  <c r="M23" i="25"/>
  <c r="M35" i="25" s="1"/>
  <c r="M53" i="31"/>
  <c r="M65" i="31"/>
  <c r="G93" i="23"/>
  <c r="G60" i="33"/>
  <c r="G58" i="33" s="1"/>
  <c r="F71" i="23"/>
  <c r="F72" i="23" s="1"/>
  <c r="H24" i="4" s="1"/>
  <c r="F18" i="31" s="1"/>
  <c r="F30" i="31" s="1"/>
  <c r="F83" i="33"/>
  <c r="L70" i="33"/>
  <c r="G55" i="33"/>
  <c r="G13" i="33"/>
  <c r="G7" i="33" s="1"/>
  <c r="E82" i="33"/>
  <c r="E77" i="33"/>
  <c r="E76" i="33" s="1"/>
  <c r="E11" i="33"/>
  <c r="D10" i="33"/>
  <c r="D5" i="33"/>
  <c r="D4" i="33" s="1"/>
  <c r="G53" i="33"/>
  <c r="L29" i="31"/>
  <c r="N113" i="25"/>
  <c r="N125" i="25" s="1"/>
  <c r="M72" i="33"/>
  <c r="O41" i="4"/>
  <c r="M23" i="31" s="1"/>
  <c r="M30" i="29"/>
  <c r="H29" i="33"/>
  <c r="M28" i="10"/>
  <c r="J63" i="23" s="1"/>
  <c r="D33" i="31"/>
  <c r="D16" i="29"/>
  <c r="D15" i="31"/>
  <c r="H45" i="23"/>
  <c r="H60" i="33" s="1"/>
  <c r="H101" i="25"/>
  <c r="H113" i="25" s="1"/>
  <c r="G94" i="23"/>
  <c r="H77" i="23"/>
  <c r="K41" i="10" s="1"/>
  <c r="H78" i="23"/>
  <c r="K42" i="10" s="1"/>
  <c r="E16" i="29"/>
  <c r="E33" i="31"/>
  <c r="N17" i="25"/>
  <c r="N29" i="25" s="1"/>
  <c r="E17" i="31"/>
  <c r="E29" i="31" s="1"/>
  <c r="F92" i="23"/>
  <c r="H68" i="23"/>
  <c r="H76" i="23"/>
  <c r="K40" i="10" s="1"/>
  <c r="I69" i="23"/>
  <c r="I77" i="23"/>
  <c r="L41" i="10" s="1"/>
  <c r="F17" i="29"/>
  <c r="F34" i="31" s="1"/>
  <c r="G68" i="23"/>
  <c r="G76" i="23"/>
  <c r="J40" i="10" s="1"/>
  <c r="F25" i="23"/>
  <c r="G18" i="25"/>
  <c r="G30" i="25" s="1"/>
  <c r="D27" i="31"/>
  <c r="F28" i="31"/>
  <c r="BO29" i="31"/>
  <c r="N32" i="4"/>
  <c r="K71" i="31"/>
  <c r="M35" i="4"/>
  <c r="G107" i="25"/>
  <c r="G106" i="25"/>
  <c r="H102" i="25"/>
  <c r="H114" i="25" s="1"/>
  <c r="F49" i="23"/>
  <c r="F18" i="29"/>
  <c r="F35" i="31" s="1"/>
  <c r="G16" i="25"/>
  <c r="G28" i="25" s="1"/>
  <c r="G93" i="25"/>
  <c r="F111" i="25"/>
  <c r="F99" i="25"/>
  <c r="H46" i="23"/>
  <c r="H61" i="33" s="1"/>
  <c r="H95" i="25"/>
  <c r="G47" i="23"/>
  <c r="G49" i="23" s="1"/>
  <c r="I70" i="23"/>
  <c r="I96" i="25"/>
  <c r="H22" i="23"/>
  <c r="H37" i="33" s="1"/>
  <c r="H31" i="33" s="1"/>
  <c r="H94" i="25"/>
  <c r="G23" i="23"/>
  <c r="G25" i="23" s="1"/>
  <c r="H44" i="23"/>
  <c r="H59" i="33" s="1"/>
  <c r="H53" i="33" s="1"/>
  <c r="K24" i="26"/>
  <c r="K30" i="26" s="1"/>
  <c r="K26" i="26" s="1"/>
  <c r="J54" i="23"/>
  <c r="I68" i="23"/>
  <c r="J52" i="23"/>
  <c r="J53" i="23"/>
  <c r="BH8" i="6"/>
  <c r="BF2" i="2"/>
  <c r="BE1" i="2"/>
  <c r="E71" i="31" l="1"/>
  <c r="I35" i="33"/>
  <c r="I94" i="25"/>
  <c r="I16" i="25" s="1"/>
  <c r="I22" i="23"/>
  <c r="I94" i="23" s="1"/>
  <c r="K4" i="26"/>
  <c r="K10" i="26" s="1"/>
  <c r="K6" i="26" s="1"/>
  <c r="J6" i="23"/>
  <c r="J78" i="23" s="1"/>
  <c r="M42" i="10" s="1"/>
  <c r="J4" i="23"/>
  <c r="J20" i="23" s="1"/>
  <c r="I76" i="23"/>
  <c r="L40" i="10" s="1"/>
  <c r="F58" i="31"/>
  <c r="F34" i="25"/>
  <c r="H31" i="4"/>
  <c r="F21" i="25"/>
  <c r="F33" i="25" s="1"/>
  <c r="F69" i="31" s="1"/>
  <c r="G34" i="4"/>
  <c r="E70" i="31"/>
  <c r="E36" i="25"/>
  <c r="E60" i="31"/>
  <c r="E57" i="31" s="1"/>
  <c r="G33" i="4"/>
  <c r="F59" i="31"/>
  <c r="F35" i="25"/>
  <c r="H32" i="4"/>
  <c r="E21" i="25"/>
  <c r="E33" i="25" s="1"/>
  <c r="E69" i="31" s="1"/>
  <c r="AA22" i="23"/>
  <c r="AA94" i="25"/>
  <c r="AC4" i="26"/>
  <c r="AC10" i="26" s="1"/>
  <c r="AC6" i="26" s="1"/>
  <c r="AB6" i="23"/>
  <c r="Z37" i="33"/>
  <c r="Z31" i="33" s="1"/>
  <c r="Z106" i="25"/>
  <c r="Z105" i="25" s="1"/>
  <c r="X58" i="31"/>
  <c r="Z31" i="4"/>
  <c r="X34" i="31"/>
  <c r="M35" i="31"/>
  <c r="Z112" i="25"/>
  <c r="Z124" i="25" s="1"/>
  <c r="Z16" i="25"/>
  <c r="Z28" i="25" s="1"/>
  <c r="AB4" i="23"/>
  <c r="AB5" i="23"/>
  <c r="AE8" i="10"/>
  <c r="AB15" i="23" s="1"/>
  <c r="Y52" i="31"/>
  <c r="Y22" i="25"/>
  <c r="Y34" i="25" s="1"/>
  <c r="Y64" i="31"/>
  <c r="W70" i="31"/>
  <c r="Y34" i="4"/>
  <c r="Z23" i="23"/>
  <c r="AA20" i="23"/>
  <c r="Y29" i="29"/>
  <c r="Y28" i="29" s="1"/>
  <c r="Y48" i="33"/>
  <c r="Y123" i="25"/>
  <c r="AA40" i="4"/>
  <c r="Y22" i="31" s="1"/>
  <c r="Y21" i="31" s="1"/>
  <c r="Y17" i="29"/>
  <c r="Y24" i="23"/>
  <c r="AA22" i="4" s="1"/>
  <c r="Y25" i="23"/>
  <c r="Z29" i="33"/>
  <c r="AA100" i="25"/>
  <c r="AA21" i="23"/>
  <c r="AA36" i="33" s="1"/>
  <c r="X28" i="31"/>
  <c r="Y34" i="33"/>
  <c r="Y29" i="33"/>
  <c r="X30" i="33"/>
  <c r="X28" i="33" s="1"/>
  <c r="X46" i="33"/>
  <c r="X24" i="33"/>
  <c r="X22" i="33" s="1"/>
  <c r="M40" i="4"/>
  <c r="K22" i="31" s="1"/>
  <c r="K21" i="31" s="1"/>
  <c r="K48" i="33"/>
  <c r="K29" i="29"/>
  <c r="K123" i="25"/>
  <c r="M21" i="23"/>
  <c r="M100" i="25"/>
  <c r="N5" i="23"/>
  <c r="Q8" i="10"/>
  <c r="N15" i="23" s="1"/>
  <c r="J28" i="29"/>
  <c r="L112" i="25"/>
  <c r="L124" i="25" s="1"/>
  <c r="J24" i="33"/>
  <c r="J22" i="33" s="1"/>
  <c r="J46" i="33"/>
  <c r="J30" i="33"/>
  <c r="L36" i="33"/>
  <c r="N18" i="29"/>
  <c r="E15" i="31"/>
  <c r="G64" i="31"/>
  <c r="G52" i="31"/>
  <c r="G22" i="25"/>
  <c r="G34" i="25" s="1"/>
  <c r="F19" i="29"/>
  <c r="F36" i="31" s="1"/>
  <c r="F33" i="31" s="1"/>
  <c r="O48" i="23"/>
  <c r="Q23" i="4" s="1"/>
  <c r="O17" i="31" s="1"/>
  <c r="N48" i="23"/>
  <c r="P23" i="4" s="1"/>
  <c r="N17" i="31" s="1"/>
  <c r="H28" i="33"/>
  <c r="H34" i="33"/>
  <c r="F15" i="31"/>
  <c r="F73" i="23"/>
  <c r="F27" i="31"/>
  <c r="H93" i="23"/>
  <c r="N72" i="33"/>
  <c r="N30" i="29"/>
  <c r="P41" i="4"/>
  <c r="N23" i="31" s="1"/>
  <c r="Q41" i="4"/>
  <c r="O23" i="31" s="1"/>
  <c r="H71" i="23"/>
  <c r="H19" i="29" s="1"/>
  <c r="H36" i="31" s="1"/>
  <c r="H83" i="33"/>
  <c r="F82" i="33"/>
  <c r="F77" i="33"/>
  <c r="F76" i="33" s="1"/>
  <c r="F11" i="33"/>
  <c r="H55" i="33"/>
  <c r="H13" i="33"/>
  <c r="H7" i="33" s="1"/>
  <c r="G54" i="33"/>
  <c r="G52" i="33" s="1"/>
  <c r="G12" i="33"/>
  <c r="G71" i="23"/>
  <c r="G19" i="29" s="1"/>
  <c r="G36" i="31" s="1"/>
  <c r="G83" i="33"/>
  <c r="M59" i="31"/>
  <c r="I85" i="33"/>
  <c r="M29" i="31"/>
  <c r="N23" i="25"/>
  <c r="N53" i="31"/>
  <c r="N65" i="31"/>
  <c r="M70" i="33"/>
  <c r="M54" i="33"/>
  <c r="M52" i="33" s="1"/>
  <c r="E10" i="33"/>
  <c r="E5" i="33"/>
  <c r="E4" i="33" s="1"/>
  <c r="I92" i="23"/>
  <c r="I83" i="33"/>
  <c r="I93" i="23"/>
  <c r="I84" i="33"/>
  <c r="H58" i="33"/>
  <c r="H54" i="33"/>
  <c r="H12" i="33"/>
  <c r="H6" i="33" s="1"/>
  <c r="G24" i="25"/>
  <c r="G66" i="31"/>
  <c r="H92" i="23"/>
  <c r="N28" i="10"/>
  <c r="K63" i="23" s="1"/>
  <c r="G54" i="31"/>
  <c r="H94" i="23"/>
  <c r="G92" i="23"/>
  <c r="J69" i="23"/>
  <c r="J77" i="23"/>
  <c r="M41" i="10" s="1"/>
  <c r="E27" i="31"/>
  <c r="L71" i="31"/>
  <c r="N35" i="4"/>
  <c r="O32" i="4"/>
  <c r="H106" i="25"/>
  <c r="G105" i="25"/>
  <c r="H107" i="25"/>
  <c r="G17" i="25"/>
  <c r="G29" i="25" s="1"/>
  <c r="H18" i="25"/>
  <c r="H30" i="25" s="1"/>
  <c r="H23" i="23"/>
  <c r="H17" i="29" s="1"/>
  <c r="H34" i="31" s="1"/>
  <c r="G48" i="23"/>
  <c r="I23" i="4" s="1"/>
  <c r="G24" i="23"/>
  <c r="I22" i="4" s="1"/>
  <c r="G18" i="29"/>
  <c r="G35" i="31" s="1"/>
  <c r="G17" i="29"/>
  <c r="G34" i="31" s="1"/>
  <c r="J70" i="23"/>
  <c r="J96" i="25"/>
  <c r="H16" i="25"/>
  <c r="H28" i="25" s="1"/>
  <c r="H93" i="25"/>
  <c r="I102" i="25"/>
  <c r="I18" i="25" s="1"/>
  <c r="I30" i="25" s="1"/>
  <c r="I93" i="25"/>
  <c r="I71" i="23"/>
  <c r="I19" i="29" s="1"/>
  <c r="I36" i="31" s="1"/>
  <c r="H47" i="23"/>
  <c r="H18" i="29" s="1"/>
  <c r="H35" i="31" s="1"/>
  <c r="G111" i="25"/>
  <c r="G99" i="25"/>
  <c r="J68" i="23"/>
  <c r="L24" i="26"/>
  <c r="L30" i="26" s="1"/>
  <c r="L26" i="26" s="1"/>
  <c r="K54" i="23"/>
  <c r="K52" i="23"/>
  <c r="K53" i="23"/>
  <c r="BI8" i="6"/>
  <c r="BG2" i="2"/>
  <c r="BF1" i="2"/>
  <c r="J76" i="23" l="1"/>
  <c r="M40" i="10" s="1"/>
  <c r="L4" i="26"/>
  <c r="L10" i="26" s="1"/>
  <c r="L6" i="26" s="1"/>
  <c r="K6" i="23"/>
  <c r="K78" i="23" s="1"/>
  <c r="N42" i="10" s="1"/>
  <c r="K4" i="23"/>
  <c r="K20" i="23" s="1"/>
  <c r="I37" i="33"/>
  <c r="I31" i="33" s="1"/>
  <c r="I106" i="25"/>
  <c r="I105" i="25" s="1"/>
  <c r="I52" i="31"/>
  <c r="I28" i="25"/>
  <c r="I64" i="31" s="1"/>
  <c r="J35" i="33"/>
  <c r="I23" i="23"/>
  <c r="I24" i="23" s="1"/>
  <c r="K22" i="4" s="1"/>
  <c r="I16" i="31" s="1"/>
  <c r="J22" i="23"/>
  <c r="J23" i="23" s="1"/>
  <c r="J94" i="25"/>
  <c r="J16" i="25" s="1"/>
  <c r="I29" i="33"/>
  <c r="G36" i="25"/>
  <c r="I36" i="4" s="1"/>
  <c r="G36" i="4"/>
  <c r="E72" i="31"/>
  <c r="P32" i="4"/>
  <c r="N35" i="25"/>
  <c r="P35" i="4" s="1"/>
  <c r="H35" i="4"/>
  <c r="F71" i="31"/>
  <c r="F70" i="31"/>
  <c r="H34" i="4"/>
  <c r="F57" i="31"/>
  <c r="AB22" i="23"/>
  <c r="AB94" i="25"/>
  <c r="AD4" i="26"/>
  <c r="AD10" i="26" s="1"/>
  <c r="AD6" i="26" s="1"/>
  <c r="AC6" i="23"/>
  <c r="Z34" i="33"/>
  <c r="AA37" i="33"/>
  <c r="AA31" i="33" s="1"/>
  <c r="AA106" i="25"/>
  <c r="AA105" i="25" s="1"/>
  <c r="AB20" i="23"/>
  <c r="AB35" i="33" s="1"/>
  <c r="Y34" i="31"/>
  <c r="Z52" i="31"/>
  <c r="Z64" i="31"/>
  <c r="Z22" i="25"/>
  <c r="Z34" i="25" s="1"/>
  <c r="Z29" i="29"/>
  <c r="Z28" i="29" s="1"/>
  <c r="Z48" i="33"/>
  <c r="AB40" i="4"/>
  <c r="Z22" i="31" s="1"/>
  <c r="Z21" i="31" s="1"/>
  <c r="Z123" i="25"/>
  <c r="AA31" i="4"/>
  <c r="Y58" i="31"/>
  <c r="AA112" i="25"/>
  <c r="AA124" i="25" s="1"/>
  <c r="AA16" i="25"/>
  <c r="AA28" i="25" s="1"/>
  <c r="Y30" i="33"/>
  <c r="Y28" i="33" s="1"/>
  <c r="Y46" i="33"/>
  <c r="Y24" i="33"/>
  <c r="Y22" i="33" s="1"/>
  <c r="AC4" i="23"/>
  <c r="AC5" i="23"/>
  <c r="AF8" i="10"/>
  <c r="AC15" i="23" s="1"/>
  <c r="AA35" i="33"/>
  <c r="AA23" i="23"/>
  <c r="Z17" i="29"/>
  <c r="Z25" i="23"/>
  <c r="Z24" i="23"/>
  <c r="AB22" i="4" s="1"/>
  <c r="Z16" i="31" s="1"/>
  <c r="AB100" i="25"/>
  <c r="AB21" i="23"/>
  <c r="AB36" i="33" s="1"/>
  <c r="Z34" i="4"/>
  <c r="X70" i="31"/>
  <c r="Y16" i="31"/>
  <c r="Y28" i="31" s="1"/>
  <c r="R8" i="10"/>
  <c r="O15" i="23" s="1"/>
  <c r="O5" i="23"/>
  <c r="K24" i="33"/>
  <c r="K22" i="33" s="1"/>
  <c r="K46" i="33"/>
  <c r="K30" i="33"/>
  <c r="M112" i="25"/>
  <c r="M124" i="25" s="1"/>
  <c r="M36" i="33"/>
  <c r="L48" i="33"/>
  <c r="N40" i="4"/>
  <c r="L22" i="31" s="1"/>
  <c r="L21" i="31" s="1"/>
  <c r="L29" i="29"/>
  <c r="L28" i="29" s="1"/>
  <c r="L123" i="25"/>
  <c r="N21" i="23"/>
  <c r="N100" i="25"/>
  <c r="K28" i="29"/>
  <c r="G58" i="31"/>
  <c r="H22" i="25"/>
  <c r="I12" i="24"/>
  <c r="F16" i="29"/>
  <c r="H64" i="31"/>
  <c r="H52" i="31"/>
  <c r="G72" i="23"/>
  <c r="I24" i="4" s="1"/>
  <c r="G18" i="31" s="1"/>
  <c r="G30" i="31" s="1"/>
  <c r="G73" i="23"/>
  <c r="N29" i="31"/>
  <c r="H52" i="33"/>
  <c r="N35" i="31"/>
  <c r="I33" i="4"/>
  <c r="O29" i="31"/>
  <c r="I78" i="33"/>
  <c r="I12" i="33"/>
  <c r="I6" i="33" s="1"/>
  <c r="G6" i="33"/>
  <c r="H77" i="33"/>
  <c r="H76" i="33" s="1"/>
  <c r="H82" i="33"/>
  <c r="J92" i="23"/>
  <c r="J83" i="33"/>
  <c r="I77" i="33"/>
  <c r="I11" i="33"/>
  <c r="G82" i="33"/>
  <c r="G77" i="33"/>
  <c r="G76" i="33" s="1"/>
  <c r="G11" i="33"/>
  <c r="G5" i="33" s="1"/>
  <c r="BM23" i="31"/>
  <c r="I82" i="33"/>
  <c r="I79" i="33"/>
  <c r="J85" i="33"/>
  <c r="H73" i="23"/>
  <c r="J93" i="23"/>
  <c r="J84" i="33"/>
  <c r="H11" i="33"/>
  <c r="N59" i="31"/>
  <c r="G53" i="31"/>
  <c r="G51" i="31" s="1"/>
  <c r="G23" i="25"/>
  <c r="G35" i="25" s="1"/>
  <c r="G65" i="31"/>
  <c r="H72" i="23"/>
  <c r="J24" i="4" s="1"/>
  <c r="H18" i="31" s="1"/>
  <c r="H30" i="31" s="1"/>
  <c r="F5" i="33"/>
  <c r="F4" i="33" s="1"/>
  <c r="F10" i="33"/>
  <c r="G60" i="31"/>
  <c r="N70" i="33"/>
  <c r="N54" i="33"/>
  <c r="N52" i="33" s="1"/>
  <c r="O28" i="10"/>
  <c r="L63" i="23" s="1"/>
  <c r="G33" i="31"/>
  <c r="G16" i="31"/>
  <c r="G28" i="31" s="1"/>
  <c r="G17" i="31"/>
  <c r="G29" i="31" s="1"/>
  <c r="K69" i="23"/>
  <c r="K77" i="23"/>
  <c r="N41" i="10" s="1"/>
  <c r="H33" i="31"/>
  <c r="O35" i="4"/>
  <c r="M71" i="31"/>
  <c r="H66" i="31"/>
  <c r="H54" i="31"/>
  <c r="I66" i="31"/>
  <c r="I54" i="31"/>
  <c r="H105" i="25"/>
  <c r="G15" i="25"/>
  <c r="G27" i="25" s="1"/>
  <c r="H25" i="23"/>
  <c r="I15" i="25"/>
  <c r="I27" i="25" s="1"/>
  <c r="H24" i="25"/>
  <c r="H36" i="25" s="1"/>
  <c r="H17" i="25"/>
  <c r="H29" i="25" s="1"/>
  <c r="H16" i="29"/>
  <c r="I72" i="23"/>
  <c r="K24" i="4" s="1"/>
  <c r="I73" i="23"/>
  <c r="H24" i="23"/>
  <c r="J22" i="4" s="1"/>
  <c r="H16" i="31" s="1"/>
  <c r="G16" i="29"/>
  <c r="J71" i="23"/>
  <c r="J19" i="29" s="1"/>
  <c r="J36" i="31" s="1"/>
  <c r="H48" i="23"/>
  <c r="J23" i="4" s="1"/>
  <c r="H17" i="31" s="1"/>
  <c r="H29" i="31" s="1"/>
  <c r="H49" i="23"/>
  <c r="H111" i="25"/>
  <c r="H99" i="25"/>
  <c r="I114" i="25"/>
  <c r="I111" i="25" s="1"/>
  <c r="I99" i="25"/>
  <c r="J102" i="25"/>
  <c r="J18" i="25" s="1"/>
  <c r="J30" i="25" s="1"/>
  <c r="I48" i="23"/>
  <c r="K23" i="4" s="1"/>
  <c r="I17" i="31" s="1"/>
  <c r="I29" i="31" s="1"/>
  <c r="K70" i="23"/>
  <c r="K96" i="25"/>
  <c r="K68" i="23"/>
  <c r="AS4" i="8"/>
  <c r="L52" i="23"/>
  <c r="L53" i="23"/>
  <c r="M24" i="26"/>
  <c r="M30" i="26" s="1"/>
  <c r="M26" i="26" s="1"/>
  <c r="L54" i="23"/>
  <c r="BJ8" i="6"/>
  <c r="BH2" i="2"/>
  <c r="BG1" i="2"/>
  <c r="J94" i="23" l="1"/>
  <c r="G72" i="31"/>
  <c r="J93" i="25"/>
  <c r="I51" i="31"/>
  <c r="K76" i="23"/>
  <c r="N40" i="10" s="1"/>
  <c r="I13" i="33"/>
  <c r="I7" i="33" s="1"/>
  <c r="J17" i="29"/>
  <c r="J34" i="31" s="1"/>
  <c r="J33" i="31" s="1"/>
  <c r="J24" i="23"/>
  <c r="L22" i="4" s="1"/>
  <c r="J16" i="31" s="1"/>
  <c r="J28" i="31" s="1"/>
  <c r="J25" i="23"/>
  <c r="I25" i="23"/>
  <c r="I17" i="29"/>
  <c r="J29" i="33"/>
  <c r="K35" i="33"/>
  <c r="I34" i="33"/>
  <c r="K22" i="23"/>
  <c r="K94" i="23" s="1"/>
  <c r="K94" i="25"/>
  <c r="K16" i="25" s="1"/>
  <c r="I28" i="33"/>
  <c r="I22" i="25"/>
  <c r="J28" i="25"/>
  <c r="J64" i="31" s="1"/>
  <c r="J52" i="31"/>
  <c r="J37" i="33"/>
  <c r="J31" i="33" s="1"/>
  <c r="J106" i="25"/>
  <c r="J105" i="25" s="1"/>
  <c r="M4" i="26"/>
  <c r="M10" i="26" s="1"/>
  <c r="M6" i="26" s="1"/>
  <c r="L6" i="23"/>
  <c r="L78" i="23" s="1"/>
  <c r="O42" i="10" s="1"/>
  <c r="L4" i="23"/>
  <c r="L20" i="23" s="1"/>
  <c r="H58" i="31"/>
  <c r="H34" i="25"/>
  <c r="AC94" i="25"/>
  <c r="AC22" i="23"/>
  <c r="AC20" i="23"/>
  <c r="AC35" i="33" s="1"/>
  <c r="AE4" i="26"/>
  <c r="AE10" i="26" s="1"/>
  <c r="AE6" i="26" s="1"/>
  <c r="AD6" i="23"/>
  <c r="AB37" i="33"/>
  <c r="AB31" i="33" s="1"/>
  <c r="AB106" i="25"/>
  <c r="AB105" i="25" s="1"/>
  <c r="Z34" i="31"/>
  <c r="AA17" i="29"/>
  <c r="AA25" i="23"/>
  <c r="AA24" i="23"/>
  <c r="AC22" i="4" s="1"/>
  <c r="AB112" i="25"/>
  <c r="AB124" i="25" s="1"/>
  <c r="AB16" i="25"/>
  <c r="AB28" i="25" s="1"/>
  <c r="AD4" i="23"/>
  <c r="AD5" i="23"/>
  <c r="AG8" i="10"/>
  <c r="AD15" i="23" s="1"/>
  <c r="AA64" i="31"/>
  <c r="BN64" i="31" s="1"/>
  <c r="AA52" i="31"/>
  <c r="BN52" i="31" s="1"/>
  <c r="AA22" i="25"/>
  <c r="AA34" i="25" s="1"/>
  <c r="Z30" i="33"/>
  <c r="Z28" i="33" s="1"/>
  <c r="Z46" i="33"/>
  <c r="Z24" i="33"/>
  <c r="Z22" i="33" s="1"/>
  <c r="Z28" i="31"/>
  <c r="AA48" i="33"/>
  <c r="AA29" i="29"/>
  <c r="AA28" i="29" s="1"/>
  <c r="AC40" i="4"/>
  <c r="AA22" i="31" s="1"/>
  <c r="AA21" i="31" s="1"/>
  <c r="AA123" i="25"/>
  <c r="AA29" i="33"/>
  <c r="AA34" i="33"/>
  <c r="AC100" i="25"/>
  <c r="AC21" i="23"/>
  <c r="AC36" i="33" s="1"/>
  <c r="Y70" i="31"/>
  <c r="AA34" i="4"/>
  <c r="AB31" i="4"/>
  <c r="Z58" i="31"/>
  <c r="AB23" i="23"/>
  <c r="AB29" i="33"/>
  <c r="H16" i="24"/>
  <c r="O21" i="23"/>
  <c r="O100" i="25"/>
  <c r="O112" i="25" s="1"/>
  <c r="O124" i="25" s="1"/>
  <c r="O29" i="29" s="1"/>
  <c r="O28" i="29" s="1"/>
  <c r="L24" i="33"/>
  <c r="L22" i="33" s="1"/>
  <c r="L46" i="33"/>
  <c r="S8" i="10"/>
  <c r="P15" i="23" s="1"/>
  <c r="P5" i="23"/>
  <c r="N112" i="25"/>
  <c r="N124" i="25" s="1"/>
  <c r="N36" i="33"/>
  <c r="M48" i="33"/>
  <c r="M29" i="29"/>
  <c r="M28" i="29" s="1"/>
  <c r="O40" i="4"/>
  <c r="M22" i="31" s="1"/>
  <c r="M21" i="31" s="1"/>
  <c r="M123" i="25"/>
  <c r="L30" i="33"/>
  <c r="N71" i="31"/>
  <c r="G59" i="31"/>
  <c r="J79" i="33"/>
  <c r="K92" i="23"/>
  <c r="K83" i="33"/>
  <c r="I5" i="33"/>
  <c r="K93" i="23"/>
  <c r="K84" i="33"/>
  <c r="H53" i="31"/>
  <c r="H51" i="31" s="1"/>
  <c r="H65" i="31"/>
  <c r="H23" i="25"/>
  <c r="H35" i="25" s="1"/>
  <c r="I76" i="33"/>
  <c r="G4" i="33"/>
  <c r="H5" i="33"/>
  <c r="H4" i="33" s="1"/>
  <c r="H10" i="33"/>
  <c r="J77" i="33"/>
  <c r="J82" i="33"/>
  <c r="J11" i="33"/>
  <c r="J5" i="33" s="1"/>
  <c r="G10" i="33"/>
  <c r="K85" i="33"/>
  <c r="J78" i="33"/>
  <c r="J12" i="33"/>
  <c r="J6" i="33" s="1"/>
  <c r="I63" i="31"/>
  <c r="G63" i="31"/>
  <c r="P28" i="10"/>
  <c r="M63" i="23" s="1"/>
  <c r="G15" i="31"/>
  <c r="H12" i="24"/>
  <c r="L12" i="24" s="1"/>
  <c r="H8" i="24"/>
  <c r="L8" i="24" s="1"/>
  <c r="L69" i="23"/>
  <c r="L77" i="23"/>
  <c r="O41" i="10" s="1"/>
  <c r="BM29" i="31"/>
  <c r="H28" i="31"/>
  <c r="H27" i="31" s="1"/>
  <c r="H15" i="31"/>
  <c r="G27" i="31"/>
  <c r="I28" i="31"/>
  <c r="AR5" i="8"/>
  <c r="I18" i="31"/>
  <c r="I30" i="31" s="1"/>
  <c r="BM17" i="31"/>
  <c r="J66" i="31"/>
  <c r="J54" i="31"/>
  <c r="I32" i="4"/>
  <c r="I31" i="4"/>
  <c r="J33" i="4"/>
  <c r="H60" i="31"/>
  <c r="G21" i="25"/>
  <c r="G33" i="25" s="1"/>
  <c r="AR3" i="8"/>
  <c r="H15" i="25"/>
  <c r="H27" i="25" s="1"/>
  <c r="J15" i="25"/>
  <c r="J27" i="25" s="1"/>
  <c r="I24" i="25"/>
  <c r="I36" i="25" s="1"/>
  <c r="AR4" i="8"/>
  <c r="J73" i="23"/>
  <c r="J72" i="23"/>
  <c r="L24" i="4" s="1"/>
  <c r="K71" i="23"/>
  <c r="K72" i="23" s="1"/>
  <c r="M24" i="4" s="1"/>
  <c r="K18" i="31" s="1"/>
  <c r="J114" i="25"/>
  <c r="J111" i="25" s="1"/>
  <c r="J99" i="25"/>
  <c r="L70" i="23"/>
  <c r="L96" i="25"/>
  <c r="K102" i="25"/>
  <c r="K18" i="25" s="1"/>
  <c r="K30" i="25" s="1"/>
  <c r="L68" i="23"/>
  <c r="M12" i="24"/>
  <c r="I13" i="24"/>
  <c r="M52" i="23"/>
  <c r="M53" i="23"/>
  <c r="M54" i="23"/>
  <c r="N24" i="26"/>
  <c r="N30" i="26" s="1"/>
  <c r="N26" i="26" s="1"/>
  <c r="BI2" i="2"/>
  <c r="BH1" i="2"/>
  <c r="J13" i="33" l="1"/>
  <c r="J7" i="33" s="1"/>
  <c r="J4" i="33" s="1"/>
  <c r="I4" i="33"/>
  <c r="J51" i="31"/>
  <c r="I10" i="33"/>
  <c r="K93" i="25"/>
  <c r="J16" i="29"/>
  <c r="J22" i="25"/>
  <c r="L31" i="4" s="1"/>
  <c r="K37" i="33"/>
  <c r="K31" i="33" s="1"/>
  <c r="K106" i="25"/>
  <c r="K105" i="25" s="1"/>
  <c r="I34" i="31"/>
  <c r="I33" i="31" s="1"/>
  <c r="I16" i="29"/>
  <c r="K23" i="23"/>
  <c r="L76" i="23"/>
  <c r="O40" i="10" s="1"/>
  <c r="M6" i="23"/>
  <c r="M78" i="23" s="1"/>
  <c r="P42" i="10" s="1"/>
  <c r="N4" i="26"/>
  <c r="N10" i="26" s="1"/>
  <c r="N6" i="26" s="1"/>
  <c r="M4" i="23"/>
  <c r="M20" i="23" s="1"/>
  <c r="L35" i="33"/>
  <c r="K29" i="33"/>
  <c r="L22" i="23"/>
  <c r="L94" i="25"/>
  <c r="L16" i="25" s="1"/>
  <c r="J28" i="33"/>
  <c r="K28" i="25"/>
  <c r="K64" i="31" s="1"/>
  <c r="K52" i="31"/>
  <c r="I34" i="25"/>
  <c r="K31" i="4"/>
  <c r="I58" i="31"/>
  <c r="J34" i="33"/>
  <c r="AD94" i="25"/>
  <c r="AD22" i="23"/>
  <c r="AE6" i="23"/>
  <c r="AF4" i="26"/>
  <c r="AF10" i="26" s="1"/>
  <c r="AF6" i="26" s="1"/>
  <c r="AC37" i="33"/>
  <c r="AC31" i="33" s="1"/>
  <c r="AC106" i="25"/>
  <c r="AC105" i="25" s="1"/>
  <c r="AB34" i="33"/>
  <c r="AC23" i="23"/>
  <c r="AC25" i="23" s="1"/>
  <c r="AD100" i="25"/>
  <c r="AD21" i="23"/>
  <c r="AD36" i="33" s="1"/>
  <c r="AE4" i="23"/>
  <c r="AE5" i="23"/>
  <c r="AH8" i="10"/>
  <c r="AE15" i="23" s="1"/>
  <c r="AB52" i="31"/>
  <c r="AB64" i="31"/>
  <c r="AB22" i="25"/>
  <c r="AB34" i="25" s="1"/>
  <c r="AC31" i="4"/>
  <c r="AA58" i="31"/>
  <c r="BN58" i="31" s="1"/>
  <c r="AB48" i="33"/>
  <c r="AD40" i="4"/>
  <c r="AB22" i="31" s="1"/>
  <c r="AB29" i="29"/>
  <c r="AB28" i="29" s="1"/>
  <c r="AB123" i="25"/>
  <c r="Z70" i="31"/>
  <c r="AB34" i="4"/>
  <c r="AA24" i="33"/>
  <c r="AA22" i="33" s="1"/>
  <c r="AA46" i="33"/>
  <c r="AA30" i="33"/>
  <c r="AA28" i="33" s="1"/>
  <c r="AA16" i="31"/>
  <c r="AA28" i="31" s="1"/>
  <c r="AC112" i="25"/>
  <c r="AC124" i="25" s="1"/>
  <c r="AC16" i="25"/>
  <c r="AC28" i="25" s="1"/>
  <c r="AB17" i="29"/>
  <c r="AB24" i="23"/>
  <c r="AD22" i="4" s="1"/>
  <c r="AB25" i="23"/>
  <c r="AC29" i="33"/>
  <c r="AD20" i="23"/>
  <c r="AA34" i="31"/>
  <c r="BN34" i="31" s="1"/>
  <c r="O48" i="33"/>
  <c r="O24" i="33" s="1"/>
  <c r="O22" i="33" s="1"/>
  <c r="O123" i="25"/>
  <c r="Q40" i="4"/>
  <c r="O22" i="31" s="1"/>
  <c r="O21" i="31" s="1"/>
  <c r="N48" i="33"/>
  <c r="N30" i="33" s="1"/>
  <c r="N29" i="29"/>
  <c r="P40" i="4"/>
  <c r="N22" i="31" s="1"/>
  <c r="N21" i="31" s="1"/>
  <c r="N123" i="25"/>
  <c r="P100" i="25"/>
  <c r="P21" i="23"/>
  <c r="O36" i="33"/>
  <c r="M24" i="33"/>
  <c r="M22" i="33" s="1"/>
  <c r="M30" i="33"/>
  <c r="M46" i="33"/>
  <c r="Q5" i="23"/>
  <c r="T8" i="10"/>
  <c r="Q15" i="23" s="1"/>
  <c r="J76" i="33"/>
  <c r="K11" i="33"/>
  <c r="K77" i="33"/>
  <c r="K82" i="33"/>
  <c r="L92" i="23"/>
  <c r="L83" i="33"/>
  <c r="L93" i="23"/>
  <c r="L84" i="33"/>
  <c r="J10" i="33"/>
  <c r="H59" i="31"/>
  <c r="K79" i="33"/>
  <c r="K78" i="33"/>
  <c r="K12" i="33"/>
  <c r="K6" i="33" s="1"/>
  <c r="L94" i="23"/>
  <c r="L85" i="33"/>
  <c r="J63" i="31"/>
  <c r="H63" i="31"/>
  <c r="G69" i="31"/>
  <c r="Q28" i="10"/>
  <c r="N63" i="23" s="1"/>
  <c r="G57" i="31"/>
  <c r="J18" i="31"/>
  <c r="J15" i="31" s="1"/>
  <c r="M69" i="23"/>
  <c r="M77" i="23"/>
  <c r="P41" i="10" s="1"/>
  <c r="I15" i="31"/>
  <c r="H13" i="24"/>
  <c r="L13" i="24" s="1"/>
  <c r="I27" i="31"/>
  <c r="K30" i="31"/>
  <c r="G70" i="31"/>
  <c r="I34" i="4"/>
  <c r="J32" i="4"/>
  <c r="H72" i="31"/>
  <c r="J36" i="4"/>
  <c r="J31" i="4"/>
  <c r="K66" i="31"/>
  <c r="K54" i="31"/>
  <c r="I60" i="31"/>
  <c r="K33" i="4"/>
  <c r="G71" i="31"/>
  <c r="I35" i="4"/>
  <c r="H21" i="25"/>
  <c r="H33" i="25" s="1"/>
  <c r="I21" i="25"/>
  <c r="I33" i="25" s="1"/>
  <c r="K15" i="25"/>
  <c r="K27" i="25" s="1"/>
  <c r="J24" i="25"/>
  <c r="J36" i="25" s="1"/>
  <c r="K19" i="29"/>
  <c r="K36" i="31" s="1"/>
  <c r="K73" i="23"/>
  <c r="H9" i="24"/>
  <c r="L9" i="24" s="1"/>
  <c r="L71" i="23"/>
  <c r="L19" i="29" s="1"/>
  <c r="L36" i="31" s="1"/>
  <c r="M70" i="23"/>
  <c r="M96" i="25"/>
  <c r="K114" i="25"/>
  <c r="K111" i="25" s="1"/>
  <c r="K99" i="25"/>
  <c r="L102" i="25"/>
  <c r="L18" i="25" s="1"/>
  <c r="L30" i="25" s="1"/>
  <c r="M13" i="24"/>
  <c r="O24" i="26"/>
  <c r="O30" i="26" s="1"/>
  <c r="O26" i="26" s="1"/>
  <c r="N54" i="23"/>
  <c r="N53" i="23"/>
  <c r="N52" i="23"/>
  <c r="M68" i="23"/>
  <c r="BJ2" i="2"/>
  <c r="BJ1" i="2" s="1"/>
  <c r="BI1" i="2"/>
  <c r="L93" i="25" l="1"/>
  <c r="K13" i="33"/>
  <c r="K7" i="33" s="1"/>
  <c r="J34" i="25"/>
  <c r="J70" i="31" s="1"/>
  <c r="I57" i="31"/>
  <c r="K22" i="25"/>
  <c r="K34" i="25" s="1"/>
  <c r="K51" i="31"/>
  <c r="J58" i="31"/>
  <c r="K28" i="33"/>
  <c r="K34" i="33"/>
  <c r="L29" i="33"/>
  <c r="L28" i="25"/>
  <c r="L64" i="31" s="1"/>
  <c r="L52" i="31"/>
  <c r="L37" i="33"/>
  <c r="L31" i="33" s="1"/>
  <c r="L106" i="25"/>
  <c r="L105" i="25" s="1"/>
  <c r="M22" i="23"/>
  <c r="M23" i="23" s="1"/>
  <c r="M94" i="25"/>
  <c r="M16" i="25" s="1"/>
  <c r="I70" i="31"/>
  <c r="K34" i="4"/>
  <c r="M76" i="23"/>
  <c r="P40" i="10" s="1"/>
  <c r="O4" i="26"/>
  <c r="O10" i="26" s="1"/>
  <c r="O6" i="26" s="1"/>
  <c r="N6" i="23"/>
  <c r="N78" i="23" s="1"/>
  <c r="Q42" i="10" s="1"/>
  <c r="N4" i="23"/>
  <c r="N20" i="23" s="1"/>
  <c r="M35" i="33"/>
  <c r="L23" i="23"/>
  <c r="K17" i="29"/>
  <c r="K34" i="31" s="1"/>
  <c r="K33" i="31" s="1"/>
  <c r="K25" i="23"/>
  <c r="K24" i="23"/>
  <c r="M22" i="4" s="1"/>
  <c r="K16" i="31" s="1"/>
  <c r="AC24" i="23"/>
  <c r="AE22" i="4" s="1"/>
  <c r="AC16" i="31" s="1"/>
  <c r="AC17" i="29"/>
  <c r="AB34" i="31"/>
  <c r="AE22" i="23"/>
  <c r="AE94" i="25"/>
  <c r="AG4" i="26"/>
  <c r="AG10" i="26" s="1"/>
  <c r="AG6" i="26" s="1"/>
  <c r="AF6" i="23"/>
  <c r="AD37" i="33"/>
  <c r="AD31" i="33" s="1"/>
  <c r="AD106" i="25"/>
  <c r="AD105" i="25" s="1"/>
  <c r="AC34" i="33"/>
  <c r="O46" i="33"/>
  <c r="AE20" i="23"/>
  <c r="AE35" i="33" s="1"/>
  <c r="O30" i="33"/>
  <c r="AB21" i="31"/>
  <c r="AD35" i="33"/>
  <c r="AD23" i="23"/>
  <c r="AC34" i="4"/>
  <c r="AA70" i="31"/>
  <c r="BN70" i="31" s="1"/>
  <c r="AE100" i="25"/>
  <c r="AE21" i="23"/>
  <c r="AE36" i="33" s="1"/>
  <c r="AB30" i="33"/>
  <c r="AB28" i="33" s="1"/>
  <c r="AB24" i="33"/>
  <c r="AB22" i="33" s="1"/>
  <c r="AB46" i="33"/>
  <c r="AC64" i="31"/>
  <c r="AC52" i="31"/>
  <c r="AC22" i="25"/>
  <c r="AC34" i="25" s="1"/>
  <c r="AC48" i="33"/>
  <c r="AE40" i="4"/>
  <c r="AC22" i="31" s="1"/>
  <c r="AC21" i="31" s="1"/>
  <c r="AC29" i="29"/>
  <c r="AC28" i="29" s="1"/>
  <c r="AC123" i="25"/>
  <c r="AF4" i="23"/>
  <c r="AF5" i="23"/>
  <c r="AI8" i="10"/>
  <c r="AF15" i="23" s="1"/>
  <c r="AD31" i="4"/>
  <c r="AB58" i="31"/>
  <c r="AB16" i="31"/>
  <c r="AD16" i="25"/>
  <c r="AD28" i="25" s="1"/>
  <c r="AD112" i="25"/>
  <c r="AD124" i="25" s="1"/>
  <c r="N28" i="29"/>
  <c r="P36" i="33"/>
  <c r="N24" i="33"/>
  <c r="N22" i="33" s="1"/>
  <c r="N46" i="33"/>
  <c r="Q21" i="23"/>
  <c r="Q100" i="25"/>
  <c r="BM22" i="31"/>
  <c r="BM21" i="31" s="1"/>
  <c r="I8" i="27" s="1"/>
  <c r="P112" i="25"/>
  <c r="P124" i="25" s="1"/>
  <c r="R5" i="23"/>
  <c r="U8" i="10"/>
  <c r="R15" i="23" s="1"/>
  <c r="M93" i="23"/>
  <c r="M84" i="33"/>
  <c r="L78" i="33"/>
  <c r="L12" i="33"/>
  <c r="L6" i="33" s="1"/>
  <c r="M92" i="23"/>
  <c r="M83" i="33"/>
  <c r="M85" i="33"/>
  <c r="L82" i="33"/>
  <c r="L77" i="33"/>
  <c r="L11" i="33"/>
  <c r="L79" i="33"/>
  <c r="K76" i="33"/>
  <c r="K5" i="33"/>
  <c r="K63" i="31"/>
  <c r="H69" i="31"/>
  <c r="I69" i="31"/>
  <c r="R28" i="10"/>
  <c r="O63" i="23" s="1"/>
  <c r="J30" i="31"/>
  <c r="J27" i="31" s="1"/>
  <c r="N69" i="23"/>
  <c r="N77" i="23"/>
  <c r="Q41" i="10" s="1"/>
  <c r="H70" i="31"/>
  <c r="J34" i="4"/>
  <c r="L33" i="4"/>
  <c r="J60" i="31"/>
  <c r="H57" i="31"/>
  <c r="J35" i="4"/>
  <c r="H71" i="31"/>
  <c r="L66" i="31"/>
  <c r="L54" i="31"/>
  <c r="K36" i="4"/>
  <c r="I72" i="31"/>
  <c r="J21" i="25"/>
  <c r="J33" i="25" s="1"/>
  <c r="L15" i="25"/>
  <c r="L27" i="25" s="1"/>
  <c r="K24" i="25"/>
  <c r="K36" i="25" s="1"/>
  <c r="M71" i="23"/>
  <c r="M19" i="29" s="1"/>
  <c r="M36" i="31" s="1"/>
  <c r="L72" i="23"/>
  <c r="N24" i="4" s="1"/>
  <c r="L73" i="23"/>
  <c r="L114" i="25"/>
  <c r="L111" i="25" s="1"/>
  <c r="L99" i="25"/>
  <c r="N70" i="23"/>
  <c r="N96" i="25"/>
  <c r="M102" i="25"/>
  <c r="M18" i="25" s="1"/>
  <c r="M30" i="25" s="1"/>
  <c r="N68" i="23"/>
  <c r="P24" i="26"/>
  <c r="P30" i="26" s="1"/>
  <c r="P26" i="26" s="1"/>
  <c r="O54" i="23"/>
  <c r="O53" i="23"/>
  <c r="O52" i="23"/>
  <c r="K10" i="4"/>
  <c r="K11" i="4"/>
  <c r="K10" i="33" l="1"/>
  <c r="K4" i="33"/>
  <c r="L34" i="4"/>
  <c r="L13" i="33"/>
  <c r="L7" i="33" s="1"/>
  <c r="J57" i="31"/>
  <c r="M31" i="4"/>
  <c r="K58" i="31"/>
  <c r="L34" i="33"/>
  <c r="K16" i="29"/>
  <c r="L22" i="25"/>
  <c r="L58" i="31" s="1"/>
  <c r="M94" i="23"/>
  <c r="M93" i="25"/>
  <c r="L51" i="31"/>
  <c r="L28" i="33"/>
  <c r="N76" i="23"/>
  <c r="Q40" i="10" s="1"/>
  <c r="M29" i="33"/>
  <c r="N35" i="33"/>
  <c r="L24" i="23"/>
  <c r="N22" i="4" s="1"/>
  <c r="L16" i="31" s="1"/>
  <c r="L28" i="31" s="1"/>
  <c r="L17" i="29"/>
  <c r="L25" i="23"/>
  <c r="N22" i="23"/>
  <c r="N23" i="23" s="1"/>
  <c r="N94" i="25"/>
  <c r="N16" i="25" s="1"/>
  <c r="M28" i="25"/>
  <c r="M64" i="31" s="1"/>
  <c r="M52" i="31"/>
  <c r="M37" i="33"/>
  <c r="M31" i="33" s="1"/>
  <c r="M106" i="25"/>
  <c r="M105" i="25" s="1"/>
  <c r="M34" i="4"/>
  <c r="K70" i="31"/>
  <c r="P4" i="26"/>
  <c r="P10" i="26" s="1"/>
  <c r="P6" i="26" s="1"/>
  <c r="O6" i="23"/>
  <c r="O78" i="23" s="1"/>
  <c r="R42" i="10" s="1"/>
  <c r="I24" i="27" s="1"/>
  <c r="U24" i="27" s="1"/>
  <c r="O4" i="23"/>
  <c r="O20" i="23" s="1"/>
  <c r="K28" i="31"/>
  <c r="K27" i="31" s="1"/>
  <c r="K15" i="31"/>
  <c r="M17" i="29"/>
  <c r="M34" i="31" s="1"/>
  <c r="M33" i="31" s="1"/>
  <c r="M24" i="23"/>
  <c r="O22" i="4" s="1"/>
  <c r="M16" i="31" s="1"/>
  <c r="M28" i="31" s="1"/>
  <c r="M25" i="23"/>
  <c r="AF94" i="25"/>
  <c r="AF22" i="23"/>
  <c r="AF20" i="23"/>
  <c r="AF35" i="33" s="1"/>
  <c r="AG6" i="23"/>
  <c r="AH4" i="26"/>
  <c r="AH10" i="26" s="1"/>
  <c r="AH6" i="26" s="1"/>
  <c r="AE37" i="33"/>
  <c r="AE31" i="33" s="1"/>
  <c r="AE106" i="25"/>
  <c r="AE105" i="25" s="1"/>
  <c r="AD17" i="29"/>
  <c r="AD24" i="23"/>
  <c r="AF22" i="4" s="1"/>
  <c r="AD25" i="23"/>
  <c r="AB70" i="31"/>
  <c r="AD34" i="4"/>
  <c r="AC46" i="33"/>
  <c r="AC24" i="33"/>
  <c r="AC22" i="33" s="1"/>
  <c r="AC30" i="33"/>
  <c r="AC28" i="33" s="1"/>
  <c r="AE23" i="23"/>
  <c r="AF40" i="4"/>
  <c r="AD22" i="31" s="1"/>
  <c r="AD21" i="31" s="1"/>
  <c r="AD48" i="33"/>
  <c r="AD29" i="29"/>
  <c r="AD28" i="29" s="1"/>
  <c r="AD123" i="25"/>
  <c r="AE31" i="4"/>
  <c r="AC58" i="31"/>
  <c r="AE16" i="25"/>
  <c r="AE28" i="25" s="1"/>
  <c r="AE112" i="25"/>
  <c r="AE124" i="25" s="1"/>
  <c r="AE29" i="33"/>
  <c r="AD29" i="33"/>
  <c r="AD34" i="33"/>
  <c r="AD22" i="25"/>
  <c r="AD34" i="25" s="1"/>
  <c r="AD52" i="31"/>
  <c r="AD64" i="31"/>
  <c r="AF100" i="25"/>
  <c r="AF21" i="23"/>
  <c r="AF36" i="33" s="1"/>
  <c r="AB28" i="31"/>
  <c r="AG4" i="23"/>
  <c r="AG5" i="23"/>
  <c r="AJ8" i="10"/>
  <c r="AG15" i="23" s="1"/>
  <c r="AH15" i="23" s="1"/>
  <c r="AC34" i="31"/>
  <c r="AC28" i="31"/>
  <c r="S5" i="23"/>
  <c r="V8" i="10"/>
  <c r="S15" i="23" s="1"/>
  <c r="P29" i="29"/>
  <c r="P28" i="29" s="1"/>
  <c r="P48" i="33"/>
  <c r="R40" i="4"/>
  <c r="P22" i="31" s="1"/>
  <c r="P21" i="31" s="1"/>
  <c r="P123" i="25"/>
  <c r="Q112" i="25"/>
  <c r="Q124" i="25" s="1"/>
  <c r="Q36" i="33"/>
  <c r="R100" i="25"/>
  <c r="R21" i="23"/>
  <c r="R36" i="33" s="1"/>
  <c r="M79" i="33"/>
  <c r="N93" i="23"/>
  <c r="N84" i="33"/>
  <c r="N85" i="33"/>
  <c r="M82" i="33"/>
  <c r="M77" i="33"/>
  <c r="M11" i="33"/>
  <c r="L5" i="33"/>
  <c r="N92" i="23"/>
  <c r="N83" i="33"/>
  <c r="L76" i="33"/>
  <c r="M12" i="33"/>
  <c r="M6" i="33" s="1"/>
  <c r="M78" i="33"/>
  <c r="L63" i="31"/>
  <c r="J69" i="31"/>
  <c r="S28" i="10"/>
  <c r="P63" i="23" s="1"/>
  <c r="L18" i="31"/>
  <c r="O69" i="23"/>
  <c r="O77" i="23"/>
  <c r="R41" i="10" s="1"/>
  <c r="I23" i="27" s="1"/>
  <c r="J72" i="31"/>
  <c r="L36" i="4"/>
  <c r="M66" i="31"/>
  <c r="M54" i="31"/>
  <c r="K60" i="31"/>
  <c r="M33" i="4"/>
  <c r="K21" i="25"/>
  <c r="K33" i="25" s="1"/>
  <c r="M15" i="25"/>
  <c r="M27" i="25" s="1"/>
  <c r="L24" i="25"/>
  <c r="L36" i="25" s="1"/>
  <c r="M72" i="23"/>
  <c r="O24" i="4" s="1"/>
  <c r="M18" i="31" s="1"/>
  <c r="M73" i="23"/>
  <c r="N71" i="23"/>
  <c r="N73" i="23" s="1"/>
  <c r="O70" i="23"/>
  <c r="O96" i="25"/>
  <c r="M114" i="25"/>
  <c r="M111" i="25" s="1"/>
  <c r="M99" i="25"/>
  <c r="N102" i="25"/>
  <c r="N18" i="25" s="1"/>
  <c r="N30" i="25" s="1"/>
  <c r="O68" i="23"/>
  <c r="P53" i="23"/>
  <c r="P52" i="23"/>
  <c r="P54" i="23"/>
  <c r="Q24" i="26"/>
  <c r="Q30" i="26" s="1"/>
  <c r="Q26" i="26" s="1"/>
  <c r="I3" i="11"/>
  <c r="AL11" i="4"/>
  <c r="AJ10" i="4"/>
  <c r="AH3" i="11"/>
  <c r="P10" i="4"/>
  <c r="N3" i="11"/>
  <c r="R10" i="4"/>
  <c r="P3" i="11"/>
  <c r="AP4" i="8"/>
  <c r="Q11" i="4"/>
  <c r="AE3" i="11"/>
  <c r="AG10" i="4"/>
  <c r="AG3" i="11"/>
  <c r="AI10" i="4"/>
  <c r="W11" i="4"/>
  <c r="AB3" i="11"/>
  <c r="AD10" i="4"/>
  <c r="R3" i="11"/>
  <c r="T10" i="4"/>
  <c r="O11" i="4"/>
  <c r="AC3" i="11"/>
  <c r="AE10" i="4"/>
  <c r="S3" i="11"/>
  <c r="U10" i="4"/>
  <c r="N10" i="4"/>
  <c r="L3" i="11"/>
  <c r="AA11" i="4"/>
  <c r="U3" i="11"/>
  <c r="W10" i="4"/>
  <c r="P11" i="4"/>
  <c r="U11" i="4"/>
  <c r="Y10" i="4"/>
  <c r="W3" i="11"/>
  <c r="Q3" i="11"/>
  <c r="S10" i="4"/>
  <c r="N11" i="4"/>
  <c r="S11" i="4"/>
  <c r="AJ11" i="4"/>
  <c r="AK11" i="4"/>
  <c r="AP3" i="8"/>
  <c r="O3" i="11"/>
  <c r="Q10" i="4"/>
  <c r="V11" i="4"/>
  <c r="AA10" i="4"/>
  <c r="Y3" i="11"/>
  <c r="AK10" i="4"/>
  <c r="AI3" i="11"/>
  <c r="AC10" i="4"/>
  <c r="AA3" i="11"/>
  <c r="AQ3" i="8"/>
  <c r="X11" i="4"/>
  <c r="L11" i="4"/>
  <c r="AO4" i="8"/>
  <c r="Y11" i="4"/>
  <c r="M3" i="11"/>
  <c r="O10" i="4"/>
  <c r="AF11" i="4"/>
  <c r="AF3" i="11"/>
  <c r="AH10" i="4"/>
  <c r="AM11" i="4"/>
  <c r="T11" i="4"/>
  <c r="AN10" i="4"/>
  <c r="AL3" i="11"/>
  <c r="Z11" i="4"/>
  <c r="AI11" i="4"/>
  <c r="AN11" i="4"/>
  <c r="X3" i="11"/>
  <c r="Z10" i="4"/>
  <c r="AD11" i="4"/>
  <c r="AB11" i="4"/>
  <c r="V3" i="11"/>
  <c r="X10" i="4"/>
  <c r="J3" i="11"/>
  <c r="L10" i="4"/>
  <c r="AO3" i="8"/>
  <c r="AL10" i="4"/>
  <c r="AJ3" i="11"/>
  <c r="M11" i="4"/>
  <c r="AH11" i="4"/>
  <c r="R11" i="4"/>
  <c r="V10" i="4"/>
  <c r="T3" i="11"/>
  <c r="AD3" i="11"/>
  <c r="AF10" i="4"/>
  <c r="AK3" i="11"/>
  <c r="AM10" i="4"/>
  <c r="AE11" i="4"/>
  <c r="M10" i="4"/>
  <c r="K3" i="11"/>
  <c r="AQ4" i="8"/>
  <c r="AC11" i="4"/>
  <c r="Z3" i="11"/>
  <c r="AB10" i="4"/>
  <c r="AG11" i="4"/>
  <c r="L4" i="33" l="1"/>
  <c r="L10" i="33"/>
  <c r="K57" i="31"/>
  <c r="N31" i="4"/>
  <c r="L34" i="25"/>
  <c r="N34" i="4" s="1"/>
  <c r="M16" i="29"/>
  <c r="N93" i="25"/>
  <c r="M22" i="25"/>
  <c r="O31" i="4" s="1"/>
  <c r="L15" i="31"/>
  <c r="M13" i="33"/>
  <c r="M7" i="33" s="1"/>
  <c r="N94" i="23"/>
  <c r="M28" i="33"/>
  <c r="O76" i="23"/>
  <c r="R40" i="10" s="1"/>
  <c r="I22" i="27" s="1"/>
  <c r="N25" i="23"/>
  <c r="N17" i="29"/>
  <c r="N34" i="31" s="1"/>
  <c r="N24" i="23"/>
  <c r="P22" i="4" s="1"/>
  <c r="N16" i="31" s="1"/>
  <c r="Q4" i="26"/>
  <c r="Q10" i="26" s="1"/>
  <c r="Q6" i="26" s="1"/>
  <c r="P6" i="23"/>
  <c r="P78" i="23" s="1"/>
  <c r="S42" i="10" s="1"/>
  <c r="P4" i="23"/>
  <c r="P20" i="23" s="1"/>
  <c r="L34" i="31"/>
  <c r="L33" i="31" s="1"/>
  <c r="L16" i="29"/>
  <c r="N29" i="33"/>
  <c r="O35" i="33"/>
  <c r="O22" i="23"/>
  <c r="O94" i="25"/>
  <c r="O16" i="25" s="1"/>
  <c r="N28" i="25"/>
  <c r="N64" i="31" s="1"/>
  <c r="N52" i="31"/>
  <c r="M34" i="33"/>
  <c r="M51" i="31"/>
  <c r="N37" i="33"/>
  <c r="N31" i="33" s="1"/>
  <c r="N106" i="25"/>
  <c r="N105" i="25" s="1"/>
  <c r="AG22" i="23"/>
  <c r="AG94" i="25"/>
  <c r="AE34" i="33"/>
  <c r="AH6" i="23"/>
  <c r="AI4" i="26"/>
  <c r="AI10" i="26" s="1"/>
  <c r="AI6" i="26" s="1"/>
  <c r="AF37" i="33"/>
  <c r="AF31" i="33" s="1"/>
  <c r="AF106" i="25"/>
  <c r="AF105" i="25" s="1"/>
  <c r="AF23" i="23"/>
  <c r="AF25" i="23" s="1"/>
  <c r="AF29" i="33"/>
  <c r="AH4" i="23"/>
  <c r="AH5" i="23"/>
  <c r="AF16" i="25"/>
  <c r="AF28" i="25" s="1"/>
  <c r="AF112" i="25"/>
  <c r="AF124" i="25" s="1"/>
  <c r="AE48" i="33"/>
  <c r="AE29" i="29"/>
  <c r="AE28" i="29" s="1"/>
  <c r="AG40" i="4"/>
  <c r="AE22" i="31" s="1"/>
  <c r="AE123" i="25"/>
  <c r="AG20" i="23"/>
  <c r="AE52" i="31"/>
  <c r="AE64" i="31"/>
  <c r="AE22" i="25"/>
  <c r="AE34" i="25" s="1"/>
  <c r="AD30" i="33"/>
  <c r="AD28" i="33" s="1"/>
  <c r="AD46" i="33"/>
  <c r="AD24" i="33"/>
  <c r="AD22" i="33" s="1"/>
  <c r="AG100" i="25"/>
  <c r="AG21" i="23"/>
  <c r="AG36" i="33" s="1"/>
  <c r="AE17" i="29"/>
  <c r="AE25" i="23"/>
  <c r="AE24" i="23"/>
  <c r="AG22" i="4" s="1"/>
  <c r="AE16" i="31" s="1"/>
  <c r="AD16" i="31"/>
  <c r="AD58" i="31"/>
  <c r="AF31" i="4"/>
  <c r="AE34" i="4"/>
  <c r="AC70" i="31"/>
  <c r="AD34" i="31"/>
  <c r="Q48" i="33"/>
  <c r="S40" i="4"/>
  <c r="Q22" i="31" s="1"/>
  <c r="Q21" i="31" s="1"/>
  <c r="Q29" i="29"/>
  <c r="Q28" i="29" s="1"/>
  <c r="Q123" i="25"/>
  <c r="P46" i="33"/>
  <c r="P24" i="33"/>
  <c r="P22" i="33" s="1"/>
  <c r="P30" i="33"/>
  <c r="S21" i="23"/>
  <c r="S36" i="33" s="1"/>
  <c r="S100" i="25"/>
  <c r="T5" i="23"/>
  <c r="W8" i="10"/>
  <c r="T15" i="23" s="1"/>
  <c r="R112" i="25"/>
  <c r="R124" i="25" s="1"/>
  <c r="O85" i="33"/>
  <c r="M5" i="33"/>
  <c r="N12" i="33"/>
  <c r="N6" i="33" s="1"/>
  <c r="N78" i="33"/>
  <c r="M76" i="33"/>
  <c r="O93" i="23"/>
  <c r="O84" i="33"/>
  <c r="O92" i="23"/>
  <c r="O83" i="33"/>
  <c r="N77" i="33"/>
  <c r="N82" i="33"/>
  <c r="N11" i="33"/>
  <c r="N79" i="33"/>
  <c r="M63" i="31"/>
  <c r="K69" i="31"/>
  <c r="T28" i="10"/>
  <c r="Q63" i="23" s="1"/>
  <c r="L30" i="31"/>
  <c r="L27" i="31" s="1"/>
  <c r="P69" i="23"/>
  <c r="P77" i="23"/>
  <c r="S41" i="10" s="1"/>
  <c r="M30" i="31"/>
  <c r="M27" i="31" s="1"/>
  <c r="M15" i="31"/>
  <c r="M36" i="4"/>
  <c r="K72" i="31"/>
  <c r="L60" i="31"/>
  <c r="L57" i="31" s="1"/>
  <c r="N33" i="4"/>
  <c r="N66" i="31"/>
  <c r="N54" i="31"/>
  <c r="L21" i="25"/>
  <c r="L33" i="25" s="1"/>
  <c r="N15" i="25"/>
  <c r="N27" i="25" s="1"/>
  <c r="M24" i="25"/>
  <c r="M36" i="25" s="1"/>
  <c r="O71" i="23"/>
  <c r="O19" i="29" s="1"/>
  <c r="O36" i="31" s="1"/>
  <c r="N19" i="29"/>
  <c r="N36" i="31" s="1"/>
  <c r="N72" i="23"/>
  <c r="P24" i="4" s="1"/>
  <c r="N18" i="31" s="1"/>
  <c r="P70" i="23"/>
  <c r="P96" i="25"/>
  <c r="N114" i="25"/>
  <c r="N111" i="25" s="1"/>
  <c r="N99" i="25"/>
  <c r="O102" i="25"/>
  <c r="O18" i="25" s="1"/>
  <c r="O30" i="25" s="1"/>
  <c r="P68" i="23"/>
  <c r="Q52" i="23"/>
  <c r="Q53" i="23"/>
  <c r="R24" i="26"/>
  <c r="R30" i="26" s="1"/>
  <c r="R26" i="26" s="1"/>
  <c r="Q54" i="23"/>
  <c r="N13" i="33" l="1"/>
  <c r="N7" i="33" s="1"/>
  <c r="L70" i="31"/>
  <c r="M58" i="31"/>
  <c r="M34" i="25"/>
  <c r="O34" i="4" s="1"/>
  <c r="O93" i="25"/>
  <c r="M10" i="33"/>
  <c r="M4" i="33"/>
  <c r="P76" i="23"/>
  <c r="S40" i="10" s="1"/>
  <c r="N51" i="31"/>
  <c r="O37" i="33"/>
  <c r="O31" i="33" s="1"/>
  <c r="O106" i="25"/>
  <c r="O105" i="25" s="1"/>
  <c r="O52" i="31"/>
  <c r="BM52" i="31" s="1"/>
  <c r="O28" i="25"/>
  <c r="O64" i="31" s="1"/>
  <c r="BM64" i="31" s="1"/>
  <c r="N28" i="33"/>
  <c r="P22" i="23"/>
  <c r="P94" i="23" s="1"/>
  <c r="P94" i="25"/>
  <c r="P16" i="25" s="1"/>
  <c r="R4" i="26"/>
  <c r="R10" i="26" s="1"/>
  <c r="R6" i="26" s="1"/>
  <c r="Q6" i="23"/>
  <c r="Q78" i="23" s="1"/>
  <c r="T42" i="10" s="1"/>
  <c r="Q4" i="23"/>
  <c r="Q20" i="23" s="1"/>
  <c r="N22" i="25"/>
  <c r="O29" i="33"/>
  <c r="N28" i="31"/>
  <c r="O23" i="23"/>
  <c r="O94" i="23"/>
  <c r="N34" i="33"/>
  <c r="P35" i="33"/>
  <c r="AF24" i="23"/>
  <c r="AH22" i="4" s="1"/>
  <c r="AF16" i="31" s="1"/>
  <c r="AF17" i="29"/>
  <c r="AH22" i="23"/>
  <c r="AH94" i="25"/>
  <c r="AE34" i="31"/>
  <c r="AJ4" i="26"/>
  <c r="AJ10" i="26" s="1"/>
  <c r="AJ6" i="26" s="1"/>
  <c r="AI6" i="23"/>
  <c r="AF34" i="33"/>
  <c r="AG37" i="33"/>
  <c r="AG31" i="33" s="1"/>
  <c r="AG106" i="25"/>
  <c r="AG105" i="25" s="1"/>
  <c r="AE28" i="31"/>
  <c r="AG31" i="4"/>
  <c r="AE58" i="31"/>
  <c r="AE24" i="33"/>
  <c r="AE22" i="33" s="1"/>
  <c r="AE46" i="33"/>
  <c r="AE30" i="33"/>
  <c r="AE28" i="33" s="1"/>
  <c r="AF48" i="33"/>
  <c r="AF29" i="29"/>
  <c r="AF28" i="29" s="1"/>
  <c r="AH40" i="4"/>
  <c r="AF22" i="31" s="1"/>
  <c r="AF21" i="31" s="1"/>
  <c r="AF123" i="25"/>
  <c r="AF22" i="25"/>
  <c r="AF34" i="25" s="1"/>
  <c r="AF52" i="31"/>
  <c r="AF64" i="31"/>
  <c r="AD70" i="31"/>
  <c r="AF34" i="4"/>
  <c r="AG112" i="25"/>
  <c r="AG124" i="25" s="1"/>
  <c r="AG16" i="25"/>
  <c r="AG28" i="25" s="1"/>
  <c r="AI15" i="23"/>
  <c r="AH20" i="23"/>
  <c r="AH100" i="25"/>
  <c r="AH21" i="23"/>
  <c r="AH36" i="33" s="1"/>
  <c r="AG35" i="33"/>
  <c r="AG23" i="23"/>
  <c r="AI4" i="23"/>
  <c r="AI5" i="23"/>
  <c r="AD28" i="31"/>
  <c r="AE21" i="31"/>
  <c r="R48" i="33"/>
  <c r="R29" i="29"/>
  <c r="R28" i="29" s="1"/>
  <c r="T40" i="4"/>
  <c r="R22" i="31" s="1"/>
  <c r="R21" i="31" s="1"/>
  <c r="R123" i="25"/>
  <c r="T21" i="23"/>
  <c r="T100" i="25"/>
  <c r="Q46" i="33"/>
  <c r="Q30" i="33"/>
  <c r="Q24" i="33"/>
  <c r="Q22" i="33" s="1"/>
  <c r="S112" i="25"/>
  <c r="S124" i="25" s="1"/>
  <c r="P93" i="23"/>
  <c r="P84" i="33"/>
  <c r="P85" i="33"/>
  <c r="N10" i="33"/>
  <c r="N5" i="33"/>
  <c r="N4" i="33" s="1"/>
  <c r="N76" i="33"/>
  <c r="O77" i="33"/>
  <c r="O82" i="33"/>
  <c r="O11" i="33"/>
  <c r="P92" i="23"/>
  <c r="P83" i="33"/>
  <c r="O79" i="33"/>
  <c r="O78" i="33"/>
  <c r="O12" i="33"/>
  <c r="O6" i="33" s="1"/>
  <c r="N63" i="31"/>
  <c r="L69" i="31"/>
  <c r="U28" i="10"/>
  <c r="R63" i="23" s="1"/>
  <c r="Q69" i="23"/>
  <c r="Q77" i="23"/>
  <c r="T41" i="10" s="1"/>
  <c r="N30" i="31"/>
  <c r="N15" i="31"/>
  <c r="N16" i="29"/>
  <c r="N33" i="31"/>
  <c r="M60" i="31"/>
  <c r="M57" i="31" s="1"/>
  <c r="O33" i="4"/>
  <c r="L72" i="31"/>
  <c r="N36" i="4"/>
  <c r="O66" i="31"/>
  <c r="BM66" i="31" s="1"/>
  <c r="O54" i="31"/>
  <c r="M21" i="25"/>
  <c r="M33" i="25" s="1"/>
  <c r="N24" i="25"/>
  <c r="N36" i="25" s="1"/>
  <c r="O15" i="25"/>
  <c r="O27" i="25" s="1"/>
  <c r="O72" i="23"/>
  <c r="Q24" i="4" s="1"/>
  <c r="O18" i="31" s="1"/>
  <c r="O73" i="23"/>
  <c r="P71" i="23"/>
  <c r="P19" i="29" s="1"/>
  <c r="P36" i="31" s="1"/>
  <c r="Q70" i="23"/>
  <c r="Q96" i="25"/>
  <c r="O114" i="25"/>
  <c r="O111" i="25" s="1"/>
  <c r="O115" i="25" s="1"/>
  <c r="O99" i="25"/>
  <c r="O103" i="25" s="1"/>
  <c r="P102" i="25"/>
  <c r="P18" i="25" s="1"/>
  <c r="P30" i="25" s="1"/>
  <c r="Q68" i="23"/>
  <c r="R53" i="23"/>
  <c r="R52" i="23"/>
  <c r="S24" i="26"/>
  <c r="S30" i="26" s="1"/>
  <c r="S26" i="26" s="1"/>
  <c r="R54" i="23"/>
  <c r="M70" i="31" l="1"/>
  <c r="AF34" i="31"/>
  <c r="O13" i="33"/>
  <c r="O7" i="33" s="1"/>
  <c r="O34" i="33"/>
  <c r="N27" i="31"/>
  <c r="O28" i="33"/>
  <c r="O24" i="23"/>
  <c r="Q22" i="4" s="1"/>
  <c r="O16" i="31" s="1"/>
  <c r="O15" i="31" s="1"/>
  <c r="O25" i="23"/>
  <c r="O17" i="29"/>
  <c r="N26" i="23"/>
  <c r="O26" i="23"/>
  <c r="Q35" i="33"/>
  <c r="P37" i="33"/>
  <c r="P31" i="33" s="1"/>
  <c r="P106" i="25"/>
  <c r="P105" i="25" s="1"/>
  <c r="Q22" i="23"/>
  <c r="Q23" i="23" s="1"/>
  <c r="Q94" i="25"/>
  <c r="Q16" i="25" s="1"/>
  <c r="N34" i="25"/>
  <c r="P31" i="4"/>
  <c r="N58" i="31"/>
  <c r="P93" i="25"/>
  <c r="P23" i="23"/>
  <c r="R6" i="23"/>
  <c r="R78" i="23" s="1"/>
  <c r="U42" i="10" s="1"/>
  <c r="S4" i="26"/>
  <c r="S10" i="26" s="1"/>
  <c r="S6" i="26" s="1"/>
  <c r="R4" i="23"/>
  <c r="R20" i="23" s="1"/>
  <c r="O22" i="25"/>
  <c r="P28" i="25"/>
  <c r="P64" i="31" s="1"/>
  <c r="P52" i="31"/>
  <c r="P29" i="33"/>
  <c r="Q76" i="23"/>
  <c r="T40" i="10" s="1"/>
  <c r="AF28" i="31"/>
  <c r="AI22" i="23"/>
  <c r="AI94" i="25"/>
  <c r="AJ6" i="23"/>
  <c r="AK4" i="26"/>
  <c r="AK10" i="26" s="1"/>
  <c r="AK6" i="26" s="1"/>
  <c r="AH37" i="33"/>
  <c r="AH31" i="33" s="1"/>
  <c r="AH106" i="25"/>
  <c r="AH105" i="25" s="1"/>
  <c r="AF46" i="33"/>
  <c r="AF24" i="33"/>
  <c r="AF22" i="33" s="1"/>
  <c r="AF30" i="33"/>
  <c r="AF28" i="33" s="1"/>
  <c r="AJ4" i="23"/>
  <c r="AJ5" i="23"/>
  <c r="AH112" i="25"/>
  <c r="AH124" i="25" s="1"/>
  <c r="AH16" i="25"/>
  <c r="AH28" i="25" s="1"/>
  <c r="AI100" i="25"/>
  <c r="AI21" i="23"/>
  <c r="AI36" i="33" s="1"/>
  <c r="AH35" i="33"/>
  <c r="AH23" i="23"/>
  <c r="AF58" i="31"/>
  <c r="AH31" i="4"/>
  <c r="AJ15" i="23"/>
  <c r="AI20" i="23"/>
  <c r="AE70" i="31"/>
  <c r="AG34" i="4"/>
  <c r="AG17" i="29"/>
  <c r="AG25" i="23"/>
  <c r="AG24" i="23"/>
  <c r="AI22" i="4" s="1"/>
  <c r="AG64" i="31"/>
  <c r="AG52" i="31"/>
  <c r="AG22" i="25"/>
  <c r="AG34" i="25" s="1"/>
  <c r="AG34" i="33"/>
  <c r="AG29" i="33"/>
  <c r="AG48" i="33"/>
  <c r="AG29" i="29"/>
  <c r="AG28" i="29" s="1"/>
  <c r="AI40" i="4"/>
  <c r="AG22" i="31" s="1"/>
  <c r="AG123" i="25"/>
  <c r="T112" i="25"/>
  <c r="T124" i="25" s="1"/>
  <c r="T36" i="33"/>
  <c r="S123" i="25"/>
  <c r="S48" i="33"/>
  <c r="U40" i="4"/>
  <c r="S22" i="31" s="1"/>
  <c r="S29" i="29"/>
  <c r="S28" i="29" s="1"/>
  <c r="R46" i="33"/>
  <c r="R24" i="33"/>
  <c r="R22" i="33" s="1"/>
  <c r="R30" i="33"/>
  <c r="O76" i="33"/>
  <c r="Q85" i="33"/>
  <c r="Q93" i="23"/>
  <c r="Q84" i="33"/>
  <c r="P77" i="33"/>
  <c r="P82" i="33"/>
  <c r="P11" i="33"/>
  <c r="P79" i="33"/>
  <c r="Q92" i="23"/>
  <c r="Q83" i="33"/>
  <c r="O5" i="33"/>
  <c r="P78" i="33"/>
  <c r="P12" i="33"/>
  <c r="P6" i="33" s="1"/>
  <c r="M69" i="31"/>
  <c r="V28" i="10"/>
  <c r="S63" i="23" s="1"/>
  <c r="R69" i="23"/>
  <c r="R77" i="23"/>
  <c r="U41" i="10" s="1"/>
  <c r="O51" i="31"/>
  <c r="BM54" i="31"/>
  <c r="BM51" i="31" s="1"/>
  <c r="I18" i="27" s="1"/>
  <c r="O30" i="31"/>
  <c r="BM18" i="31"/>
  <c r="BM36" i="31"/>
  <c r="N60" i="31"/>
  <c r="P33" i="4"/>
  <c r="M72" i="31"/>
  <c r="O36" i="4"/>
  <c r="P66" i="31"/>
  <c r="P54" i="31"/>
  <c r="N21" i="25"/>
  <c r="N33" i="25" s="1"/>
  <c r="P15" i="25"/>
  <c r="P27" i="25" s="1"/>
  <c r="O24" i="25"/>
  <c r="O36" i="25" s="1"/>
  <c r="Q71" i="23"/>
  <c r="Q19" i="29" s="1"/>
  <c r="Q36" i="31" s="1"/>
  <c r="P72" i="23"/>
  <c r="R24" i="4" s="1"/>
  <c r="P18" i="31" s="1"/>
  <c r="P73" i="23"/>
  <c r="P114" i="25"/>
  <c r="P111" i="25" s="1"/>
  <c r="P99" i="25"/>
  <c r="R70" i="23"/>
  <c r="R96" i="25"/>
  <c r="Q102" i="25"/>
  <c r="Q18" i="25" s="1"/>
  <c r="Q30" i="25" s="1"/>
  <c r="T24" i="26"/>
  <c r="T30" i="26" s="1"/>
  <c r="T26" i="26" s="1"/>
  <c r="S54" i="23"/>
  <c r="S53" i="23"/>
  <c r="S52" i="23"/>
  <c r="R68" i="23"/>
  <c r="Q94" i="23" l="1"/>
  <c r="O4" i="33"/>
  <c r="Q93" i="25"/>
  <c r="O10" i="33"/>
  <c r="P22" i="25"/>
  <c r="P58" i="31" s="1"/>
  <c r="P51" i="31"/>
  <c r="P13" i="33"/>
  <c r="P7" i="33" s="1"/>
  <c r="Q24" i="23"/>
  <c r="S22" i="4" s="1"/>
  <c r="Q16" i="31" s="1"/>
  <c r="Q28" i="31" s="1"/>
  <c r="Q25" i="23"/>
  <c r="Q17" i="29"/>
  <c r="Q34" i="31" s="1"/>
  <c r="Q33" i="31" s="1"/>
  <c r="P34" i="33"/>
  <c r="R22" i="23"/>
  <c r="R23" i="23" s="1"/>
  <c r="R94" i="25"/>
  <c r="R16" i="25" s="1"/>
  <c r="P34" i="4"/>
  <c r="N70" i="31"/>
  <c r="Q29" i="33"/>
  <c r="P28" i="33"/>
  <c r="N57" i="31"/>
  <c r="T4" i="26"/>
  <c r="T10" i="26" s="1"/>
  <c r="T6" i="26" s="1"/>
  <c r="S6" i="23"/>
  <c r="S78" i="23" s="1"/>
  <c r="V42" i="10" s="1"/>
  <c r="S4" i="23"/>
  <c r="S20" i="23" s="1"/>
  <c r="Q28" i="25"/>
  <c r="Q64" i="31" s="1"/>
  <c r="Q52" i="31"/>
  <c r="Q37" i="33"/>
  <c r="Q31" i="33" s="1"/>
  <c r="Q106" i="25"/>
  <c r="Q105" i="25" s="1"/>
  <c r="O34" i="31"/>
  <c r="O16" i="29"/>
  <c r="P17" i="29"/>
  <c r="P25" i="23"/>
  <c r="P24" i="23"/>
  <c r="R22" i="4" s="1"/>
  <c r="P16" i="31" s="1"/>
  <c r="P28" i="31" s="1"/>
  <c r="R76" i="23"/>
  <c r="U40" i="10" s="1"/>
  <c r="R35" i="33"/>
  <c r="O58" i="31"/>
  <c r="BM58" i="31" s="1"/>
  <c r="Q31" i="4"/>
  <c r="O34" i="25"/>
  <c r="O28" i="31"/>
  <c r="BM28" i="31" s="1"/>
  <c r="BM16" i="31"/>
  <c r="BM15" i="31" s="1"/>
  <c r="I7" i="27" s="1"/>
  <c r="I9" i="27" s="1"/>
  <c r="I28" i="27" s="1"/>
  <c r="AK6" i="23"/>
  <c r="AL4" i="26"/>
  <c r="AL10" i="26" s="1"/>
  <c r="AL6" i="26" s="1"/>
  <c r="AJ94" i="25"/>
  <c r="AJ22" i="23"/>
  <c r="AI37" i="33"/>
  <c r="AI31" i="33" s="1"/>
  <c r="AI106" i="25"/>
  <c r="AI105" i="25" s="1"/>
  <c r="AK15" i="23"/>
  <c r="AJ20" i="23"/>
  <c r="AH52" i="31"/>
  <c r="AH64" i="31"/>
  <c r="AH22" i="25"/>
  <c r="AH34" i="25" s="1"/>
  <c r="AH48" i="33"/>
  <c r="AH29" i="29"/>
  <c r="AH28" i="29" s="1"/>
  <c r="AJ40" i="4"/>
  <c r="AH22" i="31" s="1"/>
  <c r="AH21" i="31" s="1"/>
  <c r="AH123" i="25"/>
  <c r="AG16" i="31"/>
  <c r="AT3" i="8"/>
  <c r="AJ100" i="25"/>
  <c r="AJ21" i="23"/>
  <c r="AJ36" i="33" s="1"/>
  <c r="AG30" i="33"/>
  <c r="AG28" i="33" s="1"/>
  <c r="AG46" i="33"/>
  <c r="AG24" i="33"/>
  <c r="AG22" i="33" s="1"/>
  <c r="AF70" i="31"/>
  <c r="AH34" i="4"/>
  <c r="AG21" i="31"/>
  <c r="AG34" i="31"/>
  <c r="AH17" i="29"/>
  <c r="AH24" i="23"/>
  <c r="AJ22" i="4" s="1"/>
  <c r="AH16" i="31" s="1"/>
  <c r="AH25" i="23"/>
  <c r="AK4" i="23"/>
  <c r="AK5" i="23"/>
  <c r="AH34" i="33"/>
  <c r="AH29" i="33"/>
  <c r="AI31" i="4"/>
  <c r="AG58" i="31"/>
  <c r="AI23" i="23"/>
  <c r="AI35" i="33"/>
  <c r="AI112" i="25"/>
  <c r="AI124" i="25" s="1"/>
  <c r="AI16" i="25"/>
  <c r="AI28" i="25" s="1"/>
  <c r="S21" i="31"/>
  <c r="S46" i="33"/>
  <c r="S24" i="33"/>
  <c r="S22" i="33" s="1"/>
  <c r="S30" i="33"/>
  <c r="T48" i="33"/>
  <c r="V40" i="4"/>
  <c r="T22" i="31" s="1"/>
  <c r="T29" i="29"/>
  <c r="T28" i="29" s="1"/>
  <c r="T123" i="25"/>
  <c r="W40" i="4"/>
  <c r="U22" i="31" s="1"/>
  <c r="U21" i="31" s="1"/>
  <c r="P76" i="33"/>
  <c r="R92" i="23"/>
  <c r="R83" i="33"/>
  <c r="R93" i="23"/>
  <c r="R84" i="33"/>
  <c r="P5" i="33"/>
  <c r="Q78" i="33"/>
  <c r="Q12" i="33"/>
  <c r="Q6" i="33" s="1"/>
  <c r="Q77" i="33"/>
  <c r="Q82" i="33"/>
  <c r="Q11" i="33"/>
  <c r="R85" i="33"/>
  <c r="Q79" i="33"/>
  <c r="P63" i="31"/>
  <c r="N69" i="31"/>
  <c r="W28" i="10"/>
  <c r="T63" i="23" s="1"/>
  <c r="S69" i="23"/>
  <c r="S77" i="23"/>
  <c r="V41" i="10" s="1"/>
  <c r="P30" i="31"/>
  <c r="BM30" i="31"/>
  <c r="Q66" i="31"/>
  <c r="Q54" i="31"/>
  <c r="O60" i="31"/>
  <c r="Q33" i="4"/>
  <c r="N72" i="31"/>
  <c r="P36" i="4"/>
  <c r="O63" i="31"/>
  <c r="BM63" i="31" s="1"/>
  <c r="I20" i="27" s="1"/>
  <c r="O21" i="25"/>
  <c r="O33" i="25" s="1"/>
  <c r="P24" i="25"/>
  <c r="P36" i="25" s="1"/>
  <c r="Q15" i="25"/>
  <c r="Q27" i="25" s="1"/>
  <c r="Q73" i="23"/>
  <c r="Q72" i="23"/>
  <c r="S24" i="4" s="1"/>
  <c r="Q18" i="31" s="1"/>
  <c r="Q114" i="25"/>
  <c r="Q111" i="25" s="1"/>
  <c r="Q99" i="25"/>
  <c r="R102" i="25"/>
  <c r="R18" i="25" s="1"/>
  <c r="R30" i="25" s="1"/>
  <c r="R71" i="23"/>
  <c r="R19" i="29" s="1"/>
  <c r="R36" i="31" s="1"/>
  <c r="S70" i="23"/>
  <c r="S96" i="25"/>
  <c r="S68" i="23"/>
  <c r="T52" i="23"/>
  <c r="T53" i="23"/>
  <c r="U24" i="26"/>
  <c r="U30" i="26" s="1"/>
  <c r="U26" i="26" s="1"/>
  <c r="T54" i="23"/>
  <c r="I7" i="34" l="1"/>
  <c r="U20" i="27"/>
  <c r="I14" i="34"/>
  <c r="U14" i="34" s="1"/>
  <c r="P34" i="25"/>
  <c r="P70" i="31" s="1"/>
  <c r="Q51" i="31"/>
  <c r="S76" i="23"/>
  <c r="V40" i="10" s="1"/>
  <c r="O27" i="31"/>
  <c r="P10" i="33"/>
  <c r="P4" i="33"/>
  <c r="R31" i="4"/>
  <c r="BM27" i="31"/>
  <c r="P15" i="31"/>
  <c r="Q16" i="29"/>
  <c r="R93" i="25"/>
  <c r="Q13" i="33"/>
  <c r="Q7" i="33" s="1"/>
  <c r="R94" i="23"/>
  <c r="R24" i="23"/>
  <c r="T22" i="4" s="1"/>
  <c r="R16" i="31" s="1"/>
  <c r="R28" i="31" s="1"/>
  <c r="R17" i="29"/>
  <c r="R34" i="31" s="1"/>
  <c r="R33" i="31" s="1"/>
  <c r="R25" i="23"/>
  <c r="BM34" i="31"/>
  <c r="BM33" i="31" s="1"/>
  <c r="I15" i="27" s="1"/>
  <c r="I12" i="34" s="1"/>
  <c r="O33" i="31"/>
  <c r="Q22" i="25"/>
  <c r="R28" i="25"/>
  <c r="R64" i="31" s="1"/>
  <c r="R52" i="31"/>
  <c r="R29" i="33"/>
  <c r="R37" i="33"/>
  <c r="R31" i="33" s="1"/>
  <c r="R106" i="25"/>
  <c r="R105" i="25" s="1"/>
  <c r="S35" i="33"/>
  <c r="S22" i="23"/>
  <c r="S94" i="25"/>
  <c r="S16" i="25" s="1"/>
  <c r="Q34" i="33"/>
  <c r="U4" i="26"/>
  <c r="U10" i="26" s="1"/>
  <c r="U6" i="26" s="1"/>
  <c r="T6" i="23"/>
  <c r="T78" i="23" s="1"/>
  <c r="W42" i="10" s="1"/>
  <c r="T4" i="23"/>
  <c r="T20" i="23" s="1"/>
  <c r="O70" i="31"/>
  <c r="BM70" i="31" s="1"/>
  <c r="Q34" i="4"/>
  <c r="P34" i="31"/>
  <c r="P33" i="31" s="1"/>
  <c r="P16" i="29"/>
  <c r="Q28" i="33"/>
  <c r="AJ37" i="33"/>
  <c r="AJ31" i="33" s="1"/>
  <c r="AJ106" i="25"/>
  <c r="AJ105" i="25" s="1"/>
  <c r="AK22" i="23"/>
  <c r="AK94" i="25"/>
  <c r="AM4" i="26"/>
  <c r="AM10" i="26" s="1"/>
  <c r="AM6" i="26" s="1"/>
  <c r="AL6" i="23"/>
  <c r="AH34" i="31"/>
  <c r="AH28" i="31"/>
  <c r="AH30" i="33"/>
  <c r="AH28" i="33" s="1"/>
  <c r="AH46" i="33"/>
  <c r="AH24" i="33"/>
  <c r="AH22" i="33" s="1"/>
  <c r="AI52" i="31"/>
  <c r="AI64" i="31"/>
  <c r="AI22" i="25"/>
  <c r="AI34" i="25" s="1"/>
  <c r="AI48" i="33"/>
  <c r="AI29" i="29"/>
  <c r="AI28" i="29" s="1"/>
  <c r="AK40" i="4"/>
  <c r="AI22" i="31" s="1"/>
  <c r="AI123" i="25"/>
  <c r="AJ31" i="4"/>
  <c r="AH58" i="31"/>
  <c r="AI34" i="33"/>
  <c r="AI29" i="33"/>
  <c r="AK100" i="25"/>
  <c r="AK21" i="23"/>
  <c r="AK36" i="33" s="1"/>
  <c r="AJ112" i="25"/>
  <c r="AJ124" i="25" s="1"/>
  <c r="AJ16" i="25"/>
  <c r="AJ28" i="25" s="1"/>
  <c r="AI17" i="29"/>
  <c r="AI25" i="23"/>
  <c r="AI24" i="23"/>
  <c r="AK22" i="4" s="1"/>
  <c r="AI16" i="31" s="1"/>
  <c r="AL4" i="23"/>
  <c r="AL5" i="23"/>
  <c r="AG28" i="31"/>
  <c r="AJ35" i="33"/>
  <c r="AJ23" i="23"/>
  <c r="AG70" i="31"/>
  <c r="AI34" i="4"/>
  <c r="AL15" i="23"/>
  <c r="AK20" i="23"/>
  <c r="T21" i="31"/>
  <c r="BN22" i="31"/>
  <c r="BN21" i="31" s="1"/>
  <c r="J8" i="27" s="1"/>
  <c r="T46" i="33"/>
  <c r="T24" i="33"/>
  <c r="T22" i="33" s="1"/>
  <c r="T30" i="33"/>
  <c r="R79" i="33"/>
  <c r="S85" i="33"/>
  <c r="Q5" i="33"/>
  <c r="R77" i="33"/>
  <c r="R82" i="33"/>
  <c r="R11" i="33"/>
  <c r="S93" i="23"/>
  <c r="S84" i="33"/>
  <c r="S92" i="23"/>
  <c r="S83" i="33"/>
  <c r="R78" i="33"/>
  <c r="R12" i="33"/>
  <c r="R6" i="33" s="1"/>
  <c r="Q76" i="33"/>
  <c r="Q63" i="31"/>
  <c r="X28" i="10"/>
  <c r="U63" i="23" s="1"/>
  <c r="T69" i="23"/>
  <c r="T77" i="23"/>
  <c r="W41" i="10" s="1"/>
  <c r="O57" i="31"/>
  <c r="BM60" i="31"/>
  <c r="BM57" i="31" s="1"/>
  <c r="I19" i="27" s="1"/>
  <c r="Q30" i="31"/>
  <c r="Q27" i="31" s="1"/>
  <c r="Q15" i="31"/>
  <c r="P27" i="31"/>
  <c r="R33" i="4"/>
  <c r="P60" i="31"/>
  <c r="P57" i="31" s="1"/>
  <c r="R66" i="31"/>
  <c r="R54" i="31"/>
  <c r="O72" i="31"/>
  <c r="BM72" i="31" s="1"/>
  <c r="Q36" i="4"/>
  <c r="P21" i="25"/>
  <c r="P33" i="25" s="1"/>
  <c r="R15" i="25"/>
  <c r="R27" i="25" s="1"/>
  <c r="Q24" i="25"/>
  <c r="Q36" i="25" s="1"/>
  <c r="R72" i="23"/>
  <c r="T24" i="4" s="1"/>
  <c r="R18" i="31" s="1"/>
  <c r="S102" i="25"/>
  <c r="S18" i="25" s="1"/>
  <c r="S30" i="25" s="1"/>
  <c r="R73" i="23"/>
  <c r="S71" i="23"/>
  <c r="S72" i="23" s="1"/>
  <c r="U24" i="4" s="1"/>
  <c r="S18" i="31" s="1"/>
  <c r="R114" i="25"/>
  <c r="R111" i="25" s="1"/>
  <c r="R99" i="25"/>
  <c r="T70" i="23"/>
  <c r="T96" i="25"/>
  <c r="T68" i="23"/>
  <c r="U53" i="23"/>
  <c r="U52" i="23"/>
  <c r="U76" i="23" s="1"/>
  <c r="X40" i="10" s="1"/>
  <c r="V24" i="26"/>
  <c r="V30" i="26" s="1"/>
  <c r="V26" i="26" s="1"/>
  <c r="U54" i="23"/>
  <c r="R34" i="4" l="1"/>
  <c r="Q4" i="33"/>
  <c r="Q10" i="33"/>
  <c r="R51" i="31"/>
  <c r="R13" i="33"/>
  <c r="R7" i="33" s="1"/>
  <c r="R16" i="29"/>
  <c r="S93" i="25"/>
  <c r="R22" i="25"/>
  <c r="R34" i="25" s="1"/>
  <c r="T35" i="33"/>
  <c r="S37" i="33"/>
  <c r="S31" i="33" s="1"/>
  <c r="S106" i="25"/>
  <c r="S105" i="25" s="1"/>
  <c r="T22" i="23"/>
  <c r="T94" i="23" s="1"/>
  <c r="T94" i="25"/>
  <c r="T16" i="25" s="1"/>
  <c r="S29" i="33"/>
  <c r="S23" i="23"/>
  <c r="Q34" i="25"/>
  <c r="Q58" i="31"/>
  <c r="S31" i="4"/>
  <c r="R34" i="33"/>
  <c r="R28" i="33"/>
  <c r="S94" i="23"/>
  <c r="T76" i="23"/>
  <c r="W40" i="10" s="1"/>
  <c r="S28" i="25"/>
  <c r="S64" i="31" s="1"/>
  <c r="S52" i="31"/>
  <c r="AI34" i="31"/>
  <c r="AN4" i="26"/>
  <c r="AN10" i="26" s="1"/>
  <c r="AN6" i="26" s="1"/>
  <c r="AM6" i="23"/>
  <c r="AK37" i="33"/>
  <c r="AK31" i="33" s="1"/>
  <c r="AK106" i="25"/>
  <c r="AK105" i="25" s="1"/>
  <c r="AL22" i="23"/>
  <c r="AL94" i="25"/>
  <c r="AI28" i="31"/>
  <c r="AL20" i="23"/>
  <c r="AL35" i="33" s="1"/>
  <c r="AM4" i="23"/>
  <c r="AM5" i="23"/>
  <c r="AI46" i="33"/>
  <c r="AI24" i="33"/>
  <c r="AI22" i="33" s="1"/>
  <c r="AI30" i="33"/>
  <c r="AI28" i="33" s="1"/>
  <c r="AJ34" i="4"/>
  <c r="AH70" i="31"/>
  <c r="AJ24" i="23"/>
  <c r="AL22" i="4" s="1"/>
  <c r="AJ16" i="31" s="1"/>
  <c r="AJ17" i="29"/>
  <c r="AJ25" i="23"/>
  <c r="AJ64" i="31"/>
  <c r="AJ52" i="31"/>
  <c r="AJ22" i="25"/>
  <c r="AJ34" i="25" s="1"/>
  <c r="AJ34" i="33"/>
  <c r="AJ29" i="33"/>
  <c r="AL40" i="4"/>
  <c r="AJ22" i="31" s="1"/>
  <c r="AJ21" i="31" s="1"/>
  <c r="AJ48" i="33"/>
  <c r="AJ29" i="29"/>
  <c r="AJ28" i="29" s="1"/>
  <c r="AJ123" i="25"/>
  <c r="AK31" i="4"/>
  <c r="AI58" i="31"/>
  <c r="AK23" i="23"/>
  <c r="AK35" i="33"/>
  <c r="AL100" i="25"/>
  <c r="AL21" i="23"/>
  <c r="AL36" i="33" s="1"/>
  <c r="AI21" i="31"/>
  <c r="AK16" i="25"/>
  <c r="AK28" i="25" s="1"/>
  <c r="AK112" i="25"/>
  <c r="AK124" i="25" s="1"/>
  <c r="R76" i="33"/>
  <c r="T93" i="23"/>
  <c r="T84" i="33"/>
  <c r="S82" i="33"/>
  <c r="S77" i="33"/>
  <c r="S11" i="33"/>
  <c r="S79" i="33"/>
  <c r="S78" i="33"/>
  <c r="S12" i="33"/>
  <c r="S6" i="33" s="1"/>
  <c r="T85" i="33"/>
  <c r="T92" i="23"/>
  <c r="T83" i="33"/>
  <c r="R5" i="33"/>
  <c r="R63" i="31"/>
  <c r="P69" i="31"/>
  <c r="Y28" i="10"/>
  <c r="V63" i="23" s="1"/>
  <c r="U78" i="23"/>
  <c r="X42" i="10" s="1"/>
  <c r="U69" i="23"/>
  <c r="U77" i="23"/>
  <c r="X41" i="10" s="1"/>
  <c r="R30" i="31"/>
  <c r="R27" i="31" s="1"/>
  <c r="R15" i="31"/>
  <c r="S30" i="31"/>
  <c r="O69" i="31"/>
  <c r="BM69" i="31" s="1"/>
  <c r="I21" i="27" s="1"/>
  <c r="S66" i="31"/>
  <c r="S54" i="31"/>
  <c r="Q60" i="31"/>
  <c r="S33" i="4"/>
  <c r="R36" i="4"/>
  <c r="P72" i="31"/>
  <c r="Q21" i="25"/>
  <c r="Q33" i="25" s="1"/>
  <c r="S15" i="25"/>
  <c r="S27" i="25" s="1"/>
  <c r="R24" i="25"/>
  <c r="R36" i="25" s="1"/>
  <c r="U70" i="23"/>
  <c r="U96" i="25"/>
  <c r="T102" i="25"/>
  <c r="T18" i="25" s="1"/>
  <c r="T30" i="25" s="1"/>
  <c r="S73" i="23"/>
  <c r="S19" i="29"/>
  <c r="S36" i="31" s="1"/>
  <c r="T71" i="23"/>
  <c r="T19" i="29" s="1"/>
  <c r="T36" i="31" s="1"/>
  <c r="S114" i="25"/>
  <c r="S111" i="25" s="1"/>
  <c r="S99" i="25"/>
  <c r="U68" i="23"/>
  <c r="V52" i="23"/>
  <c r="V76" i="23" s="1"/>
  <c r="Y40" i="10" s="1"/>
  <c r="V53" i="23"/>
  <c r="W24" i="26"/>
  <c r="W30" i="26" s="1"/>
  <c r="W26" i="26" s="1"/>
  <c r="V54" i="23"/>
  <c r="I25" i="27" l="1"/>
  <c r="I15" i="34"/>
  <c r="R4" i="33"/>
  <c r="R10" i="33"/>
  <c r="S51" i="31"/>
  <c r="S13" i="33"/>
  <c r="S7" i="33" s="1"/>
  <c r="T31" i="4"/>
  <c r="S28" i="33"/>
  <c r="S22" i="25"/>
  <c r="S58" i="31" s="1"/>
  <c r="R58" i="31"/>
  <c r="T93" i="25"/>
  <c r="Q57" i="31"/>
  <c r="S34" i="33"/>
  <c r="T28" i="25"/>
  <c r="T64" i="31" s="1"/>
  <c r="T52" i="31"/>
  <c r="Q70" i="31"/>
  <c r="S34" i="4"/>
  <c r="T37" i="33"/>
  <c r="T31" i="33" s="1"/>
  <c r="T106" i="25"/>
  <c r="T105" i="25" s="1"/>
  <c r="S24" i="23"/>
  <c r="U22" i="4" s="1"/>
  <c r="S25" i="23"/>
  <c r="S17" i="29"/>
  <c r="S34" i="31" s="1"/>
  <c r="S33" i="31" s="1"/>
  <c r="T23" i="23"/>
  <c r="T34" i="4"/>
  <c r="R70" i="31"/>
  <c r="T29" i="33"/>
  <c r="AL37" i="33"/>
  <c r="AL31" i="33" s="1"/>
  <c r="AL106" i="25"/>
  <c r="AL105" i="25" s="1"/>
  <c r="AM94" i="25"/>
  <c r="AM93" i="25" s="1"/>
  <c r="AM78" i="23"/>
  <c r="AP42" i="10" s="1"/>
  <c r="K24" i="27" s="1"/>
  <c r="W24" i="27" s="1"/>
  <c r="AM22" i="23"/>
  <c r="AJ28" i="31"/>
  <c r="AL31" i="4"/>
  <c r="AJ58" i="31"/>
  <c r="AL29" i="33"/>
  <c r="AL16" i="25"/>
  <c r="AL28" i="25" s="1"/>
  <c r="AL112" i="25"/>
  <c r="AL124" i="25" s="1"/>
  <c r="AJ30" i="33"/>
  <c r="AJ28" i="33" s="1"/>
  <c r="AJ46" i="33"/>
  <c r="AJ24" i="33"/>
  <c r="AJ22" i="33" s="1"/>
  <c r="AK29" i="29"/>
  <c r="AK28" i="29" s="1"/>
  <c r="AM40" i="4"/>
  <c r="AK22" i="31" s="1"/>
  <c r="AK21" i="31" s="1"/>
  <c r="AK48" i="33"/>
  <c r="AK123" i="25"/>
  <c r="AK29" i="33"/>
  <c r="AK34" i="33"/>
  <c r="AK64" i="31"/>
  <c r="AK52" i="31"/>
  <c r="AK22" i="25"/>
  <c r="AK34" i="25" s="1"/>
  <c r="AK24" i="23"/>
  <c r="AM22" i="4" s="1"/>
  <c r="AK16" i="31" s="1"/>
  <c r="AK17" i="29"/>
  <c r="AK25" i="23"/>
  <c r="AJ34" i="31"/>
  <c r="AM100" i="25"/>
  <c r="AM21" i="23"/>
  <c r="AM77" i="23"/>
  <c r="AP41" i="10" s="1"/>
  <c r="K23" i="27" s="1"/>
  <c r="AL23" i="23"/>
  <c r="AL24" i="23" s="1"/>
  <c r="AN22" i="4" s="1"/>
  <c r="AK34" i="4"/>
  <c r="AI70" i="31"/>
  <c r="AM20" i="23"/>
  <c r="AM76" i="23"/>
  <c r="AP40" i="10" s="1"/>
  <c r="K22" i="27" s="1"/>
  <c r="U92" i="23"/>
  <c r="U83" i="33"/>
  <c r="U94" i="23"/>
  <c r="U85" i="33"/>
  <c r="U93" i="23"/>
  <c r="U84" i="33"/>
  <c r="T82" i="33"/>
  <c r="T77" i="33"/>
  <c r="T11" i="33"/>
  <c r="S5" i="33"/>
  <c r="S76" i="33"/>
  <c r="T79" i="33"/>
  <c r="T78" i="33"/>
  <c r="T12" i="33"/>
  <c r="T6" i="33" s="1"/>
  <c r="S63" i="31"/>
  <c r="Q69" i="31"/>
  <c r="Z28" i="10"/>
  <c r="W63" i="23" s="1"/>
  <c r="V78" i="23"/>
  <c r="Y42" i="10" s="1"/>
  <c r="V69" i="23"/>
  <c r="V77" i="23"/>
  <c r="Y41" i="10" s="1"/>
  <c r="S36" i="4"/>
  <c r="Q72" i="31"/>
  <c r="T33" i="4"/>
  <c r="R60" i="31"/>
  <c r="T66" i="31"/>
  <c r="T54" i="31"/>
  <c r="T51" i="31" s="1"/>
  <c r="R21" i="25"/>
  <c r="R33" i="25" s="1"/>
  <c r="T15" i="25"/>
  <c r="T27" i="25" s="1"/>
  <c r="S24" i="25"/>
  <c r="S36" i="25" s="1"/>
  <c r="U71" i="23"/>
  <c r="U73" i="23" s="1"/>
  <c r="V70" i="23"/>
  <c r="V96" i="25"/>
  <c r="T114" i="25"/>
  <c r="T111" i="25" s="1"/>
  <c r="T99" i="25"/>
  <c r="T73" i="23"/>
  <c r="U102" i="25"/>
  <c r="U18" i="25" s="1"/>
  <c r="U30" i="25" s="1"/>
  <c r="U93" i="25"/>
  <c r="T72" i="23"/>
  <c r="V24" i="4" s="1"/>
  <c r="T18" i="31" s="1"/>
  <c r="V68" i="23"/>
  <c r="X24" i="26"/>
  <c r="X30" i="26" s="1"/>
  <c r="X26" i="26" s="1"/>
  <c r="W54" i="23"/>
  <c r="W53" i="23"/>
  <c r="W52" i="23"/>
  <c r="W76" i="23" s="1"/>
  <c r="Z40" i="10" s="1"/>
  <c r="S16" i="29" l="1"/>
  <c r="S10" i="33"/>
  <c r="S4" i="33"/>
  <c r="AL34" i="33"/>
  <c r="AK28" i="31"/>
  <c r="R57" i="31"/>
  <c r="S34" i="25"/>
  <c r="S70" i="31" s="1"/>
  <c r="T28" i="33"/>
  <c r="U31" i="4"/>
  <c r="T13" i="33"/>
  <c r="T7" i="33" s="1"/>
  <c r="T34" i="33"/>
  <c r="T22" i="25"/>
  <c r="V31" i="4" s="1"/>
  <c r="T17" i="29"/>
  <c r="U24" i="23"/>
  <c r="W22" i="4" s="1"/>
  <c r="U16" i="31" s="1"/>
  <c r="U28" i="31" s="1"/>
  <c r="T25" i="23"/>
  <c r="T24" i="23"/>
  <c r="V22" i="4" s="1"/>
  <c r="T16" i="31" s="1"/>
  <c r="T28" i="31" s="1"/>
  <c r="S16" i="31"/>
  <c r="AK34" i="31"/>
  <c r="AM37" i="33"/>
  <c r="AM94" i="23"/>
  <c r="AM106" i="25"/>
  <c r="AM105" i="25" s="1"/>
  <c r="AL52" i="31"/>
  <c r="AL22" i="25"/>
  <c r="AL34" i="25" s="1"/>
  <c r="AL64" i="31"/>
  <c r="AM31" i="4"/>
  <c r="AK58" i="31"/>
  <c r="AK30" i="33"/>
  <c r="AK28" i="33" s="1"/>
  <c r="AK46" i="33"/>
  <c r="AK24" i="33"/>
  <c r="AK22" i="33" s="1"/>
  <c r="AM36" i="33"/>
  <c r="AM12" i="33" s="1"/>
  <c r="AM93" i="23"/>
  <c r="AL29" i="29"/>
  <c r="AL28" i="29" s="1"/>
  <c r="AN40" i="4"/>
  <c r="AL22" i="31" s="1"/>
  <c r="AL21" i="31" s="1"/>
  <c r="AL48" i="33"/>
  <c r="AL123" i="25"/>
  <c r="AM112" i="25"/>
  <c r="AM16" i="25"/>
  <c r="AM28" i="25" s="1"/>
  <c r="AM99" i="25"/>
  <c r="AJ70" i="31"/>
  <c r="AL34" i="4"/>
  <c r="AL16" i="31"/>
  <c r="J8" i="24"/>
  <c r="AM35" i="33"/>
  <c r="AM23" i="23"/>
  <c r="AM92" i="23"/>
  <c r="AL25" i="23"/>
  <c r="AL17" i="29"/>
  <c r="T76" i="33"/>
  <c r="V94" i="23"/>
  <c r="V85" i="33"/>
  <c r="V93" i="23"/>
  <c r="V84" i="33"/>
  <c r="U78" i="33"/>
  <c r="U12" i="33"/>
  <c r="U6" i="33" s="1"/>
  <c r="V92" i="23"/>
  <c r="V83" i="33"/>
  <c r="U79" i="33"/>
  <c r="U13" i="33"/>
  <c r="U7" i="33" s="1"/>
  <c r="U82" i="33"/>
  <c r="U77" i="33"/>
  <c r="U11" i="33"/>
  <c r="T5" i="33"/>
  <c r="T63" i="31"/>
  <c r="R69" i="31"/>
  <c r="AA28" i="10"/>
  <c r="X63" i="23" s="1"/>
  <c r="W78" i="23"/>
  <c r="Z42" i="10" s="1"/>
  <c r="W69" i="23"/>
  <c r="W77" i="23"/>
  <c r="Z41" i="10" s="1"/>
  <c r="T30" i="31"/>
  <c r="U66" i="31"/>
  <c r="U54" i="31"/>
  <c r="U51" i="31" s="1"/>
  <c r="R72" i="31"/>
  <c r="T36" i="4"/>
  <c r="S60" i="31"/>
  <c r="S57" i="31" s="1"/>
  <c r="U33" i="4"/>
  <c r="S21" i="25"/>
  <c r="S33" i="25" s="1"/>
  <c r="U15" i="25"/>
  <c r="U27" i="25" s="1"/>
  <c r="T24" i="25"/>
  <c r="T36" i="25" s="1"/>
  <c r="U72" i="23"/>
  <c r="W24" i="4" s="1"/>
  <c r="U19" i="29"/>
  <c r="U36" i="31" s="1"/>
  <c r="V71" i="23"/>
  <c r="V73" i="23" s="1"/>
  <c r="U114" i="25"/>
  <c r="U111" i="25" s="1"/>
  <c r="U99" i="25"/>
  <c r="W70" i="23"/>
  <c r="W96" i="25"/>
  <c r="V102" i="25"/>
  <c r="V18" i="25" s="1"/>
  <c r="V30" i="25" s="1"/>
  <c r="V93" i="25"/>
  <c r="W68" i="23"/>
  <c r="Y24" i="26"/>
  <c r="Y30" i="26" s="1"/>
  <c r="Y26" i="26" s="1"/>
  <c r="X54" i="23"/>
  <c r="X52" i="23"/>
  <c r="X76" i="23" s="1"/>
  <c r="AA40" i="10" s="1"/>
  <c r="X53" i="23"/>
  <c r="U34" i="4" l="1"/>
  <c r="T15" i="31"/>
  <c r="T10" i="33"/>
  <c r="T4" i="33"/>
  <c r="AS3" i="8"/>
  <c r="I8" i="24"/>
  <c r="M8" i="24" s="1"/>
  <c r="T58" i="31"/>
  <c r="T34" i="25"/>
  <c r="V34" i="4" s="1"/>
  <c r="S28" i="31"/>
  <c r="S27" i="31" s="1"/>
  <c r="S15" i="31"/>
  <c r="BN16" i="31"/>
  <c r="T34" i="31"/>
  <c r="T33" i="31" s="1"/>
  <c r="T16" i="29"/>
  <c r="AL28" i="31"/>
  <c r="AM31" i="33"/>
  <c r="AM13" i="33"/>
  <c r="AM7" i="33" s="1"/>
  <c r="AL34" i="31"/>
  <c r="AN24" i="23"/>
  <c r="AM25" i="23"/>
  <c r="AM17" i="29"/>
  <c r="AM24" i="23"/>
  <c r="AO22" i="4" s="1"/>
  <c r="AM16" i="31" s="1"/>
  <c r="AM124" i="25"/>
  <c r="AM22" i="25" s="1"/>
  <c r="AM34" i="25" s="1"/>
  <c r="AM111" i="25"/>
  <c r="N8" i="24"/>
  <c r="J9" i="24"/>
  <c r="N9" i="24" s="1"/>
  <c r="AL46" i="33"/>
  <c r="AL24" i="33"/>
  <c r="AL22" i="33" s="1"/>
  <c r="AL30" i="33"/>
  <c r="AL28" i="33" s="1"/>
  <c r="AM29" i="33"/>
  <c r="AM34" i="33"/>
  <c r="AM11" i="33"/>
  <c r="AM34" i="4"/>
  <c r="AK70" i="31"/>
  <c r="AN31" i="4"/>
  <c r="AL58" i="31"/>
  <c r="AM52" i="31"/>
  <c r="AM64" i="31"/>
  <c r="BO64" i="31" s="1"/>
  <c r="AM15" i="25"/>
  <c r="W94" i="23"/>
  <c r="W85" i="33"/>
  <c r="W93" i="23"/>
  <c r="W84" i="33"/>
  <c r="U10" i="33"/>
  <c r="U5" i="33"/>
  <c r="U4" i="33" s="1"/>
  <c r="U76" i="33"/>
  <c r="V12" i="33"/>
  <c r="V6" i="33" s="1"/>
  <c r="V78" i="33"/>
  <c r="W92" i="23"/>
  <c r="W83" i="33"/>
  <c r="V77" i="33"/>
  <c r="V82" i="33"/>
  <c r="V11" i="33"/>
  <c r="V79" i="33"/>
  <c r="V13" i="33"/>
  <c r="V7" i="33" s="1"/>
  <c r="U63" i="31"/>
  <c r="S69" i="31"/>
  <c r="AB28" i="10"/>
  <c r="Y63" i="23" s="1"/>
  <c r="X78" i="23"/>
  <c r="AA42" i="10" s="1"/>
  <c r="X69" i="23"/>
  <c r="X77" i="23"/>
  <c r="AA41" i="10" s="1"/>
  <c r="U18" i="31"/>
  <c r="U16" i="29"/>
  <c r="U33" i="31"/>
  <c r="T27" i="31"/>
  <c r="V66" i="31"/>
  <c r="V54" i="31"/>
  <c r="V51" i="31" s="1"/>
  <c r="U36" i="4"/>
  <c r="S72" i="31"/>
  <c r="T60" i="31"/>
  <c r="V33" i="4"/>
  <c r="T21" i="25"/>
  <c r="T33" i="25" s="1"/>
  <c r="V15" i="25"/>
  <c r="V27" i="25" s="1"/>
  <c r="U24" i="25"/>
  <c r="U36" i="25" s="1"/>
  <c r="AS5" i="8"/>
  <c r="W71" i="23"/>
  <c r="W19" i="29" s="1"/>
  <c r="W36" i="31" s="1"/>
  <c r="V72" i="23"/>
  <c r="X24" i="4" s="1"/>
  <c r="V19" i="29"/>
  <c r="V36" i="31" s="1"/>
  <c r="W102" i="25"/>
  <c r="W18" i="25" s="1"/>
  <c r="W30" i="25" s="1"/>
  <c r="W93" i="25"/>
  <c r="X70" i="23"/>
  <c r="X96" i="25"/>
  <c r="V114" i="25"/>
  <c r="V111" i="25" s="1"/>
  <c r="V99" i="25"/>
  <c r="X68" i="23"/>
  <c r="Z24" i="26"/>
  <c r="Z30" i="26" s="1"/>
  <c r="Z26" i="26" s="1"/>
  <c r="Y54" i="23"/>
  <c r="Y53" i="23"/>
  <c r="Y52" i="23"/>
  <c r="Y76" i="23" s="1"/>
  <c r="AB40" i="10" s="1"/>
  <c r="T57" i="31" l="1"/>
  <c r="T70" i="31"/>
  <c r="BN28" i="31"/>
  <c r="I9" i="24"/>
  <c r="M9" i="24" s="1"/>
  <c r="AM27" i="25"/>
  <c r="AM63" i="31" s="1"/>
  <c r="BO63" i="31" s="1"/>
  <c r="K20" i="27" s="1"/>
  <c r="AO31" i="4"/>
  <c r="AM58" i="31"/>
  <c r="AM21" i="25"/>
  <c r="AN34" i="4"/>
  <c r="AL70" i="31"/>
  <c r="AM5" i="33"/>
  <c r="AM10" i="33"/>
  <c r="BO52" i="31"/>
  <c r="BO51" i="31" s="1"/>
  <c r="K18" i="27" s="1"/>
  <c r="AM51" i="31"/>
  <c r="AM48" i="33"/>
  <c r="AM29" i="29"/>
  <c r="AM28" i="29" s="1"/>
  <c r="AO40" i="4"/>
  <c r="AM22" i="31" s="1"/>
  <c r="AM28" i="31" s="1"/>
  <c r="BO28" i="31" s="1"/>
  <c r="AM123" i="25"/>
  <c r="BO16" i="31"/>
  <c r="AM16" i="29"/>
  <c r="X92" i="23"/>
  <c r="X83" i="33"/>
  <c r="W78" i="33"/>
  <c r="W12" i="33"/>
  <c r="V5" i="33"/>
  <c r="V4" i="33" s="1"/>
  <c r="V10" i="33"/>
  <c r="X94" i="23"/>
  <c r="X85" i="33"/>
  <c r="W77" i="33"/>
  <c r="W82" i="33"/>
  <c r="W11" i="33"/>
  <c r="W5" i="33" s="1"/>
  <c r="W79" i="33"/>
  <c r="W13" i="33"/>
  <c r="W7" i="33" s="1"/>
  <c r="X93" i="23"/>
  <c r="X84" i="33"/>
  <c r="V76" i="33"/>
  <c r="V63" i="31"/>
  <c r="T69" i="31"/>
  <c r="AC28" i="10"/>
  <c r="Z63" i="23" s="1"/>
  <c r="Y78" i="23"/>
  <c r="AB42" i="10" s="1"/>
  <c r="V18" i="31"/>
  <c r="V30" i="31" s="1"/>
  <c r="V27" i="31" s="1"/>
  <c r="Y69" i="23"/>
  <c r="Y77" i="23"/>
  <c r="AB41" i="10" s="1"/>
  <c r="W16" i="29"/>
  <c r="W33" i="31"/>
  <c r="V16" i="29"/>
  <c r="V33" i="31"/>
  <c r="U30" i="31"/>
  <c r="U15" i="31"/>
  <c r="U60" i="31"/>
  <c r="U57" i="31" s="1"/>
  <c r="W33" i="4"/>
  <c r="T72" i="31"/>
  <c r="V36" i="4"/>
  <c r="W66" i="31"/>
  <c r="W54" i="31"/>
  <c r="W51" i="31" s="1"/>
  <c r="U21" i="25"/>
  <c r="U33" i="25" s="1"/>
  <c r="W15" i="25"/>
  <c r="W27" i="25" s="1"/>
  <c r="V24" i="25"/>
  <c r="V36" i="25" s="1"/>
  <c r="W72" i="23"/>
  <c r="Y24" i="4" s="1"/>
  <c r="W18" i="31" s="1"/>
  <c r="W73" i="23"/>
  <c r="X71" i="23"/>
  <c r="X73" i="23" s="1"/>
  <c r="X102" i="25"/>
  <c r="X18" i="25" s="1"/>
  <c r="X30" i="25" s="1"/>
  <c r="X93" i="25"/>
  <c r="Y70" i="23"/>
  <c r="Y96" i="25"/>
  <c r="W114" i="25"/>
  <c r="W111" i="25" s="1"/>
  <c r="W99" i="25"/>
  <c r="Y68" i="23"/>
  <c r="Z53" i="23"/>
  <c r="Z52" i="23"/>
  <c r="Z76" i="23" s="1"/>
  <c r="AC40" i="10" s="1"/>
  <c r="AA24" i="26"/>
  <c r="AA30" i="26" s="1"/>
  <c r="AA26" i="26" s="1"/>
  <c r="Z54" i="23"/>
  <c r="W20" i="27" l="1"/>
  <c r="K14" i="34"/>
  <c r="W14" i="34" s="1"/>
  <c r="AM33" i="25"/>
  <c r="AM69" i="31" s="1"/>
  <c r="BO69" i="31" s="1"/>
  <c r="K21" i="27" s="1"/>
  <c r="AM21" i="31"/>
  <c r="BO22" i="31"/>
  <c r="BO21" i="31" s="1"/>
  <c r="K8" i="27" s="1"/>
  <c r="AM30" i="33"/>
  <c r="AM28" i="33" s="1"/>
  <c r="AM46" i="33"/>
  <c r="AM24" i="33"/>
  <c r="BO58" i="31"/>
  <c r="BO57" i="31" s="1"/>
  <c r="K19" i="27" s="1"/>
  <c r="AM57" i="31"/>
  <c r="AM70" i="31"/>
  <c r="BO70" i="31" s="1"/>
  <c r="AO34" i="4"/>
  <c r="AM34" i="31"/>
  <c r="Y93" i="23"/>
  <c r="Y84" i="33"/>
  <c r="X78" i="33"/>
  <c r="X12" i="33"/>
  <c r="X6" i="33" s="1"/>
  <c r="X79" i="33"/>
  <c r="X13" i="33"/>
  <c r="X7" i="33" s="1"/>
  <c r="Y94" i="23"/>
  <c r="Y85" i="33"/>
  <c r="W10" i="33"/>
  <c r="W6" i="33"/>
  <c r="W4" i="33" s="1"/>
  <c r="X77" i="33"/>
  <c r="X82" i="33"/>
  <c r="X11" i="33"/>
  <c r="Y92" i="23"/>
  <c r="Y83" i="33"/>
  <c r="W76" i="33"/>
  <c r="W63" i="31"/>
  <c r="U69" i="31"/>
  <c r="AD28" i="10"/>
  <c r="AA63" i="23" s="1"/>
  <c r="Z78" i="23"/>
  <c r="AC42" i="10" s="1"/>
  <c r="V15" i="31"/>
  <c r="Z69" i="23"/>
  <c r="Z77" i="23"/>
  <c r="AC41" i="10" s="1"/>
  <c r="W30" i="31"/>
  <c r="W27" i="31" s="1"/>
  <c r="W15" i="31"/>
  <c r="U27" i="31"/>
  <c r="X66" i="31"/>
  <c r="X54" i="31"/>
  <c r="X51" i="31" s="1"/>
  <c r="U72" i="31"/>
  <c r="W36" i="4"/>
  <c r="V60" i="31"/>
  <c r="V57" i="31" s="1"/>
  <c r="X33" i="4"/>
  <c r="V21" i="25"/>
  <c r="V33" i="25" s="1"/>
  <c r="X15" i="25"/>
  <c r="X27" i="25" s="1"/>
  <c r="W24" i="25"/>
  <c r="W36" i="25" s="1"/>
  <c r="X72" i="23"/>
  <c r="Z24" i="4" s="1"/>
  <c r="X18" i="31" s="1"/>
  <c r="Y71" i="23"/>
  <c r="Y19" i="29" s="1"/>
  <c r="Y36" i="31" s="1"/>
  <c r="X19" i="29"/>
  <c r="X36" i="31" s="1"/>
  <c r="Z70" i="23"/>
  <c r="Z96" i="25"/>
  <c r="Y102" i="25"/>
  <c r="Y18" i="25" s="1"/>
  <c r="Y30" i="25" s="1"/>
  <c r="Y93" i="25"/>
  <c r="X114" i="25"/>
  <c r="X111" i="25" s="1"/>
  <c r="X99" i="25"/>
  <c r="Z68" i="23"/>
  <c r="AA52" i="23"/>
  <c r="AA76" i="23" s="1"/>
  <c r="AD40" i="10" s="1"/>
  <c r="J22" i="27" s="1"/>
  <c r="AA53" i="23"/>
  <c r="AB24" i="26"/>
  <c r="AB30" i="26" s="1"/>
  <c r="AB26" i="26" s="1"/>
  <c r="AA54" i="23"/>
  <c r="K25" i="27" l="1"/>
  <c r="K15" i="34"/>
  <c r="AM22" i="33"/>
  <c r="AM6" i="33"/>
  <c r="AM4" i="33" s="1"/>
  <c r="BO34" i="31"/>
  <c r="BO33" i="31" s="1"/>
  <c r="K15" i="27" s="1"/>
  <c r="AM33" i="31"/>
  <c r="Z92" i="23"/>
  <c r="Z83" i="33"/>
  <c r="X5" i="33"/>
  <c r="X4" i="33" s="1"/>
  <c r="X10" i="33"/>
  <c r="Z93" i="23"/>
  <c r="Z84" i="33"/>
  <c r="Y82" i="33"/>
  <c r="Y79" i="33"/>
  <c r="Y13" i="33"/>
  <c r="Y7" i="33" s="1"/>
  <c r="X76" i="33"/>
  <c r="Y77" i="33"/>
  <c r="Y11" i="33"/>
  <c r="Y78" i="33"/>
  <c r="Y12" i="33"/>
  <c r="Y6" i="33" s="1"/>
  <c r="Z94" i="23"/>
  <c r="Z85" i="33"/>
  <c r="X63" i="31"/>
  <c r="V69" i="31"/>
  <c r="AE28" i="10"/>
  <c r="AB63" i="23" s="1"/>
  <c r="AA78" i="23"/>
  <c r="AD42" i="10" s="1"/>
  <c r="J24" i="27" s="1"/>
  <c r="V24" i="27" s="1"/>
  <c r="AA69" i="23"/>
  <c r="AA77" i="23"/>
  <c r="AD41" i="10" s="1"/>
  <c r="J23" i="27" s="1"/>
  <c r="Y16" i="29"/>
  <c r="Y33" i="31"/>
  <c r="X30" i="31"/>
  <c r="X15" i="31"/>
  <c r="X16" i="29"/>
  <c r="X33" i="31"/>
  <c r="W60" i="31"/>
  <c r="W57" i="31" s="1"/>
  <c r="Y33" i="4"/>
  <c r="Y66" i="31"/>
  <c r="Y54" i="31"/>
  <c r="Y51" i="31" s="1"/>
  <c r="V72" i="31"/>
  <c r="X36" i="4"/>
  <c r="W21" i="25"/>
  <c r="W33" i="25" s="1"/>
  <c r="Y15" i="25"/>
  <c r="Y27" i="25" s="1"/>
  <c r="X24" i="25"/>
  <c r="X36" i="25" s="1"/>
  <c r="Y72" i="23"/>
  <c r="AA24" i="4" s="1"/>
  <c r="Y18" i="31" s="1"/>
  <c r="Y73" i="23"/>
  <c r="Z71" i="23"/>
  <c r="Z19" i="29" s="1"/>
  <c r="Z36" i="31" s="1"/>
  <c r="Y114" i="25"/>
  <c r="Y111" i="25" s="1"/>
  <c r="Y99" i="25"/>
  <c r="Z102" i="25"/>
  <c r="Z18" i="25" s="1"/>
  <c r="Z30" i="25" s="1"/>
  <c r="Z93" i="25"/>
  <c r="AA70" i="23"/>
  <c r="AA96" i="25"/>
  <c r="AB53" i="23"/>
  <c r="AB52" i="23"/>
  <c r="AB76" i="23" s="1"/>
  <c r="AE40" i="10" s="1"/>
  <c r="AC24" i="26"/>
  <c r="AC30" i="26" s="1"/>
  <c r="AC26" i="26" s="1"/>
  <c r="AB54" i="23"/>
  <c r="AA68" i="23"/>
  <c r="K16" i="27" l="1"/>
  <c r="K13" i="34" s="1"/>
  <c r="K12" i="34"/>
  <c r="AA93" i="23"/>
  <c r="AA84" i="33"/>
  <c r="AA94" i="23"/>
  <c r="AA85" i="33"/>
  <c r="Z79" i="33"/>
  <c r="Z13" i="33"/>
  <c r="Z78" i="33"/>
  <c r="Z12" i="33"/>
  <c r="Z6" i="33" s="1"/>
  <c r="Y10" i="33"/>
  <c r="Y5" i="33"/>
  <c r="Y4" i="33" s="1"/>
  <c r="Y76" i="33"/>
  <c r="Z77" i="33"/>
  <c r="Z82" i="33"/>
  <c r="Z11" i="33"/>
  <c r="Z5" i="33" s="1"/>
  <c r="AA92" i="23"/>
  <c r="AA83" i="33"/>
  <c r="Y63" i="31"/>
  <c r="W69" i="31"/>
  <c r="AF28" i="10"/>
  <c r="AC63" i="23" s="1"/>
  <c r="AB78" i="23"/>
  <c r="AE42" i="10" s="1"/>
  <c r="AB69" i="23"/>
  <c r="AB77" i="23"/>
  <c r="AE41" i="10" s="1"/>
  <c r="Z16" i="29"/>
  <c r="Z33" i="31"/>
  <c r="X27" i="31"/>
  <c r="Y30" i="31"/>
  <c r="Y27" i="31" s="1"/>
  <c r="Y15" i="31"/>
  <c r="Z33" i="4"/>
  <c r="X60" i="31"/>
  <c r="X57" i="31" s="1"/>
  <c r="W72" i="31"/>
  <c r="Y36" i="4"/>
  <c r="Z66" i="31"/>
  <c r="Z54" i="31"/>
  <c r="Z51" i="31" s="1"/>
  <c r="X21" i="25"/>
  <c r="X33" i="25" s="1"/>
  <c r="Z15" i="25"/>
  <c r="Z27" i="25" s="1"/>
  <c r="Y24" i="25"/>
  <c r="Y36" i="25" s="1"/>
  <c r="Z73" i="23"/>
  <c r="Z72" i="23"/>
  <c r="AB24" i="4" s="1"/>
  <c r="Z18" i="31" s="1"/>
  <c r="AA102" i="25"/>
  <c r="AA18" i="25" s="1"/>
  <c r="AA30" i="25" s="1"/>
  <c r="AA93" i="25"/>
  <c r="AB70" i="23"/>
  <c r="AB96" i="25"/>
  <c r="AA71" i="23"/>
  <c r="AA19" i="29" s="1"/>
  <c r="AA36" i="31" s="1"/>
  <c r="Z114" i="25"/>
  <c r="Z111" i="25" s="1"/>
  <c r="Z99" i="25"/>
  <c r="AB68" i="23"/>
  <c r="AC53" i="23"/>
  <c r="AC52" i="23"/>
  <c r="AC76" i="23" s="1"/>
  <c r="AF40" i="10" s="1"/>
  <c r="AD24" i="26"/>
  <c r="AD30" i="26" s="1"/>
  <c r="AD26" i="26" s="1"/>
  <c r="AC54" i="23"/>
  <c r="AH63" i="23"/>
  <c r="AH53" i="23"/>
  <c r="AI24" i="26"/>
  <c r="AI30" i="26" s="1"/>
  <c r="AI26" i="26" s="1"/>
  <c r="AH54" i="23"/>
  <c r="AA82" i="33" l="1"/>
  <c r="AA77" i="33"/>
  <c r="AA11" i="33"/>
  <c r="AB92" i="23"/>
  <c r="AB83" i="33"/>
  <c r="Z10" i="33"/>
  <c r="Z7" i="33"/>
  <c r="Z4" i="33" s="1"/>
  <c r="Z76" i="33"/>
  <c r="AA79" i="33"/>
  <c r="AA13" i="33"/>
  <c r="AA7" i="33" s="1"/>
  <c r="AA78" i="33"/>
  <c r="AA12" i="33"/>
  <c r="AA6" i="33" s="1"/>
  <c r="AB94" i="23"/>
  <c r="AB85" i="33"/>
  <c r="AB93" i="23"/>
  <c r="AB84" i="33"/>
  <c r="Z63" i="31"/>
  <c r="X69" i="31"/>
  <c r="AH52" i="23"/>
  <c r="AH76" i="23" s="1"/>
  <c r="AK40" i="10" s="1"/>
  <c r="AG28" i="10"/>
  <c r="AD63" i="23" s="1"/>
  <c r="AC78" i="23"/>
  <c r="AF42" i="10" s="1"/>
  <c r="AH78" i="23"/>
  <c r="AK42" i="10" s="1"/>
  <c r="AH69" i="23"/>
  <c r="AH77" i="23"/>
  <c r="AK41" i="10" s="1"/>
  <c r="AC69" i="23"/>
  <c r="AC77" i="23"/>
  <c r="AF41" i="10" s="1"/>
  <c r="Z30" i="31"/>
  <c r="Z27" i="31" s="1"/>
  <c r="Z15" i="31"/>
  <c r="AA16" i="29"/>
  <c r="Y60" i="31"/>
  <c r="Y57" i="31" s="1"/>
  <c r="AA33" i="4"/>
  <c r="Z36" i="4"/>
  <c r="X72" i="31"/>
  <c r="AA66" i="31"/>
  <c r="BN66" i="31" s="1"/>
  <c r="AA54" i="31"/>
  <c r="Y21" i="25"/>
  <c r="Y33" i="25" s="1"/>
  <c r="AA15" i="25"/>
  <c r="AA27" i="25" s="1"/>
  <c r="Z24" i="25"/>
  <c r="Z36" i="25" s="1"/>
  <c r="AB102" i="25"/>
  <c r="AB18" i="25" s="1"/>
  <c r="AB30" i="25" s="1"/>
  <c r="AB93" i="25"/>
  <c r="AC70" i="23"/>
  <c r="AC96" i="25"/>
  <c r="AH70" i="23"/>
  <c r="AH96" i="25"/>
  <c r="AB71" i="23"/>
  <c r="AB19" i="29" s="1"/>
  <c r="AB36" i="31" s="1"/>
  <c r="AA73" i="23"/>
  <c r="AA72" i="23"/>
  <c r="AC24" i="4" s="1"/>
  <c r="AA114" i="25"/>
  <c r="AA111" i="25" s="1"/>
  <c r="AA99" i="25"/>
  <c r="AD53" i="23"/>
  <c r="AD52" i="23"/>
  <c r="AD76" i="23" s="1"/>
  <c r="AG40" i="10" s="1"/>
  <c r="AC68" i="23"/>
  <c r="AD54" i="23"/>
  <c r="AE24" i="26"/>
  <c r="AE30" i="26" s="1"/>
  <c r="AE26" i="26" s="1"/>
  <c r="AJ24" i="26"/>
  <c r="AJ30" i="26" s="1"/>
  <c r="AJ26" i="26" s="1"/>
  <c r="AI54" i="23"/>
  <c r="AI63" i="23"/>
  <c r="AI53" i="23"/>
  <c r="AH94" i="23" l="1"/>
  <c r="AH85" i="33"/>
  <c r="AB78" i="33"/>
  <c r="AB12" i="33"/>
  <c r="AB6" i="33" s="1"/>
  <c r="AA103" i="25"/>
  <c r="AB103" i="25" s="1"/>
  <c r="AM103" i="25"/>
  <c r="BK103" i="25" s="1"/>
  <c r="AB79" i="33"/>
  <c r="AB13" i="33"/>
  <c r="AB7" i="33" s="1"/>
  <c r="AC94" i="23"/>
  <c r="AC85" i="33"/>
  <c r="AA5" i="33"/>
  <c r="AA4" i="33" s="1"/>
  <c r="AA10" i="33"/>
  <c r="AH93" i="23"/>
  <c r="AH84" i="33"/>
  <c r="AC92" i="23"/>
  <c r="AC83" i="33"/>
  <c r="AC93" i="23"/>
  <c r="AC84" i="33"/>
  <c r="AA76" i="33"/>
  <c r="AB82" i="33"/>
  <c r="AB77" i="33"/>
  <c r="AB11" i="33"/>
  <c r="Y69" i="31"/>
  <c r="AH68" i="23"/>
  <c r="AH71" i="23" s="1"/>
  <c r="AH19" i="29" s="1"/>
  <c r="AH36" i="31" s="1"/>
  <c r="AH28" i="10"/>
  <c r="AE63" i="23" s="1"/>
  <c r="AI52" i="23"/>
  <c r="AI76" i="23" s="1"/>
  <c r="AL40" i="10" s="1"/>
  <c r="AI78" i="23"/>
  <c r="AL42" i="10" s="1"/>
  <c r="AD78" i="23"/>
  <c r="AG42" i="10" s="1"/>
  <c r="AA18" i="31"/>
  <c r="BN18" i="31" s="1"/>
  <c r="BN15" i="31" s="1"/>
  <c r="J7" i="27" s="1"/>
  <c r="J9" i="27" s="1"/>
  <c r="AI69" i="23"/>
  <c r="AI77" i="23"/>
  <c r="AL41" i="10" s="1"/>
  <c r="AD69" i="23"/>
  <c r="AD77" i="23"/>
  <c r="AG41" i="10" s="1"/>
  <c r="BN36" i="31"/>
  <c r="BN33" i="31" s="1"/>
  <c r="J15" i="27" s="1"/>
  <c r="AA33" i="31"/>
  <c r="AA51" i="31"/>
  <c r="BN54" i="31"/>
  <c r="BN51" i="31" s="1"/>
  <c r="J18" i="27" s="1"/>
  <c r="AB16" i="29"/>
  <c r="AB33" i="31"/>
  <c r="AB33" i="4"/>
  <c r="Z60" i="31"/>
  <c r="Z57" i="31" s="1"/>
  <c r="AA36" i="4"/>
  <c r="Y72" i="31"/>
  <c r="AB66" i="31"/>
  <c r="AB54" i="31"/>
  <c r="AB51" i="31" s="1"/>
  <c r="Z21" i="25"/>
  <c r="Z33" i="25" s="1"/>
  <c r="AB15" i="25"/>
  <c r="AB27" i="25" s="1"/>
  <c r="AA24" i="25"/>
  <c r="AA36" i="25" s="1"/>
  <c r="AB73" i="23"/>
  <c r="AB72" i="23"/>
  <c r="AD24" i="4" s="1"/>
  <c r="AB18" i="31" s="1"/>
  <c r="AC71" i="23"/>
  <c r="AC19" i="29" s="1"/>
  <c r="AC36" i="31" s="1"/>
  <c r="AI70" i="23"/>
  <c r="AI96" i="25"/>
  <c r="AC102" i="25"/>
  <c r="AC18" i="25" s="1"/>
  <c r="AC30" i="25" s="1"/>
  <c r="AC93" i="25"/>
  <c r="AD70" i="23"/>
  <c r="AD96" i="25"/>
  <c r="AB114" i="25"/>
  <c r="AB111" i="25" s="1"/>
  <c r="AB99" i="25"/>
  <c r="AH102" i="25"/>
  <c r="AH18" i="25" s="1"/>
  <c r="AH30" i="25" s="1"/>
  <c r="AH93" i="25"/>
  <c r="AD68" i="23"/>
  <c r="AE53" i="23"/>
  <c r="AE52" i="23"/>
  <c r="AE76" i="23" s="1"/>
  <c r="AH40" i="10" s="1"/>
  <c r="AF24" i="26"/>
  <c r="AF30" i="26" s="1"/>
  <c r="AF26" i="26" s="1"/>
  <c r="AE54" i="23"/>
  <c r="AJ53" i="23"/>
  <c r="AJ63" i="23"/>
  <c r="AK24" i="26"/>
  <c r="AK30" i="26" s="1"/>
  <c r="AK26" i="26" s="1"/>
  <c r="AJ54" i="23"/>
  <c r="J7" i="34" l="1"/>
  <c r="J28" i="27"/>
  <c r="J16" i="27"/>
  <c r="J13" i="34" s="1"/>
  <c r="J12" i="34"/>
  <c r="AG52" i="23"/>
  <c r="AG76" i="23" s="1"/>
  <c r="AJ40" i="10" s="1"/>
  <c r="AJ28" i="10"/>
  <c r="AG63" i="23" s="1"/>
  <c r="AG53" i="23"/>
  <c r="AB76" i="33"/>
  <c r="AH92" i="23"/>
  <c r="AH83" i="33"/>
  <c r="AC78" i="33"/>
  <c r="AC12" i="33"/>
  <c r="AC6" i="33" s="1"/>
  <c r="AC79" i="33"/>
  <c r="AC13" i="33"/>
  <c r="AC7" i="33" s="1"/>
  <c r="AD92" i="23"/>
  <c r="AD83" i="33"/>
  <c r="AI94" i="23"/>
  <c r="AI85" i="33"/>
  <c r="AC82" i="33"/>
  <c r="AC77" i="33"/>
  <c r="AC11" i="33"/>
  <c r="AI93" i="23"/>
  <c r="AI84" i="33"/>
  <c r="AB10" i="33"/>
  <c r="AB5" i="33"/>
  <c r="AB4" i="33" s="1"/>
  <c r="AH78" i="33"/>
  <c r="AH12" i="33"/>
  <c r="AH6" i="33" s="1"/>
  <c r="AD94" i="23"/>
  <c r="AD85" i="33"/>
  <c r="AD93" i="23"/>
  <c r="AD84" i="33"/>
  <c r="AH79" i="33"/>
  <c r="AH13" i="33"/>
  <c r="AI68" i="23"/>
  <c r="AI71" i="23" s="1"/>
  <c r="AI19" i="29" s="1"/>
  <c r="AI36" i="31" s="1"/>
  <c r="AB63" i="31"/>
  <c r="Z69" i="31"/>
  <c r="AJ52" i="23"/>
  <c r="AJ76" i="23" s="1"/>
  <c r="AM40" i="10" s="1"/>
  <c r="AI28" i="10"/>
  <c r="AF63" i="23" s="1"/>
  <c r="AA30" i="31"/>
  <c r="AA27" i="31" s="1"/>
  <c r="AE78" i="23"/>
  <c r="AH42" i="10" s="1"/>
  <c r="AA15" i="31"/>
  <c r="AJ78" i="23"/>
  <c r="AM42" i="10" s="1"/>
  <c r="AJ69" i="23"/>
  <c r="AJ77" i="23"/>
  <c r="AM41" i="10" s="1"/>
  <c r="AE69" i="23"/>
  <c r="AE77" i="23"/>
  <c r="AH41" i="10" s="1"/>
  <c r="AH16" i="29"/>
  <c r="AH33" i="31"/>
  <c r="AC16" i="29"/>
  <c r="AC33" i="31"/>
  <c r="AB30" i="31"/>
  <c r="AB15" i="31"/>
  <c r="J10" i="27"/>
  <c r="J30" i="27" s="1"/>
  <c r="Z72" i="31"/>
  <c r="AB36" i="4"/>
  <c r="AC66" i="31"/>
  <c r="AC54" i="31"/>
  <c r="AC51" i="31" s="1"/>
  <c r="AA60" i="31"/>
  <c r="AC33" i="4"/>
  <c r="AH66" i="31"/>
  <c r="AH54" i="31"/>
  <c r="AH51" i="31" s="1"/>
  <c r="AA63" i="31"/>
  <c r="BN63" i="31" s="1"/>
  <c r="J20" i="27" s="1"/>
  <c r="AA21" i="25"/>
  <c r="AA33" i="25" s="1"/>
  <c r="AH15" i="25"/>
  <c r="AH27" i="25" s="1"/>
  <c r="AC15" i="25"/>
  <c r="AC27" i="25" s="1"/>
  <c r="AB24" i="25"/>
  <c r="AB36" i="25" s="1"/>
  <c r="AC73" i="23"/>
  <c r="AC72" i="23"/>
  <c r="AE24" i="4" s="1"/>
  <c r="AC18" i="31" s="1"/>
  <c r="AH73" i="23"/>
  <c r="AJ70" i="23"/>
  <c r="AJ96" i="25"/>
  <c r="AC114" i="25"/>
  <c r="AC111" i="25" s="1"/>
  <c r="AC99" i="25"/>
  <c r="AI102" i="25"/>
  <c r="AI18" i="25" s="1"/>
  <c r="AI30" i="25" s="1"/>
  <c r="AI93" i="25"/>
  <c r="AE70" i="23"/>
  <c r="AE96" i="25"/>
  <c r="AH114" i="25"/>
  <c r="AH111" i="25" s="1"/>
  <c r="AH99" i="25"/>
  <c r="AD71" i="23"/>
  <c r="AD19" i="29" s="1"/>
  <c r="AD36" i="31" s="1"/>
  <c r="AD102" i="25"/>
  <c r="AD18" i="25" s="1"/>
  <c r="AD30" i="25" s="1"/>
  <c r="AD93" i="25"/>
  <c r="AE68" i="23"/>
  <c r="AG24" i="26"/>
  <c r="AG30" i="26" s="1"/>
  <c r="AG26" i="26" s="1"/>
  <c r="AF54" i="23"/>
  <c r="AF52" i="23"/>
  <c r="AF76" i="23" s="1"/>
  <c r="AI40" i="10" s="1"/>
  <c r="AF53" i="23"/>
  <c r="AL24" i="26"/>
  <c r="AL30" i="26" s="1"/>
  <c r="AL26" i="26" s="1"/>
  <c r="AK54" i="23"/>
  <c r="AK53" i="23"/>
  <c r="AK63" i="23"/>
  <c r="J11" i="27" l="1"/>
  <c r="J9" i="34" s="1"/>
  <c r="J8" i="34"/>
  <c r="V20" i="27"/>
  <c r="J14" i="34"/>
  <c r="V14" i="34" s="1"/>
  <c r="AG69" i="23"/>
  <c r="AG77" i="23"/>
  <c r="AJ41" i="10" s="1"/>
  <c r="AG68" i="23"/>
  <c r="AH24" i="26"/>
  <c r="AH30" i="26" s="1"/>
  <c r="AH26" i="26" s="1"/>
  <c r="AG54" i="23"/>
  <c r="AJ68" i="23"/>
  <c r="AJ92" i="23" s="1"/>
  <c r="AC76" i="33"/>
  <c r="AJ94" i="23"/>
  <c r="AJ85" i="33"/>
  <c r="AC5" i="33"/>
  <c r="AC4" i="33" s="1"/>
  <c r="AC10" i="33"/>
  <c r="AE94" i="23"/>
  <c r="AE85" i="33"/>
  <c r="AI92" i="23"/>
  <c r="AI83" i="33"/>
  <c r="AD79" i="33"/>
  <c r="AD13" i="33"/>
  <c r="AD7" i="33" s="1"/>
  <c r="AH7" i="33"/>
  <c r="AI79" i="33"/>
  <c r="AI13" i="33"/>
  <c r="AI7" i="33" s="1"/>
  <c r="AE93" i="23"/>
  <c r="AE84" i="33"/>
  <c r="AD78" i="33"/>
  <c r="AD12" i="33"/>
  <c r="AD6" i="33" s="1"/>
  <c r="AI78" i="33"/>
  <c r="AI12" i="33"/>
  <c r="AI6" i="33" s="1"/>
  <c r="AD77" i="33"/>
  <c r="AD82" i="33"/>
  <c r="AD11" i="33"/>
  <c r="AH77" i="33"/>
  <c r="AH76" i="33" s="1"/>
  <c r="AH82" i="33"/>
  <c r="AH11" i="33"/>
  <c r="AH5" i="33" s="1"/>
  <c r="AE92" i="23"/>
  <c r="AE83" i="33"/>
  <c r="AJ93" i="23"/>
  <c r="AJ84" i="33"/>
  <c r="AC63" i="31"/>
  <c r="AH63" i="31"/>
  <c r="BN30" i="31"/>
  <c r="BN27" i="31" s="1"/>
  <c r="AK52" i="23"/>
  <c r="AK76" i="23" s="1"/>
  <c r="AN40" i="10" s="1"/>
  <c r="AK78" i="23"/>
  <c r="AN42" i="10" s="1"/>
  <c r="AF78" i="23"/>
  <c r="AI42" i="10" s="1"/>
  <c r="AK69" i="23"/>
  <c r="AK77" i="23"/>
  <c r="AN41" i="10" s="1"/>
  <c r="AF69" i="23"/>
  <c r="AF77" i="23"/>
  <c r="AI41" i="10" s="1"/>
  <c r="AA57" i="31"/>
  <c r="BN60" i="31"/>
  <c r="BN57" i="31" s="1"/>
  <c r="J19" i="27" s="1"/>
  <c r="AD16" i="29"/>
  <c r="AD33" i="31"/>
  <c r="AB27" i="31"/>
  <c r="AI16" i="29"/>
  <c r="AI33" i="31"/>
  <c r="AC30" i="31"/>
  <c r="AC27" i="31" s="1"/>
  <c r="AC15" i="31"/>
  <c r="AC36" i="4"/>
  <c r="AA72" i="31"/>
  <c r="BN72" i="31" s="1"/>
  <c r="AI66" i="31"/>
  <c r="AI54" i="31"/>
  <c r="AI51" i="31" s="1"/>
  <c r="AD66" i="31"/>
  <c r="AD54" i="31"/>
  <c r="AD51" i="31" s="1"/>
  <c r="AB60" i="31"/>
  <c r="AB57" i="31" s="1"/>
  <c r="AD33" i="4"/>
  <c r="AB21" i="25"/>
  <c r="AB33" i="25" s="1"/>
  <c r="AI15" i="25"/>
  <c r="AI27" i="25" s="1"/>
  <c r="AC24" i="25"/>
  <c r="AC36" i="25" s="1"/>
  <c r="AD15" i="25"/>
  <c r="AD27" i="25" s="1"/>
  <c r="AH24" i="25"/>
  <c r="AH36" i="25" s="1"/>
  <c r="AI72" i="23"/>
  <c r="AK24" i="4" s="1"/>
  <c r="AI18" i="31" s="1"/>
  <c r="AI73" i="23"/>
  <c r="AD73" i="23"/>
  <c r="AD72" i="23"/>
  <c r="AF24" i="4" s="1"/>
  <c r="AD18" i="31" s="1"/>
  <c r="AE71" i="23"/>
  <c r="AE72" i="23" s="1"/>
  <c r="AG24" i="4" s="1"/>
  <c r="AE18" i="31" s="1"/>
  <c r="AE93" i="25"/>
  <c r="AE102" i="25"/>
  <c r="AE18" i="25" s="1"/>
  <c r="AE30" i="25" s="1"/>
  <c r="AI114" i="25"/>
  <c r="AI111" i="25" s="1"/>
  <c r="AI99" i="25"/>
  <c r="AF70" i="23"/>
  <c r="AF96" i="25"/>
  <c r="AD114" i="25"/>
  <c r="AD111" i="25" s="1"/>
  <c r="AD99" i="25"/>
  <c r="AK70" i="23"/>
  <c r="AK96" i="25"/>
  <c r="AJ102" i="25"/>
  <c r="AJ18" i="25" s="1"/>
  <c r="AJ30" i="25" s="1"/>
  <c r="AJ93" i="25"/>
  <c r="AF68" i="23"/>
  <c r="AM24" i="26"/>
  <c r="AM30" i="26" s="1"/>
  <c r="AM26" i="26" s="1"/>
  <c r="AL54" i="23"/>
  <c r="AL63" i="23"/>
  <c r="AL53" i="23"/>
  <c r="AJ83" i="33" l="1"/>
  <c r="AJ77" i="33" s="1"/>
  <c r="AJ71" i="23"/>
  <c r="AJ19" i="29" s="1"/>
  <c r="AJ36" i="31" s="1"/>
  <c r="AJ33" i="31" s="1"/>
  <c r="AG70" i="23"/>
  <c r="AG71" i="23" s="1"/>
  <c r="AG78" i="23"/>
  <c r="AJ42" i="10" s="1"/>
  <c r="AG96" i="25"/>
  <c r="AG92" i="23"/>
  <c r="AG83" i="33"/>
  <c r="AG84" i="33"/>
  <c r="AG93" i="23"/>
  <c r="AK68" i="23"/>
  <c r="AK83" i="33" s="1"/>
  <c r="AH4" i="33"/>
  <c r="AJ78" i="33"/>
  <c r="AJ12" i="33"/>
  <c r="AJ6" i="33" s="1"/>
  <c r="AD5" i="33"/>
  <c r="AD4" i="33" s="1"/>
  <c r="AD10" i="33"/>
  <c r="AF94" i="23"/>
  <c r="AF85" i="33"/>
  <c r="AE79" i="33"/>
  <c r="AE13" i="33"/>
  <c r="AE7" i="33" s="1"/>
  <c r="AF92" i="23"/>
  <c r="AF83" i="33"/>
  <c r="AI11" i="33"/>
  <c r="AI77" i="33"/>
  <c r="AI76" i="33" s="1"/>
  <c r="AI82" i="33"/>
  <c r="AK94" i="23"/>
  <c r="AK85" i="33"/>
  <c r="AD76" i="33"/>
  <c r="AE77" i="33"/>
  <c r="AE82" i="33"/>
  <c r="AE11" i="33"/>
  <c r="AE78" i="33"/>
  <c r="AE12" i="33"/>
  <c r="AE6" i="33" s="1"/>
  <c r="AH10" i="33"/>
  <c r="AK93" i="23"/>
  <c r="AK84" i="33"/>
  <c r="AF93" i="23"/>
  <c r="AF84" i="33"/>
  <c r="AJ79" i="33"/>
  <c r="AJ13" i="33"/>
  <c r="AJ7" i="33" s="1"/>
  <c r="AD63" i="31"/>
  <c r="AI63" i="31"/>
  <c r="AB69" i="31"/>
  <c r="AL52" i="23"/>
  <c r="AL76" i="23" s="1"/>
  <c r="AO40" i="10" s="1"/>
  <c r="AL78" i="23"/>
  <c r="AO42" i="10" s="1"/>
  <c r="AL69" i="23"/>
  <c r="AL77" i="23"/>
  <c r="AO41" i="10" s="1"/>
  <c r="AE30" i="31"/>
  <c r="AE27" i="31" s="1"/>
  <c r="AE15" i="31"/>
  <c r="AI30" i="31"/>
  <c r="AI27" i="31" s="1"/>
  <c r="AI15" i="31"/>
  <c r="AD30" i="31"/>
  <c r="AD15" i="31"/>
  <c r="AE66" i="31"/>
  <c r="AE54" i="31"/>
  <c r="AE51" i="31" s="1"/>
  <c r="AA69" i="31"/>
  <c r="BN69" i="31" s="1"/>
  <c r="J21" i="27" s="1"/>
  <c r="AC60" i="31"/>
  <c r="AC57" i="31" s="1"/>
  <c r="AE33" i="4"/>
  <c r="AB72" i="31"/>
  <c r="AD36" i="4"/>
  <c r="AJ33" i="4"/>
  <c r="AH60" i="31"/>
  <c r="AH57" i="31" s="1"/>
  <c r="AJ66" i="31"/>
  <c r="AJ54" i="31"/>
  <c r="AJ51" i="31" s="1"/>
  <c r="AH21" i="25"/>
  <c r="AH33" i="25" s="1"/>
  <c r="AC21" i="25"/>
  <c r="AC33" i="25" s="1"/>
  <c r="AD24" i="25"/>
  <c r="AD36" i="25" s="1"/>
  <c r="AE15" i="25"/>
  <c r="AE27" i="25" s="1"/>
  <c r="AJ15" i="25"/>
  <c r="AJ27" i="25" s="1"/>
  <c r="AI24" i="25"/>
  <c r="AI36" i="25" s="1"/>
  <c r="AJ73" i="23"/>
  <c r="AE73" i="23"/>
  <c r="AE19" i="29"/>
  <c r="AE36" i="31" s="1"/>
  <c r="AL70" i="23"/>
  <c r="AL96" i="25"/>
  <c r="AF93" i="25"/>
  <c r="AF102" i="25"/>
  <c r="AF18" i="25" s="1"/>
  <c r="AF30" i="25" s="1"/>
  <c r="AJ114" i="25"/>
  <c r="AJ111" i="25" s="1"/>
  <c r="AJ99" i="25"/>
  <c r="AK102" i="25"/>
  <c r="AK18" i="25" s="1"/>
  <c r="AK30" i="25" s="1"/>
  <c r="AK93" i="25"/>
  <c r="AE114" i="25"/>
  <c r="AE111" i="25" s="1"/>
  <c r="AE99" i="25"/>
  <c r="AF71" i="23"/>
  <c r="AF19" i="29" s="1"/>
  <c r="AF36" i="31" s="1"/>
  <c r="AJ72" i="23" l="1"/>
  <c r="AL24" i="4" s="1"/>
  <c r="AJ18" i="31" s="1"/>
  <c r="AJ15" i="31" s="1"/>
  <c r="J25" i="27"/>
  <c r="J15" i="34"/>
  <c r="AJ11" i="33"/>
  <c r="AJ10" i="33" s="1"/>
  <c r="AJ82" i="33"/>
  <c r="AK71" i="23"/>
  <c r="AK19" i="29" s="1"/>
  <c r="AK36" i="31" s="1"/>
  <c r="AK33" i="31" s="1"/>
  <c r="AJ16" i="29"/>
  <c r="AK92" i="23"/>
  <c r="AG78" i="33"/>
  <c r="AG12" i="33"/>
  <c r="AG6" i="33" s="1"/>
  <c r="AG77" i="33"/>
  <c r="AG11" i="33"/>
  <c r="AG19" i="29"/>
  <c r="AG73" i="23"/>
  <c r="AH72" i="23"/>
  <c r="AJ24" i="4" s="1"/>
  <c r="AH18" i="31" s="1"/>
  <c r="AG102" i="25"/>
  <c r="AG93" i="25"/>
  <c r="AG94" i="23"/>
  <c r="AG85" i="33"/>
  <c r="AG82" i="33" s="1"/>
  <c r="AL68" i="23"/>
  <c r="AL71" i="23" s="1"/>
  <c r="AL19" i="29" s="1"/>
  <c r="AL36" i="31" s="1"/>
  <c r="AE5" i="33"/>
  <c r="AE4" i="33" s="1"/>
  <c r="AE10" i="33"/>
  <c r="AK82" i="33"/>
  <c r="AK77" i="33"/>
  <c r="AK11" i="33"/>
  <c r="AE76" i="33"/>
  <c r="AL94" i="23"/>
  <c r="AL85" i="33"/>
  <c r="AK78" i="33"/>
  <c r="AK12" i="33"/>
  <c r="AK6" i="33" s="1"/>
  <c r="AI5" i="33"/>
  <c r="AI4" i="33" s="1"/>
  <c r="AI10" i="33"/>
  <c r="AF78" i="33"/>
  <c r="AF12" i="33"/>
  <c r="AF79" i="33"/>
  <c r="AF13" i="33"/>
  <c r="AF7" i="33" s="1"/>
  <c r="AJ76" i="33"/>
  <c r="AF77" i="33"/>
  <c r="AF82" i="33"/>
  <c r="AF11" i="33"/>
  <c r="AF5" i="33" s="1"/>
  <c r="AK79" i="33"/>
  <c r="AK13" i="33"/>
  <c r="AK7" i="33" s="1"/>
  <c r="AL93" i="23"/>
  <c r="AL84" i="33"/>
  <c r="AJ63" i="31"/>
  <c r="AE63" i="31"/>
  <c r="AC69" i="31"/>
  <c r="AH69" i="31"/>
  <c r="AJ30" i="31"/>
  <c r="AJ27" i="31" s="1"/>
  <c r="AF16" i="29"/>
  <c r="AF33" i="31"/>
  <c r="AD27" i="31"/>
  <c r="AE16" i="29"/>
  <c r="AE33" i="31"/>
  <c r="AD60" i="31"/>
  <c r="AD57" i="31" s="1"/>
  <c r="AF33" i="4"/>
  <c r="AI60" i="31"/>
  <c r="AI57" i="31" s="1"/>
  <c r="AK33" i="4"/>
  <c r="AK66" i="31"/>
  <c r="AK54" i="31"/>
  <c r="AK51" i="31" s="1"/>
  <c r="AC72" i="31"/>
  <c r="AE36" i="4"/>
  <c r="AH72" i="31"/>
  <c r="AJ36" i="4"/>
  <c r="AF66" i="31"/>
  <c r="AF54" i="31"/>
  <c r="AF51" i="31" s="1"/>
  <c r="AD21" i="25"/>
  <c r="AD33" i="25" s="1"/>
  <c r="AI21" i="25"/>
  <c r="AI33" i="25" s="1"/>
  <c r="AJ24" i="25"/>
  <c r="AJ36" i="25" s="1"/>
  <c r="AK15" i="25"/>
  <c r="AK27" i="25" s="1"/>
  <c r="AF15" i="25"/>
  <c r="AF27" i="25" s="1"/>
  <c r="AE24" i="25"/>
  <c r="AE36" i="25" s="1"/>
  <c r="AF73" i="23"/>
  <c r="AF72" i="23"/>
  <c r="AH24" i="4" s="1"/>
  <c r="AF18" i="31" s="1"/>
  <c r="AG72" i="23"/>
  <c r="AI24" i="4" s="1"/>
  <c r="AG18" i="31" s="1"/>
  <c r="AK114" i="25"/>
  <c r="AK111" i="25" s="1"/>
  <c r="AK99" i="25"/>
  <c r="AF114" i="25"/>
  <c r="AF111" i="25" s="1"/>
  <c r="AF99" i="25"/>
  <c r="AL102" i="25"/>
  <c r="AL18" i="25" s="1"/>
  <c r="AL30" i="25" s="1"/>
  <c r="AL93" i="25"/>
  <c r="AJ5" i="33" l="1"/>
  <c r="AJ4" i="33" s="1"/>
  <c r="AK16" i="29"/>
  <c r="AK73" i="23"/>
  <c r="AK72" i="23"/>
  <c r="AM24" i="4" s="1"/>
  <c r="AK18" i="31" s="1"/>
  <c r="AK30" i="31" s="1"/>
  <c r="AK27" i="31" s="1"/>
  <c r="AL83" i="33"/>
  <c r="AL11" i="33" s="1"/>
  <c r="AL92" i="23"/>
  <c r="AH15" i="31"/>
  <c r="AH30" i="31"/>
  <c r="AH27" i="31" s="1"/>
  <c r="AG36" i="31"/>
  <c r="AG33" i="31" s="1"/>
  <c r="AG16" i="29"/>
  <c r="AG13" i="33"/>
  <c r="AG7" i="33" s="1"/>
  <c r="AG79" i="33"/>
  <c r="AG76" i="33" s="1"/>
  <c r="AG5" i="33"/>
  <c r="AG18" i="25"/>
  <c r="AG30" i="25" s="1"/>
  <c r="AG114" i="25"/>
  <c r="AG111" i="25" s="1"/>
  <c r="AG99" i="25"/>
  <c r="AL79" i="33"/>
  <c r="AL13" i="33"/>
  <c r="AL7" i="33" s="1"/>
  <c r="AK5" i="33"/>
  <c r="AK4" i="33" s="1"/>
  <c r="AK10" i="33"/>
  <c r="AL12" i="33"/>
  <c r="AL6" i="33" s="1"/>
  <c r="AL78" i="33"/>
  <c r="AK76" i="33"/>
  <c r="AF10" i="33"/>
  <c r="AF6" i="33"/>
  <c r="AF4" i="33" s="1"/>
  <c r="AF76" i="33"/>
  <c r="AK63" i="31"/>
  <c r="AF63" i="31"/>
  <c r="AI69" i="31"/>
  <c r="AD69" i="31"/>
  <c r="AF30" i="31"/>
  <c r="AF15" i="31"/>
  <c r="AL16" i="29"/>
  <c r="AL33" i="31"/>
  <c r="AG30" i="31"/>
  <c r="AG27" i="31" s="1"/>
  <c r="AG15" i="31"/>
  <c r="AL66" i="31"/>
  <c r="AL54" i="31"/>
  <c r="AL51" i="31" s="1"/>
  <c r="AK36" i="4"/>
  <c r="AI72" i="31"/>
  <c r="AD72" i="31"/>
  <c r="AF36" i="4"/>
  <c r="AE60" i="31"/>
  <c r="AE57" i="31" s="1"/>
  <c r="AG33" i="4"/>
  <c r="AJ60" i="31"/>
  <c r="AJ57" i="31" s="1"/>
  <c r="AL33" i="4"/>
  <c r="AJ21" i="25"/>
  <c r="AJ33" i="25" s="1"/>
  <c r="AE21" i="25"/>
  <c r="AE33" i="25" s="1"/>
  <c r="AL15" i="25"/>
  <c r="AL27" i="25" s="1"/>
  <c r="AF24" i="25"/>
  <c r="AF36" i="25" s="1"/>
  <c r="AK24" i="25"/>
  <c r="AK36" i="25" s="1"/>
  <c r="AL73" i="23"/>
  <c r="AM72" i="23"/>
  <c r="AO24" i="4" s="1"/>
  <c r="AM18" i="31" s="1"/>
  <c r="AL72" i="23"/>
  <c r="AN24" i="4" s="1"/>
  <c r="AT5" i="8"/>
  <c r="AL114" i="25"/>
  <c r="AL111" i="25" s="1"/>
  <c r="AL99" i="25"/>
  <c r="I18" i="4"/>
  <c r="J18" i="4"/>
  <c r="L18" i="4"/>
  <c r="G18" i="4"/>
  <c r="H18" i="4"/>
  <c r="P18" i="4"/>
  <c r="M18" i="4"/>
  <c r="Q18" i="4"/>
  <c r="H15" i="24"/>
  <c r="H3" i="24" s="1"/>
  <c r="L3" i="24" s="1"/>
  <c r="K18" i="4"/>
  <c r="I17" i="27"/>
  <c r="O18" i="4"/>
  <c r="N18" i="4"/>
  <c r="F18" i="4"/>
  <c r="AL82" i="33" l="1"/>
  <c r="AL77" i="33"/>
  <c r="AL76" i="33" s="1"/>
  <c r="AK15" i="31"/>
  <c r="AG4" i="33"/>
  <c r="AG10" i="33"/>
  <c r="AG66" i="31"/>
  <c r="AG54" i="31"/>
  <c r="AG51" i="31" s="1"/>
  <c r="AG15" i="25"/>
  <c r="AG24" i="25"/>
  <c r="AG36" i="25" s="1"/>
  <c r="I15" i="24"/>
  <c r="I3" i="24" s="1"/>
  <c r="M3" i="24" s="1"/>
  <c r="J15" i="24"/>
  <c r="N15" i="24" s="1"/>
  <c r="AL10" i="33"/>
  <c r="AL5" i="33"/>
  <c r="AL4" i="33" s="1"/>
  <c r="AL63" i="31"/>
  <c r="AE69" i="31"/>
  <c r="AJ69" i="31"/>
  <c r="I16" i="24"/>
  <c r="J16" i="24"/>
  <c r="N16" i="24" s="1"/>
  <c r="H4" i="24"/>
  <c r="L4" i="24" s="1"/>
  <c r="AL18" i="31"/>
  <c r="AM30" i="31"/>
  <c r="AM27" i="31" s="1"/>
  <c r="AM15" i="31"/>
  <c r="AF27" i="31"/>
  <c r="AH33" i="4"/>
  <c r="AF60" i="31"/>
  <c r="AF57" i="31" s="1"/>
  <c r="AE72" i="31"/>
  <c r="AG36" i="4"/>
  <c r="AJ72" i="31"/>
  <c r="AL36" i="4"/>
  <c r="AK60" i="31"/>
  <c r="AK57" i="31" s="1"/>
  <c r="AM33" i="4"/>
  <c r="AF21" i="25"/>
  <c r="AF33" i="25" s="1"/>
  <c r="AK21" i="25"/>
  <c r="AK33" i="25" s="1"/>
  <c r="AL24" i="25"/>
  <c r="AL36" i="25" s="1"/>
  <c r="I16" i="27"/>
  <c r="I13" i="34" s="1"/>
  <c r="I10" i="27"/>
  <c r="L15" i="24"/>
  <c r="H10" i="27" l="1"/>
  <c r="I30" i="27"/>
  <c r="I8" i="34"/>
  <c r="AG27" i="25"/>
  <c r="AG63" i="31" s="1"/>
  <c r="I11" i="27"/>
  <c r="I9" i="34" s="1"/>
  <c r="I17" i="24"/>
  <c r="I5" i="24" s="1"/>
  <c r="M5" i="24" s="1"/>
  <c r="M15" i="24"/>
  <c r="J3" i="24"/>
  <c r="N3" i="24" s="1"/>
  <c r="AG21" i="25"/>
  <c r="AG60" i="31"/>
  <c r="AG57" i="31" s="1"/>
  <c r="AI33" i="4"/>
  <c r="AK69" i="31"/>
  <c r="AF69" i="31"/>
  <c r="J4" i="24"/>
  <c r="N4" i="24" s="1"/>
  <c r="M16" i="24"/>
  <c r="I4" i="24"/>
  <c r="M4" i="24" s="1"/>
  <c r="J17" i="24"/>
  <c r="N17" i="24" s="1"/>
  <c r="L16" i="24"/>
  <c r="H17" i="24"/>
  <c r="L17" i="24" s="1"/>
  <c r="AL30" i="31"/>
  <c r="AL15" i="31"/>
  <c r="BO18" i="31"/>
  <c r="BO15" i="31" s="1"/>
  <c r="K7" i="27" s="1"/>
  <c r="AL60" i="31"/>
  <c r="AL57" i="31" s="1"/>
  <c r="AN33" i="4"/>
  <c r="AH36" i="4"/>
  <c r="AF72" i="31"/>
  <c r="AK72" i="31"/>
  <c r="AM36" i="4"/>
  <c r="AL21" i="25"/>
  <c r="AL33" i="25" s="1"/>
  <c r="M17" i="24" l="1"/>
  <c r="AG33" i="25"/>
  <c r="AG69" i="31" s="1"/>
  <c r="AI36" i="4"/>
  <c r="AG72" i="31"/>
  <c r="AL69" i="31"/>
  <c r="J5" i="24"/>
  <c r="N5" i="24" s="1"/>
  <c r="H5" i="24"/>
  <c r="L5" i="24" s="1"/>
  <c r="AL27" i="31"/>
  <c r="BO30" i="31"/>
  <c r="BO27" i="31" s="1"/>
  <c r="K9" i="27"/>
  <c r="K10" i="27"/>
  <c r="AL72" i="31"/>
  <c r="AN36" i="4"/>
  <c r="L10" i="27" l="1"/>
  <c r="K30" i="27"/>
  <c r="K7" i="34"/>
  <c r="K28" i="27"/>
  <c r="X10" i="27"/>
  <c r="K8" i="34"/>
  <c r="K11" i="27"/>
  <c r="K9" i="34" s="1"/>
  <c r="C87" i="23"/>
  <c r="V95" i="23"/>
  <c r="V97" i="23" s="1"/>
  <c r="H95" i="23"/>
  <c r="AD88" i="23"/>
  <c r="AD89" i="23"/>
  <c r="Q95" i="23"/>
  <c r="AE95" i="23"/>
  <c r="AE97" i="23" s="1"/>
  <c r="Y95" i="23"/>
  <c r="Y97" i="23" s="1"/>
  <c r="O89" i="23"/>
  <c r="J95" i="23"/>
  <c r="J97" i="23" s="1"/>
  <c r="H87" i="23"/>
  <c r="U95" i="23"/>
  <c r="U97" i="23" s="1"/>
  <c r="AF89" i="23"/>
  <c r="V87" i="23"/>
  <c r="AD95" i="23"/>
  <c r="P88" i="23"/>
  <c r="AI89" i="23"/>
  <c r="Z89" i="23"/>
  <c r="X89" i="23"/>
  <c r="AB89" i="23"/>
  <c r="Y87" i="23"/>
  <c r="S95" i="23"/>
  <c r="P89" i="23"/>
  <c r="M89" i="23"/>
  <c r="AF87" i="23"/>
  <c r="AF95" i="23"/>
  <c r="AB95" i="23"/>
  <c r="M87" i="23"/>
  <c r="M95" i="23"/>
  <c r="M97" i="23" s="1"/>
  <c r="AG95" i="23"/>
  <c r="AG97" i="23" s="1"/>
  <c r="AB88" i="23"/>
  <c r="C89" i="23"/>
  <c r="AA95" i="23"/>
  <c r="AA97" i="23" s="1"/>
  <c r="X88" i="23"/>
  <c r="K89" i="23"/>
  <c r="L88" i="23"/>
  <c r="AH95" i="23"/>
  <c r="N88" i="23"/>
  <c r="Q88" i="23"/>
  <c r="E88" i="23"/>
  <c r="AE89" i="23"/>
  <c r="AI88" i="23"/>
  <c r="D89" i="23"/>
  <c r="X87" i="23"/>
  <c r="X95" i="23"/>
  <c r="K88" i="23"/>
  <c r="AK95" i="23"/>
  <c r="S87" i="23"/>
  <c r="AL95" i="23"/>
  <c r="AL97" i="23" s="1"/>
  <c r="P95" i="23"/>
  <c r="P97" i="23" s="1"/>
  <c r="P87" i="23"/>
  <c r="AB87" i="23"/>
  <c r="R95" i="23"/>
  <c r="AH88" i="23"/>
  <c r="G88" i="23"/>
  <c r="AI87" i="23"/>
  <c r="AI95" i="23"/>
  <c r="AI97" i="23" s="1"/>
  <c r="AG87" i="23"/>
  <c r="W95" i="23"/>
  <c r="W87" i="23"/>
  <c r="AG89" i="23"/>
  <c r="J89" i="23"/>
  <c r="AL88" i="23"/>
  <c r="E87" i="23"/>
  <c r="E95" i="23"/>
  <c r="E97" i="23" s="1"/>
  <c r="M88" i="23"/>
  <c r="O87" i="23"/>
  <c r="O95" i="23"/>
  <c r="T95" i="23"/>
  <c r="T97" i="23" s="1"/>
  <c r="F88" i="23"/>
  <c r="V88" i="23"/>
  <c r="U89" i="23"/>
  <c r="I87" i="23"/>
  <c r="I95" i="23"/>
  <c r="I97" i="23" s="1"/>
  <c r="AM95" i="23"/>
  <c r="AG88" i="23"/>
  <c r="R87" i="23"/>
  <c r="AK89" i="23"/>
  <c r="AJ87" i="23"/>
  <c r="AJ95" i="23"/>
  <c r="AJ97" i="23" s="1"/>
  <c r="K95" i="23"/>
  <c r="K97" i="23" s="1"/>
  <c r="AL87" i="23"/>
  <c r="N95" i="23"/>
  <c r="N87" i="23"/>
  <c r="Y88" i="23"/>
  <c r="AM89" i="23"/>
  <c r="V89" i="23"/>
  <c r="AE88" i="23"/>
  <c r="AJ89" i="23"/>
  <c r="G89" i="23"/>
  <c r="Q87" i="23"/>
  <c r="Q89" i="23"/>
  <c r="AM87" i="23"/>
  <c r="AC95" i="23"/>
  <c r="AC87" i="23"/>
  <c r="S88" i="23"/>
  <c r="AL89" i="23"/>
  <c r="F95" i="23"/>
  <c r="L95" i="23"/>
  <c r="I89" i="23"/>
  <c r="S89" i="23"/>
  <c r="AE87" i="23"/>
  <c r="AH87" i="23"/>
  <c r="AH89" i="23"/>
  <c r="AK87" i="23"/>
  <c r="Z87" i="23"/>
  <c r="Z95" i="23"/>
  <c r="Z97" i="23" s="1"/>
  <c r="AC89" i="23"/>
  <c r="R89" i="23"/>
  <c r="E89" i="23"/>
  <c r="D88" i="23"/>
  <c r="W89" i="23"/>
  <c r="O88" i="23"/>
  <c r="H88" i="23"/>
  <c r="I88" i="23"/>
  <c r="AC88" i="23"/>
  <c r="T88" i="23"/>
  <c r="AD87" i="23"/>
  <c r="G95" i="23"/>
  <c r="AA87" i="23"/>
  <c r="AF88" i="23"/>
  <c r="D95" i="23"/>
  <c r="D97" i="23" s="1"/>
  <c r="L87" i="23"/>
  <c r="Y89" i="23"/>
  <c r="AM88" i="23"/>
  <c r="T87" i="23"/>
  <c r="F89" i="23"/>
  <c r="J88" i="23"/>
  <c r="U88" i="23"/>
  <c r="R88" i="23"/>
  <c r="Z88" i="23"/>
  <c r="D87" i="23"/>
  <c r="K87" i="23"/>
  <c r="N89" i="23"/>
  <c r="L89" i="23"/>
  <c r="T89" i="23"/>
  <c r="G87" i="23"/>
  <c r="U87" i="23"/>
  <c r="H89" i="23"/>
  <c r="W88" i="23"/>
  <c r="AJ88" i="23"/>
  <c r="C88" i="23"/>
  <c r="C95" i="23"/>
  <c r="C97" i="23" s="1"/>
  <c r="AK88" i="23"/>
  <c r="J87" i="23"/>
  <c r="AA88" i="23"/>
  <c r="AA89" i="23"/>
  <c r="F87" i="23"/>
  <c r="X8" i="34" l="1"/>
  <c r="G96" i="23"/>
  <c r="Z96" i="23"/>
  <c r="AF96" i="23"/>
  <c r="AI96" i="23"/>
  <c r="AC96" i="23"/>
  <c r="L96" i="23"/>
  <c r="N96" i="23"/>
  <c r="AM96" i="23"/>
  <c r="P96" i="23"/>
  <c r="R96" i="23"/>
  <c r="G97" i="23"/>
  <c r="I96" i="23"/>
  <c r="W96" i="23"/>
  <c r="S96" i="23"/>
  <c r="X96" i="23"/>
  <c r="H96" i="23"/>
  <c r="AH96" i="23"/>
  <c r="AD96" i="23"/>
  <c r="AJ96" i="23"/>
  <c r="X97" i="23"/>
  <c r="M96" i="23"/>
  <c r="AD97" i="23"/>
  <c r="AE96" i="23"/>
  <c r="AB96" i="23"/>
  <c r="Q96" i="23"/>
  <c r="AF97" i="23"/>
  <c r="F96" i="23"/>
  <c r="AK96" i="23"/>
  <c r="U96" i="23"/>
  <c r="K96" i="23"/>
  <c r="H97" i="23"/>
  <c r="L97" i="23"/>
  <c r="E96" i="23"/>
  <c r="R97" i="23"/>
  <c r="W97" i="23"/>
  <c r="AL96" i="23"/>
  <c r="AN96" i="23"/>
  <c r="AH97" i="23"/>
  <c r="J96" i="23"/>
  <c r="Y96" i="23"/>
  <c r="AM97" i="23"/>
  <c r="T96" i="23"/>
  <c r="D96" i="23"/>
  <c r="O97" i="23"/>
  <c r="AK97" i="23"/>
  <c r="S97" i="23"/>
  <c r="Q97" i="23"/>
  <c r="AA96" i="23"/>
  <c r="AC97" i="23"/>
  <c r="N97" i="23"/>
  <c r="O96" i="23"/>
  <c r="F97" i="23"/>
  <c r="AB97" i="23"/>
  <c r="V96" i="23"/>
  <c r="AG96" i="23"/>
</calcChain>
</file>

<file path=xl/sharedStrings.xml><?xml version="1.0" encoding="utf-8"?>
<sst xmlns="http://schemas.openxmlformats.org/spreadsheetml/2006/main" count="1369" uniqueCount="290">
  <si>
    <t>PD</t>
  </si>
  <si>
    <t>LGD</t>
  </si>
  <si>
    <t>Downturn LGD</t>
  </si>
  <si>
    <t>Inputs</t>
  </si>
  <si>
    <t>Disbursals - Stress</t>
  </si>
  <si>
    <t>FICC</t>
  </si>
  <si>
    <t>Disbursals - Plan</t>
  </si>
  <si>
    <t>ENR - Plan</t>
  </si>
  <si>
    <t>Plan ENR</t>
  </si>
  <si>
    <t>Plan NCL</t>
  </si>
  <si>
    <t>R</t>
  </si>
  <si>
    <t>GWO - Plan</t>
  </si>
  <si>
    <t>Recovery - Plan</t>
  </si>
  <si>
    <t>Parameter</t>
  </si>
  <si>
    <t>Source</t>
  </si>
  <si>
    <t>AIM</t>
  </si>
  <si>
    <t>Finance</t>
  </si>
  <si>
    <t>Derived</t>
  </si>
  <si>
    <t>Product</t>
  </si>
  <si>
    <t>Plan</t>
  </si>
  <si>
    <t>Stress</t>
  </si>
  <si>
    <t>SL1</t>
  </si>
  <si>
    <t>SL2</t>
  </si>
  <si>
    <t>SL3</t>
  </si>
  <si>
    <t>LGD - Stress</t>
  </si>
  <si>
    <t>PD  - Stress</t>
  </si>
  <si>
    <t>Segment</t>
  </si>
  <si>
    <t>NCL - Plan</t>
  </si>
  <si>
    <t>Stressed ENR (Pre-WriteOff)</t>
  </si>
  <si>
    <t>ECL plan</t>
  </si>
  <si>
    <t>NCL plan</t>
  </si>
  <si>
    <t>ECL % plan</t>
  </si>
  <si>
    <t>ECL % stress</t>
  </si>
  <si>
    <t>ECL (Pre-WriteOff)</t>
  </si>
  <si>
    <t>ENR - Stress Pre-WriteOff</t>
  </si>
  <si>
    <t>Stressed NCL (base)</t>
  </si>
  <si>
    <t xml:space="preserve">Stressed NCL </t>
  </si>
  <si>
    <t xml:space="preserve">Stress ECL </t>
  </si>
  <si>
    <t>NCL stress (base)</t>
  </si>
  <si>
    <t xml:space="preserve">NCL stress </t>
  </si>
  <si>
    <t>Stress Levels</t>
  </si>
  <si>
    <t>SL1 Duration (in months)</t>
  </si>
  <si>
    <t>SL3 Duration (in months)</t>
  </si>
  <si>
    <t>SL2 Duration (in months)</t>
  </si>
  <si>
    <t>BOM</t>
  </si>
  <si>
    <t>EOM</t>
  </si>
  <si>
    <t>Stress Start Month&gt;&gt;</t>
  </si>
  <si>
    <t>`</t>
  </si>
  <si>
    <t>NCL - Stress (base)</t>
  </si>
  <si>
    <t>Stress Level</t>
  </si>
  <si>
    <t>Stress stage</t>
  </si>
  <si>
    <t>Stage1</t>
  </si>
  <si>
    <t>Stage2</t>
  </si>
  <si>
    <t>Stage3</t>
  </si>
  <si>
    <t>Stressed</t>
  </si>
  <si>
    <t>ENR - Stress Post-WriteOff</t>
  </si>
  <si>
    <t>Vascicek Stress Formula</t>
  </si>
  <si>
    <r>
      <t xml:space="preserve">ECL Stress = ECL plan * (Stress PD/Normal PD) * </t>
    </r>
    <r>
      <rPr>
        <sz val="11"/>
        <color rgb="FFFF0000"/>
        <rFont val="Calibri"/>
        <family val="2"/>
        <scheme val="minor"/>
      </rPr>
      <t>(Downturn LGD/Normal LGD)</t>
    </r>
  </si>
  <si>
    <t>NCL plan * This year LGD * (Stress PD/Normal PD) * (Downturn LGD/Normal LGD)</t>
  </si>
  <si>
    <t xml:space="preserve">NCL Stress </t>
  </si>
  <si>
    <t>+ NCL plan * (1-This year LGD) * (Downturn LGD/Normal LGD)</t>
  </si>
  <si>
    <t>Link</t>
  </si>
  <si>
    <t>Steps</t>
  </si>
  <si>
    <t>Links</t>
  </si>
  <si>
    <t>POC</t>
  </si>
  <si>
    <t>Input Stress levels and respective time horizons</t>
  </si>
  <si>
    <t>#</t>
  </si>
  <si>
    <t>Business</t>
  </si>
  <si>
    <t>Input ENR (Stressed - pre writeoff)</t>
  </si>
  <si>
    <t>Input CoC (Plan)</t>
  </si>
  <si>
    <t>Input PDLGD (Plan)</t>
  </si>
  <si>
    <t>Update Stress Parameters</t>
  </si>
  <si>
    <t xml:space="preserve">Update NCL and ECL </t>
  </si>
  <si>
    <t>Update Stage Distribution</t>
  </si>
  <si>
    <t>Parameters</t>
  </si>
  <si>
    <t>Update ENR (Stressed - post writeoff)</t>
  </si>
  <si>
    <t>TBD*</t>
  </si>
  <si>
    <t>Update ANR (Stressed - post writeoff)</t>
  </si>
  <si>
    <t>Input Disbursals (Stressed)</t>
  </si>
  <si>
    <t>All</t>
  </si>
  <si>
    <t>Revenue - Stress</t>
  </si>
  <si>
    <t>Revenue - Plan</t>
  </si>
  <si>
    <t>Cost - Plan</t>
  </si>
  <si>
    <t>Cost - Stress</t>
  </si>
  <si>
    <t>Treasury benefit - Stress</t>
  </si>
  <si>
    <t>Treasury benefit - Plan</t>
  </si>
  <si>
    <t>Capital Infusion - Stress</t>
  </si>
  <si>
    <t>Capital Infusion - Plan</t>
  </si>
  <si>
    <t xml:space="preserve"> Disbursal</t>
  </si>
  <si>
    <t>ENR</t>
  </si>
  <si>
    <t xml:space="preserve"> ANR</t>
  </si>
  <si>
    <t xml:space="preserve"> Revenue</t>
  </si>
  <si>
    <t xml:space="preserve"> Cost</t>
  </si>
  <si>
    <t xml:space="preserve"> NCL (Excl. ECL)</t>
  </si>
  <si>
    <t>Incremental ECL</t>
  </si>
  <si>
    <t>B/S ECL</t>
  </si>
  <si>
    <t>Coverage</t>
  </si>
  <si>
    <t>Coverage PBT/NCL</t>
  </si>
  <si>
    <t>Coverage PBT/(NCL+ECL)</t>
  </si>
  <si>
    <t>Coverage ECL/NCL</t>
  </si>
  <si>
    <t>Treasury Benefit</t>
  </si>
  <si>
    <t xml:space="preserve"> PBT</t>
  </si>
  <si>
    <t>Tax</t>
  </si>
  <si>
    <t xml:space="preserve"> PAT</t>
  </si>
  <si>
    <t>Capital Infusion</t>
  </si>
  <si>
    <t>Revenue%ANR</t>
  </si>
  <si>
    <t>Cost%ANR</t>
  </si>
  <si>
    <t>NCL%ANR (Excl. ECL)</t>
  </si>
  <si>
    <t>Incremental ECL%ANR</t>
  </si>
  <si>
    <t>ECL/ENR</t>
  </si>
  <si>
    <t>PBT%ANR</t>
  </si>
  <si>
    <t>PAT%ANR</t>
  </si>
  <si>
    <t>C/I Ratio</t>
  </si>
  <si>
    <t>Output Summary</t>
  </si>
  <si>
    <t>ECL (Post-WriteOff)</t>
  </si>
  <si>
    <t>Current PD</t>
  </si>
  <si>
    <t>Current LGD</t>
  </si>
  <si>
    <t>Back - Index</t>
  </si>
  <si>
    <t>Slowdown</t>
  </si>
  <si>
    <t>Recovery</t>
  </si>
  <si>
    <t>Recession</t>
  </si>
  <si>
    <t>Retail</t>
  </si>
  <si>
    <t>This year's def %</t>
  </si>
  <si>
    <t>ANR - Stress Pre-WriteOff</t>
  </si>
  <si>
    <t>ANR - Stress Post-WriteOff</t>
  </si>
  <si>
    <t>Stress tag</t>
  </si>
  <si>
    <t>Input ANR (Stressed - pre writeoff)</t>
  </si>
  <si>
    <t>CoF assumption - Treasury</t>
  </si>
  <si>
    <t>Finance/Treasury</t>
  </si>
  <si>
    <t>Credit Stress</t>
  </si>
  <si>
    <t>Update NCL (Stressed Disbursal impact)</t>
  </si>
  <si>
    <t>Day (t)</t>
  </si>
  <si>
    <t>Input Financials for Stressed scenario (with Stress inputs on margin, expense, CoF)</t>
  </si>
  <si>
    <t>Stress test deck</t>
  </si>
  <si>
    <t>Current</t>
  </si>
  <si>
    <t>SL1P</t>
  </si>
  <si>
    <t>SL2P</t>
  </si>
  <si>
    <t>SL3P</t>
  </si>
  <si>
    <t>SL0</t>
  </si>
  <si>
    <t>SLX</t>
  </si>
  <si>
    <t>Total</t>
  </si>
  <si>
    <t>ECL Rates Plan</t>
  </si>
  <si>
    <t>ECL Rates Stress</t>
  </si>
  <si>
    <t>ECLBS %</t>
  </si>
  <si>
    <t>Stressed ENR</t>
  </si>
  <si>
    <t>ECL -BS</t>
  </si>
  <si>
    <t>ECL PnL</t>
  </si>
  <si>
    <t>NCL</t>
  </si>
  <si>
    <t>ECL</t>
  </si>
  <si>
    <t>CoC</t>
  </si>
  <si>
    <t>Variance</t>
  </si>
  <si>
    <t>Plan Start Month&gt;&gt;</t>
  </si>
  <si>
    <t>GNPA - ENR  (Plan)</t>
  </si>
  <si>
    <t>NNPA - ENR  (Plan)</t>
  </si>
  <si>
    <t>Stage 3 %</t>
  </si>
  <si>
    <t>GNPA</t>
  </si>
  <si>
    <t>GNPA %</t>
  </si>
  <si>
    <t>HL</t>
  </si>
  <si>
    <t>LAP</t>
  </si>
  <si>
    <t>DF</t>
  </si>
  <si>
    <t>FIHFC</t>
  </si>
  <si>
    <t>Overlay</t>
  </si>
  <si>
    <t>Secured</t>
  </si>
  <si>
    <t>Stress level</t>
  </si>
  <si>
    <t>SL31</t>
  </si>
  <si>
    <t>SL32</t>
  </si>
  <si>
    <t>SL31 Duration (in months)</t>
  </si>
  <si>
    <t>SL32 Duration (in months)</t>
  </si>
  <si>
    <t>FY24</t>
  </si>
  <si>
    <t>FY25</t>
  </si>
  <si>
    <t>ANR</t>
  </si>
  <si>
    <t>NNPA</t>
  </si>
  <si>
    <t>GNPA%</t>
  </si>
  <si>
    <t>NNPA%</t>
  </si>
  <si>
    <t xml:space="preserve">Stress GWO </t>
  </si>
  <si>
    <t xml:space="preserve">Stress Recovery </t>
  </si>
  <si>
    <t>GWO</t>
  </si>
  <si>
    <t>Stress NNPA</t>
  </si>
  <si>
    <t>Stress NNPA%</t>
  </si>
  <si>
    <t>ECL Overlay</t>
  </si>
  <si>
    <t>COC (with overlay)</t>
  </si>
  <si>
    <t>FY26</t>
  </si>
  <si>
    <t>ECL BS</t>
  </si>
  <si>
    <t>ECL BS/ENR</t>
  </si>
  <si>
    <t>CoC %</t>
  </si>
  <si>
    <t>GWO/ANR</t>
  </si>
  <si>
    <t>Plan ECL (Model)</t>
  </si>
  <si>
    <t>ANR - Plan</t>
  </si>
  <si>
    <t>SMHFC</t>
  </si>
  <si>
    <t>GNPA - CV  (Plan)</t>
  </si>
  <si>
    <t>NNPA - CV  (Plan)</t>
  </si>
  <si>
    <t>GNPA - CV %  (Plan)</t>
  </si>
  <si>
    <t>NNPA - CV%  (Plan)</t>
  </si>
  <si>
    <t>ECL BS Model- Plan</t>
  </si>
  <si>
    <t>ECL BS Overlay- Plan</t>
  </si>
  <si>
    <t>ECL BS Overlay- Stress</t>
  </si>
  <si>
    <t>ECL BS Model- Stress</t>
  </si>
  <si>
    <t>GNPA - ENR  (Plan) 90+</t>
  </si>
  <si>
    <t>GNPA - ENR  (Plan) ONAN</t>
  </si>
  <si>
    <t>GNPA - ENR (Stress) 90+</t>
  </si>
  <si>
    <t>GNPA - ENR (Stress) ONAN</t>
  </si>
  <si>
    <t>Stage 3 Prov- Plan</t>
  </si>
  <si>
    <t>ONAN Prov- Plan</t>
  </si>
  <si>
    <t>90+ Prov - Plan</t>
  </si>
  <si>
    <t>90+ Prov - Stress</t>
  </si>
  <si>
    <t>ONAN Prov- Stress</t>
  </si>
  <si>
    <t>Stage 3 Prov- Stress</t>
  </si>
  <si>
    <t>ECL Model</t>
  </si>
  <si>
    <t>GNPA - ENR  (Stress)</t>
  </si>
  <si>
    <t>NNPA - ENR  (Stress)</t>
  </si>
  <si>
    <t>Stage 3 overlay- Plan</t>
  </si>
  <si>
    <t>GNPA% - CV  (Stress)</t>
  </si>
  <si>
    <t>NNPA% - CV  (Stress)</t>
  </si>
  <si>
    <t>FY19</t>
  </si>
  <si>
    <t>FY20</t>
  </si>
  <si>
    <t>FY21</t>
  </si>
  <si>
    <t>FY22</t>
  </si>
  <si>
    <t>FY23</t>
  </si>
  <si>
    <t>GWO (Stress)</t>
  </si>
  <si>
    <t>Recovery (Stress)</t>
  </si>
  <si>
    <t>Model ECL (Stress)</t>
  </si>
  <si>
    <t>COC (Stress)</t>
  </si>
  <si>
    <t>Overlay (Stress)</t>
  </si>
  <si>
    <t>ECL BS (Stress)</t>
  </si>
  <si>
    <t>ENR (Stress)</t>
  </si>
  <si>
    <t>ANR (Stress)</t>
  </si>
  <si>
    <t>ECL Pnl</t>
  </si>
  <si>
    <t>FY19-FY23</t>
  </si>
  <si>
    <t>HFC</t>
  </si>
  <si>
    <t>Base Scenario</t>
  </si>
  <si>
    <t>Stress Scenario</t>
  </si>
  <si>
    <t xml:space="preserve">Definition </t>
  </si>
  <si>
    <t>Stress Period</t>
  </si>
  <si>
    <t xml:space="preserve">Disbursal </t>
  </si>
  <si>
    <t>1 in 7 years</t>
  </si>
  <si>
    <t>1 in 25 years</t>
  </si>
  <si>
    <r>
      <t>SL1:</t>
    </r>
    <r>
      <rPr>
        <sz val="10"/>
        <color rgb="FF000000"/>
        <rFont val="Calibri"/>
        <family val="2"/>
      </rPr>
      <t xml:space="preserve"> Slowdown</t>
    </r>
  </si>
  <si>
    <r>
      <t>SL2:</t>
    </r>
    <r>
      <rPr>
        <sz val="10"/>
        <color rgb="FF000000"/>
        <rFont val="Calibri"/>
        <family val="2"/>
      </rPr>
      <t xml:space="preserve"> Recession</t>
    </r>
  </si>
  <si>
    <r>
      <t>SL3:</t>
    </r>
    <r>
      <rPr>
        <sz val="10"/>
        <color rgb="FF000000"/>
        <rFont val="Calibri"/>
        <family val="2"/>
      </rPr>
      <t xml:space="preserve"> Recovery</t>
    </r>
  </si>
  <si>
    <t>Stress Methodology</t>
  </si>
  <si>
    <t>Base-line PD is stressed through Vasicek equation to get stressed PD across stress levels</t>
  </si>
  <si>
    <t>Compute stressed NCL by using Vasicek formula across 3 levels of stress</t>
  </si>
  <si>
    <t>ECL (PnL)</t>
  </si>
  <si>
    <t>@60% of Base scenario</t>
  </si>
  <si>
    <t>@40% of Base scenario</t>
  </si>
  <si>
    <t>BAU</t>
  </si>
  <si>
    <t>@100% of Base scenario</t>
  </si>
  <si>
    <t>NPA</t>
  </si>
  <si>
    <t>1 - 90 + GNPA is computed using worsened stage distribution</t>
  </si>
  <si>
    <t>3- Model PCR for 90+ GNPA and ONAN GNPA is same as base scenario</t>
  </si>
  <si>
    <t>Assumptions</t>
  </si>
  <si>
    <t xml:space="preserve">The stress scenario is considered for the period of 30 months with split in 3 levels. </t>
  </si>
  <si>
    <t xml:space="preserve">Compute the downturn LGD as against Base-line LGD basis till inception trend </t>
  </si>
  <si>
    <t>2- ECL rate for Stage-1 is worsened by extent of worsening of stage 2</t>
  </si>
  <si>
    <t>ECL(Model) - Plan</t>
  </si>
  <si>
    <t>ABP Stress</t>
  </si>
  <si>
    <t>1 in 10 years</t>
  </si>
  <si>
    <t>Stg1</t>
  </si>
  <si>
    <t>Stg2</t>
  </si>
  <si>
    <t>Stg3</t>
  </si>
  <si>
    <t>ENR - Plan(HL)</t>
  </si>
  <si>
    <t>ENR - Plan(LAP)</t>
  </si>
  <si>
    <t>Acc Prov (Stress)</t>
  </si>
  <si>
    <t>2- ONAN GNPA is computed using  Non ONAN to ONAN pool ratio in stage2 of base scenario</t>
  </si>
  <si>
    <t>Acc prov- Stress(ONAN)</t>
  </si>
  <si>
    <t>3- Plan overlay is kept same as base period</t>
  </si>
  <si>
    <t xml:space="preserve">5- Actual ECL BS is computed on stressed ENR </t>
  </si>
  <si>
    <t>Acc prov(ONAN Pool)</t>
  </si>
  <si>
    <t>Total ECL BS Stress</t>
  </si>
  <si>
    <t>GNPA (Stress)-CV</t>
  </si>
  <si>
    <t>NNPA (Stress)-CV</t>
  </si>
  <si>
    <t>GNPA% - (Stress)-CV</t>
  </si>
  <si>
    <t>NNPA% - (Stress)-CV</t>
  </si>
  <si>
    <t>The base scenario is considered as revised ABP plan for FY25-FY27</t>
  </si>
  <si>
    <t>6 months (Apr’24 to Sep’24)</t>
  </si>
  <si>
    <t>12 months (Oct’24 to Sep'25)</t>
  </si>
  <si>
    <t>12 months (Oct’25 to Sep’26)</t>
  </si>
  <si>
    <t>6 months (Oct’26 to Mar’27)</t>
  </si>
  <si>
    <t>ABP</t>
  </si>
  <si>
    <t>FY27</t>
  </si>
  <si>
    <t>ABP (revised) plan</t>
  </si>
  <si>
    <t>Stress Scenario (Revised)</t>
  </si>
  <si>
    <t>weighted Avg of current bucket marginal PD of 7 years for new and old book</t>
  </si>
  <si>
    <t>Disbursals</t>
  </si>
  <si>
    <t>HL + LAP</t>
  </si>
  <si>
    <t>@20% of Base scenario</t>
  </si>
  <si>
    <t>4- Additional overlay has been built on ONAN pool maintain stage 3 model PCR</t>
  </si>
  <si>
    <t>4- Additional overlay has been built on ONAN pool to get the PCR of ONAN pool equal to stage 3 ECL rates</t>
  </si>
  <si>
    <t>1- Stage distribution is worsened basis the historical stage distribution observed after covid wave 1 , some improvement is considered factoring better sourcing quality post covid</t>
  </si>
  <si>
    <t>COC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</si>
</sst>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3" formatCode="_ * #,##0.00_ ;_ * \-#,##0.00_ ;_ * &quot;-&quot;??_ ;_ @_ "/>
    <numFmt numFmtId="164" formatCode="_(* #,##0.00_);_(* \(#,##0.00\);_(* &quot;-&quot;??_);_(@_)"/>
    <numFmt numFmtId="165" formatCode="0.0%"/>
    <numFmt numFmtId="166" formatCode="[$-409]mmm\-yy;@"/>
    <numFmt numFmtId="167" formatCode="_(* #,##0_);_(* \(#,##0\);_(* &quot;-&quot;??_);_(@_)"/>
    <numFmt numFmtId="168" formatCode="[$-409]d\-mmm\-yy;@"/>
    <numFmt numFmtId="169" formatCode="_ * #,##0_ ;_ * \-#,##0_ ;_ * &quot;-&quot;??_ ;_ @_ "/>
    <numFmt numFmtId="170" formatCode="0.00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i/>
      <sz val="11"/>
      <color theme="1" tint="0.34998626667073579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b/>
      <sz val="10"/>
      <color rgb="FFFFFFFF"/>
      <name val="Calibri"/>
      <family val="2"/>
    </font>
    <font>
      <b/>
      <sz val="11"/>
      <name val="Calibri"/>
      <family val="2"/>
    </font>
    <font>
      <sz val="11"/>
      <color theme="1"/>
      <name val="Wingdings"/>
      <charset val="2"/>
    </font>
    <font>
      <b/>
      <i/>
      <u/>
      <sz val="10"/>
      <color rgb="FFFFFFFF"/>
      <name val="Calibri"/>
      <family val="2"/>
    </font>
    <font>
      <b/>
      <i/>
      <sz val="10"/>
      <color rgb="FF000000"/>
      <name val="Calibri"/>
      <family val="2"/>
    </font>
    <font>
      <b/>
      <sz val="14"/>
      <color rgb="FFFFFFFF"/>
      <name val="Calibri"/>
      <family val="2"/>
    </font>
    <font>
      <sz val="10"/>
      <name val="Calibri"/>
      <family val="2"/>
    </font>
    <font>
      <sz val="11"/>
      <color theme="0"/>
      <name val="Calibri"/>
      <family val="2"/>
      <scheme val="minor"/>
    </font>
    <font>
      <sz val="10"/>
      <color theme="0"/>
      <name val="Calibri"/>
      <family val="2"/>
    </font>
    <font>
      <sz val="10"/>
      <color theme="1"/>
      <name val="Calibri"/>
      <family val="2"/>
    </font>
    <font>
      <b/>
      <sz val="1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4831"/>
        <bgColor rgb="FF000000"/>
      </patternFill>
    </fill>
    <fill>
      <patternFill patternType="solid">
        <fgColor rgb="FFC4D700"/>
        <bgColor rgb="FF000000"/>
      </patternFill>
    </fill>
    <fill>
      <patternFill patternType="solid">
        <fgColor rgb="FF303500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595959"/>
      </left>
      <right/>
      <top style="thin">
        <color rgb="FF595959"/>
      </top>
      <bottom style="thin">
        <color rgb="FF595959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595959"/>
      </left>
      <right/>
      <top/>
      <bottom style="thin">
        <color rgb="FF595959"/>
      </bottom>
      <diagonal/>
    </border>
    <border>
      <left/>
      <right/>
      <top/>
      <bottom style="thin">
        <color rgb="FF595959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359">
    <xf numFmtId="0" fontId="0" fillId="0" borderId="0" xfId="0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1" xfId="0" applyFont="1" applyBorder="1" applyAlignment="1">
      <alignment horizontal="center"/>
    </xf>
    <xf numFmtId="167" fontId="0" fillId="0" borderId="8" xfId="2" applyNumberFormat="1" applyFont="1" applyBorder="1"/>
    <xf numFmtId="167" fontId="0" fillId="0" borderId="9" xfId="2" applyNumberFormat="1" applyFont="1" applyBorder="1"/>
    <xf numFmtId="167" fontId="0" fillId="0" borderId="10" xfId="2" applyNumberFormat="1" applyFont="1" applyBorder="1"/>
    <xf numFmtId="167" fontId="0" fillId="0" borderId="11" xfId="2" applyNumberFormat="1" applyFont="1" applyBorder="1"/>
    <xf numFmtId="167" fontId="0" fillId="0" borderId="0" xfId="2" applyNumberFormat="1" applyFont="1" applyBorder="1"/>
    <xf numFmtId="167" fontId="0" fillId="0" borderId="12" xfId="2" applyNumberFormat="1" applyFont="1" applyBorder="1"/>
    <xf numFmtId="167" fontId="0" fillId="0" borderId="13" xfId="2" applyNumberFormat="1" applyFont="1" applyBorder="1"/>
    <xf numFmtId="167" fontId="0" fillId="0" borderId="14" xfId="2" applyNumberFormat="1" applyFont="1" applyBorder="1"/>
    <xf numFmtId="167" fontId="0" fillId="0" borderId="15" xfId="2" applyNumberFormat="1" applyFont="1" applyBorder="1"/>
    <xf numFmtId="0" fontId="2" fillId="0" borderId="5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7" fontId="0" fillId="0" borderId="2" xfId="2" applyNumberFormat="1" applyFont="1" applyBorder="1"/>
    <xf numFmtId="167" fontId="0" fillId="0" borderId="3" xfId="2" applyNumberFormat="1" applyFont="1" applyBorder="1"/>
    <xf numFmtId="167" fontId="0" fillId="0" borderId="4" xfId="2" applyNumberFormat="1" applyFont="1" applyBorder="1"/>
    <xf numFmtId="166" fontId="4" fillId="3" borderId="2" xfId="0" applyNumberFormat="1" applyFont="1" applyFill="1" applyBorder="1" applyAlignment="1">
      <alignment horizontal="right" vertical="center"/>
    </xf>
    <xf numFmtId="166" fontId="4" fillId="3" borderId="3" xfId="0" applyNumberFormat="1" applyFont="1" applyFill="1" applyBorder="1" applyAlignment="1">
      <alignment horizontal="right" vertical="center"/>
    </xf>
    <xf numFmtId="166" fontId="4" fillId="3" borderId="4" xfId="0" applyNumberFormat="1" applyFont="1" applyFill="1" applyBorder="1" applyAlignment="1">
      <alignment horizontal="right"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66" fontId="4" fillId="3" borderId="1" xfId="0" applyNumberFormat="1" applyFont="1" applyFill="1" applyBorder="1" applyAlignment="1">
      <alignment horizontal="center" vertical="center"/>
    </xf>
    <xf numFmtId="0" fontId="5" fillId="0" borderId="2" xfId="0" applyFont="1" applyBorder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166" fontId="4" fillId="3" borderId="8" xfId="0" applyNumberFormat="1" applyFont="1" applyFill="1" applyBorder="1" applyAlignment="1">
      <alignment horizontal="right" vertical="center"/>
    </xf>
    <xf numFmtId="166" fontId="4" fillId="3" borderId="9" xfId="0" applyNumberFormat="1" applyFont="1" applyFill="1" applyBorder="1" applyAlignment="1">
      <alignment horizontal="right" vertical="center"/>
    </xf>
    <xf numFmtId="166" fontId="4" fillId="3" borderId="10" xfId="0" applyNumberFormat="1" applyFont="1" applyFill="1" applyBorder="1" applyAlignment="1">
      <alignment horizontal="right" vertical="center"/>
    </xf>
    <xf numFmtId="0" fontId="0" fillId="5" borderId="8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68" fontId="7" fillId="0" borderId="0" xfId="0" applyNumberFormat="1" applyFont="1" applyAlignment="1">
      <alignment horizontal="center" vertical="center"/>
    </xf>
    <xf numFmtId="0" fontId="0" fillId="0" borderId="0" xfId="0" quotePrefix="1"/>
    <xf numFmtId="0" fontId="2" fillId="0" borderId="4" xfId="0" applyFont="1" applyBorder="1" applyAlignment="1">
      <alignment horizontal="center"/>
    </xf>
    <xf numFmtId="0" fontId="0" fillId="0" borderId="12" xfId="0" applyBorder="1" applyAlignment="1">
      <alignment horizontal="left"/>
    </xf>
    <xf numFmtId="0" fontId="0" fillId="0" borderId="15" xfId="0" applyBorder="1" applyAlignment="1">
      <alignment horizontal="left"/>
    </xf>
    <xf numFmtId="0" fontId="9" fillId="0" borderId="12" xfId="4" quotePrefix="1" applyFont="1" applyBorder="1" applyAlignment="1">
      <alignment horizontal="left"/>
    </xf>
    <xf numFmtId="167" fontId="0" fillId="4" borderId="8" xfId="2" applyNumberFormat="1" applyFont="1" applyFill="1" applyBorder="1"/>
    <xf numFmtId="167" fontId="0" fillId="4" borderId="9" xfId="2" applyNumberFormat="1" applyFont="1" applyFill="1" applyBorder="1"/>
    <xf numFmtId="167" fontId="0" fillId="4" borderId="10" xfId="2" applyNumberFormat="1" applyFont="1" applyFill="1" applyBorder="1"/>
    <xf numFmtId="167" fontId="0" fillId="4" borderId="11" xfId="2" applyNumberFormat="1" applyFont="1" applyFill="1" applyBorder="1"/>
    <xf numFmtId="167" fontId="0" fillId="4" borderId="0" xfId="2" applyNumberFormat="1" applyFont="1" applyFill="1" applyBorder="1"/>
    <xf numFmtId="167" fontId="0" fillId="4" borderId="12" xfId="2" applyNumberFormat="1" applyFont="1" applyFill="1" applyBorder="1"/>
    <xf numFmtId="167" fontId="0" fillId="4" borderId="13" xfId="2" applyNumberFormat="1" applyFont="1" applyFill="1" applyBorder="1"/>
    <xf numFmtId="167" fontId="0" fillId="4" borderId="14" xfId="2" applyNumberFormat="1" applyFont="1" applyFill="1" applyBorder="1"/>
    <xf numFmtId="167" fontId="0" fillId="4" borderId="15" xfId="2" applyNumberFormat="1" applyFont="1" applyFill="1" applyBorder="1"/>
    <xf numFmtId="167" fontId="0" fillId="6" borderId="8" xfId="2" applyNumberFormat="1" applyFont="1" applyFill="1" applyBorder="1"/>
    <xf numFmtId="167" fontId="0" fillId="6" borderId="9" xfId="2" applyNumberFormat="1" applyFont="1" applyFill="1" applyBorder="1"/>
    <xf numFmtId="167" fontId="0" fillId="6" borderId="10" xfId="2" applyNumberFormat="1" applyFont="1" applyFill="1" applyBorder="1"/>
    <xf numFmtId="167" fontId="0" fillId="6" borderId="11" xfId="2" applyNumberFormat="1" applyFont="1" applyFill="1" applyBorder="1"/>
    <xf numFmtId="167" fontId="0" fillId="6" borderId="0" xfId="2" applyNumberFormat="1" applyFont="1" applyFill="1" applyBorder="1"/>
    <xf numFmtId="167" fontId="0" fillId="6" borderId="12" xfId="2" applyNumberFormat="1" applyFont="1" applyFill="1" applyBorder="1"/>
    <xf numFmtId="167" fontId="0" fillId="6" borderId="13" xfId="2" applyNumberFormat="1" applyFont="1" applyFill="1" applyBorder="1"/>
    <xf numFmtId="167" fontId="0" fillId="6" borderId="14" xfId="2" applyNumberFormat="1" applyFont="1" applyFill="1" applyBorder="1"/>
    <xf numFmtId="167" fontId="0" fillId="6" borderId="15" xfId="2" applyNumberFormat="1" applyFont="1" applyFill="1" applyBorder="1"/>
    <xf numFmtId="165" fontId="3" fillId="6" borderId="8" xfId="1" applyNumberFormat="1" applyFont="1" applyFill="1" applyBorder="1" applyAlignment="1">
      <alignment horizontal="center"/>
    </xf>
    <xf numFmtId="165" fontId="3" fillId="6" borderId="9" xfId="1" applyNumberFormat="1" applyFont="1" applyFill="1" applyBorder="1" applyAlignment="1">
      <alignment horizontal="center"/>
    </xf>
    <xf numFmtId="165" fontId="3" fillId="6" borderId="10" xfId="1" applyNumberFormat="1" applyFont="1" applyFill="1" applyBorder="1" applyAlignment="1">
      <alignment horizontal="center"/>
    </xf>
    <xf numFmtId="165" fontId="3" fillId="6" borderId="11" xfId="1" applyNumberFormat="1" applyFont="1" applyFill="1" applyBorder="1" applyAlignment="1">
      <alignment horizontal="center"/>
    </xf>
    <xf numFmtId="165" fontId="3" fillId="6" borderId="0" xfId="1" applyNumberFormat="1" applyFont="1" applyFill="1" applyBorder="1" applyAlignment="1">
      <alignment horizontal="center"/>
    </xf>
    <xf numFmtId="165" fontId="3" fillId="6" borderId="12" xfId="1" applyNumberFormat="1" applyFont="1" applyFill="1" applyBorder="1" applyAlignment="1">
      <alignment horizontal="center"/>
    </xf>
    <xf numFmtId="165" fontId="3" fillId="6" borderId="13" xfId="1" applyNumberFormat="1" applyFont="1" applyFill="1" applyBorder="1" applyAlignment="1">
      <alignment horizontal="center"/>
    </xf>
    <xf numFmtId="165" fontId="3" fillId="6" borderId="14" xfId="1" applyNumberFormat="1" applyFont="1" applyFill="1" applyBorder="1" applyAlignment="1">
      <alignment horizontal="center"/>
    </xf>
    <xf numFmtId="165" fontId="3" fillId="6" borderId="15" xfId="1" applyNumberFormat="1" applyFont="1" applyFill="1" applyBorder="1" applyAlignment="1">
      <alignment horizontal="center"/>
    </xf>
    <xf numFmtId="165" fontId="3" fillId="4" borderId="8" xfId="1" applyNumberFormat="1" applyFont="1" applyFill="1" applyBorder="1" applyAlignment="1">
      <alignment horizontal="center"/>
    </xf>
    <xf numFmtId="165" fontId="3" fillId="4" borderId="9" xfId="1" applyNumberFormat="1" applyFont="1" applyFill="1" applyBorder="1" applyAlignment="1">
      <alignment horizontal="center"/>
    </xf>
    <xf numFmtId="1" fontId="3" fillId="4" borderId="8" xfId="1" applyNumberFormat="1" applyFont="1" applyFill="1" applyBorder="1" applyAlignment="1">
      <alignment horizontal="center"/>
    </xf>
    <xf numFmtId="1" fontId="3" fillId="4" borderId="9" xfId="1" applyNumberFormat="1" applyFont="1" applyFill="1" applyBorder="1" applyAlignment="1">
      <alignment horizontal="center"/>
    </xf>
    <xf numFmtId="1" fontId="3" fillId="4" borderId="10" xfId="1" applyNumberFormat="1" applyFont="1" applyFill="1" applyBorder="1" applyAlignment="1">
      <alignment horizontal="center"/>
    </xf>
    <xf numFmtId="165" fontId="3" fillId="4" borderId="10" xfId="1" applyNumberFormat="1" applyFont="1" applyFill="1" applyBorder="1" applyAlignment="1">
      <alignment horizontal="center"/>
    </xf>
    <xf numFmtId="10" fontId="3" fillId="4" borderId="9" xfId="1" applyNumberFormat="1" applyFont="1" applyFill="1" applyBorder="1" applyAlignment="1">
      <alignment horizontal="center"/>
    </xf>
    <xf numFmtId="10" fontId="3" fillId="4" borderId="10" xfId="1" applyNumberFormat="1" applyFont="1" applyFill="1" applyBorder="1" applyAlignment="1">
      <alignment horizontal="center"/>
    </xf>
    <xf numFmtId="10" fontId="3" fillId="4" borderId="8" xfId="1" applyNumberFormat="1" applyFont="1" applyFill="1" applyBorder="1" applyAlignment="1">
      <alignment horizontal="center"/>
    </xf>
    <xf numFmtId="165" fontId="3" fillId="4" borderId="11" xfId="1" applyNumberFormat="1" applyFont="1" applyFill="1" applyBorder="1" applyAlignment="1">
      <alignment horizontal="center"/>
    </xf>
    <xf numFmtId="165" fontId="3" fillId="4" borderId="0" xfId="1" applyNumberFormat="1" applyFont="1" applyFill="1" applyBorder="1" applyAlignment="1">
      <alignment horizontal="center"/>
    </xf>
    <xf numFmtId="1" fontId="3" fillId="4" borderId="11" xfId="1" applyNumberFormat="1" applyFont="1" applyFill="1" applyBorder="1" applyAlignment="1">
      <alignment horizontal="center"/>
    </xf>
    <xf numFmtId="1" fontId="3" fillId="4" borderId="0" xfId="1" applyNumberFormat="1" applyFont="1" applyFill="1" applyBorder="1" applyAlignment="1">
      <alignment horizontal="center"/>
    </xf>
    <xf numFmtId="1" fontId="3" fillId="4" borderId="12" xfId="1" applyNumberFormat="1" applyFont="1" applyFill="1" applyBorder="1" applyAlignment="1">
      <alignment horizontal="center"/>
    </xf>
    <xf numFmtId="165" fontId="3" fillId="4" borderId="12" xfId="1" applyNumberFormat="1" applyFont="1" applyFill="1" applyBorder="1" applyAlignment="1">
      <alignment horizontal="center"/>
    </xf>
    <xf numFmtId="10" fontId="3" fillId="4" borderId="11" xfId="1" applyNumberFormat="1" applyFont="1" applyFill="1" applyBorder="1" applyAlignment="1">
      <alignment horizontal="center"/>
    </xf>
    <xf numFmtId="10" fontId="3" fillId="4" borderId="0" xfId="1" applyNumberFormat="1" applyFont="1" applyFill="1" applyBorder="1" applyAlignment="1">
      <alignment horizontal="center"/>
    </xf>
    <xf numFmtId="10" fontId="3" fillId="4" borderId="12" xfId="1" applyNumberFormat="1" applyFont="1" applyFill="1" applyBorder="1" applyAlignment="1">
      <alignment horizontal="center"/>
    </xf>
    <xf numFmtId="165" fontId="3" fillId="4" borderId="13" xfId="1" applyNumberFormat="1" applyFont="1" applyFill="1" applyBorder="1" applyAlignment="1">
      <alignment horizontal="center"/>
    </xf>
    <xf numFmtId="165" fontId="3" fillId="4" borderId="14" xfId="1" applyNumberFormat="1" applyFont="1" applyFill="1" applyBorder="1" applyAlignment="1">
      <alignment horizontal="center"/>
    </xf>
    <xf numFmtId="1" fontId="3" fillId="4" borderId="13" xfId="1" applyNumberFormat="1" applyFont="1" applyFill="1" applyBorder="1" applyAlignment="1">
      <alignment horizontal="center"/>
    </xf>
    <xf numFmtId="1" fontId="3" fillId="4" borderId="14" xfId="1" applyNumberFormat="1" applyFont="1" applyFill="1" applyBorder="1" applyAlignment="1">
      <alignment horizontal="center"/>
    </xf>
    <xf numFmtId="1" fontId="3" fillId="4" borderId="15" xfId="1" applyNumberFormat="1" applyFont="1" applyFill="1" applyBorder="1" applyAlignment="1">
      <alignment horizontal="center"/>
    </xf>
    <xf numFmtId="165" fontId="3" fillId="4" borderId="15" xfId="1" applyNumberFormat="1" applyFont="1" applyFill="1" applyBorder="1" applyAlignment="1">
      <alignment horizontal="center"/>
    </xf>
    <xf numFmtId="10" fontId="3" fillId="4" borderId="13" xfId="1" applyNumberFormat="1" applyFont="1" applyFill="1" applyBorder="1" applyAlignment="1">
      <alignment horizontal="center"/>
    </xf>
    <xf numFmtId="10" fontId="3" fillId="4" borderId="14" xfId="1" applyNumberFormat="1" applyFont="1" applyFill="1" applyBorder="1" applyAlignment="1">
      <alignment horizontal="center"/>
    </xf>
    <xf numFmtId="10" fontId="3" fillId="4" borderId="15" xfId="1" applyNumberFormat="1" applyFont="1" applyFill="1" applyBorder="1" applyAlignment="1">
      <alignment horizontal="center"/>
    </xf>
    <xf numFmtId="1" fontId="3" fillId="6" borderId="2" xfId="1" applyNumberFormat="1" applyFont="1" applyFill="1" applyBorder="1" applyAlignment="1">
      <alignment horizontal="center"/>
    </xf>
    <xf numFmtId="1" fontId="3" fillId="6" borderId="3" xfId="1" applyNumberFormat="1" applyFont="1" applyFill="1" applyBorder="1" applyAlignment="1">
      <alignment horizontal="center"/>
    </xf>
    <xf numFmtId="1" fontId="3" fillId="6" borderId="4" xfId="1" applyNumberFormat="1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/>
    <xf numFmtId="166" fontId="4" fillId="6" borderId="1" xfId="0" applyNumberFormat="1" applyFont="1" applyFill="1" applyBorder="1" applyAlignment="1">
      <alignment horizontal="center" vertical="center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4" xfId="0" applyBorder="1"/>
    <xf numFmtId="0" fontId="0" fillId="0" borderId="15" xfId="0" applyBorder="1"/>
    <xf numFmtId="167" fontId="0" fillId="0" borderId="8" xfId="2" applyNumberFormat="1" applyFont="1" applyFill="1" applyBorder="1"/>
    <xf numFmtId="167" fontId="0" fillId="0" borderId="9" xfId="2" applyNumberFormat="1" applyFont="1" applyFill="1" applyBorder="1"/>
    <xf numFmtId="167" fontId="0" fillId="0" borderId="10" xfId="2" applyNumberFormat="1" applyFont="1" applyFill="1" applyBorder="1"/>
    <xf numFmtId="166" fontId="4" fillId="3" borderId="8" xfId="0" applyNumberFormat="1" applyFont="1" applyFill="1" applyBorder="1" applyAlignment="1">
      <alignment horizontal="center" vertical="center"/>
    </xf>
    <xf numFmtId="166" fontId="4" fillId="3" borderId="9" xfId="0" applyNumberFormat="1" applyFont="1" applyFill="1" applyBorder="1" applyAlignment="1">
      <alignment horizontal="center" vertical="center"/>
    </xf>
    <xf numFmtId="166" fontId="4" fillId="3" borderId="10" xfId="0" applyNumberFormat="1" applyFont="1" applyFill="1" applyBorder="1" applyAlignment="1">
      <alignment horizontal="center" vertical="center"/>
    </xf>
    <xf numFmtId="0" fontId="9" fillId="0" borderId="15" xfId="4" quotePrefix="1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10" fillId="0" borderId="12" xfId="0" applyFont="1" applyBorder="1" applyAlignment="1">
      <alignment horizontal="left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9" fillId="0" borderId="0" xfId="4" applyFont="1"/>
    <xf numFmtId="0" fontId="9" fillId="0" borderId="0" xfId="4" applyFont="1" applyAlignment="1">
      <alignment horizontal="center"/>
    </xf>
    <xf numFmtId="166" fontId="0" fillId="0" borderId="8" xfId="0" applyNumberFormat="1" applyBorder="1"/>
    <xf numFmtId="166" fontId="0" fillId="0" borderId="11" xfId="0" applyNumberFormat="1" applyBorder="1"/>
    <xf numFmtId="166" fontId="0" fillId="0" borderId="13" xfId="0" applyNumberFormat="1" applyBorder="1"/>
    <xf numFmtId="165" fontId="0" fillId="0" borderId="0" xfId="1" applyNumberFormat="1" applyFont="1"/>
    <xf numFmtId="165" fontId="0" fillId="4" borderId="0" xfId="1" applyNumberFormat="1" applyFont="1" applyFill="1" applyBorder="1"/>
    <xf numFmtId="165" fontId="0" fillId="4" borderId="14" xfId="1" applyNumberFormat="1" applyFont="1" applyFill="1" applyBorder="1"/>
    <xf numFmtId="165" fontId="0" fillId="4" borderId="8" xfId="1" applyNumberFormat="1" applyFont="1" applyFill="1" applyBorder="1"/>
    <xf numFmtId="165" fontId="0" fillId="4" borderId="9" xfId="1" applyNumberFormat="1" applyFont="1" applyFill="1" applyBorder="1"/>
    <xf numFmtId="165" fontId="0" fillId="4" borderId="10" xfId="1" applyNumberFormat="1" applyFont="1" applyFill="1" applyBorder="1"/>
    <xf numFmtId="165" fontId="0" fillId="4" borderId="11" xfId="1" applyNumberFormat="1" applyFont="1" applyFill="1" applyBorder="1"/>
    <xf numFmtId="165" fontId="0" fillId="4" borderId="12" xfId="1" applyNumberFormat="1" applyFont="1" applyFill="1" applyBorder="1"/>
    <xf numFmtId="165" fontId="0" fillId="4" borderId="15" xfId="1" applyNumberFormat="1" applyFont="1" applyFill="1" applyBorder="1"/>
    <xf numFmtId="10" fontId="0" fillId="0" borderId="0" xfId="1" applyNumberFormat="1" applyFont="1"/>
    <xf numFmtId="165" fontId="0" fillId="0" borderId="0" xfId="0" applyNumberFormat="1"/>
    <xf numFmtId="0" fontId="0" fillId="0" borderId="0" xfId="0" applyAlignment="1">
      <alignment horizontal="center"/>
    </xf>
    <xf numFmtId="166" fontId="4" fillId="3" borderId="2" xfId="0" applyNumberFormat="1" applyFont="1" applyFill="1" applyBorder="1" applyAlignment="1">
      <alignment horizontal="center" vertical="center"/>
    </xf>
    <xf numFmtId="166" fontId="4" fillId="3" borderId="3" xfId="0" applyNumberFormat="1" applyFont="1" applyFill="1" applyBorder="1" applyAlignment="1">
      <alignment horizontal="center" vertical="center"/>
    </xf>
    <xf numFmtId="166" fontId="4" fillId="3" borderId="4" xfId="0" applyNumberFormat="1" applyFont="1" applyFill="1" applyBorder="1" applyAlignment="1">
      <alignment horizontal="center" vertical="center"/>
    </xf>
    <xf numFmtId="165" fontId="0" fillId="4" borderId="11" xfId="1" applyNumberFormat="1" applyFont="1" applyFill="1" applyBorder="1" applyAlignment="1">
      <alignment horizontal="center"/>
    </xf>
    <xf numFmtId="165" fontId="0" fillId="4" borderId="0" xfId="1" applyNumberFormat="1" applyFont="1" applyFill="1" applyBorder="1" applyAlignment="1">
      <alignment horizontal="center"/>
    </xf>
    <xf numFmtId="165" fontId="0" fillId="4" borderId="12" xfId="1" applyNumberFormat="1" applyFont="1" applyFill="1" applyBorder="1" applyAlignment="1">
      <alignment horizontal="center"/>
    </xf>
    <xf numFmtId="165" fontId="0" fillId="4" borderId="13" xfId="1" applyNumberFormat="1" applyFont="1" applyFill="1" applyBorder="1" applyAlignment="1">
      <alignment horizontal="center"/>
    </xf>
    <xf numFmtId="165" fontId="0" fillId="4" borderId="14" xfId="1" applyNumberFormat="1" applyFont="1" applyFill="1" applyBorder="1" applyAlignment="1">
      <alignment horizontal="center"/>
    </xf>
    <xf numFmtId="165" fontId="0" fillId="4" borderId="15" xfId="1" applyNumberFormat="1" applyFont="1" applyFill="1" applyBorder="1" applyAlignment="1">
      <alignment horizontal="center"/>
    </xf>
    <xf numFmtId="165" fontId="0" fillId="4" borderId="8" xfId="1" applyNumberFormat="1" applyFont="1" applyFill="1" applyBorder="1" applyAlignment="1">
      <alignment horizontal="center"/>
    </xf>
    <xf numFmtId="165" fontId="0" fillId="4" borderId="9" xfId="1" applyNumberFormat="1" applyFont="1" applyFill="1" applyBorder="1" applyAlignment="1">
      <alignment horizontal="center"/>
    </xf>
    <xf numFmtId="165" fontId="0" fillId="4" borderId="10" xfId="1" applyNumberFormat="1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5" borderId="0" xfId="0" applyFill="1"/>
    <xf numFmtId="4" fontId="0" fillId="0" borderId="0" xfId="0" applyNumberFormat="1" applyAlignment="1">
      <alignment horizontal="center"/>
    </xf>
    <xf numFmtId="10" fontId="0" fillId="4" borderId="14" xfId="1" applyNumberFormat="1" applyFont="1" applyFill="1" applyBorder="1"/>
    <xf numFmtId="10" fontId="0" fillId="4" borderId="13" xfId="1" applyNumberFormat="1" applyFont="1" applyFill="1" applyBorder="1"/>
    <xf numFmtId="10" fontId="0" fillId="4" borderId="15" xfId="1" applyNumberFormat="1" applyFont="1" applyFill="1" applyBorder="1"/>
    <xf numFmtId="10" fontId="0" fillId="0" borderId="8" xfId="1" applyNumberFormat="1" applyFont="1" applyBorder="1"/>
    <xf numFmtId="10" fontId="0" fillId="0" borderId="9" xfId="1" applyNumberFormat="1" applyFont="1" applyBorder="1"/>
    <xf numFmtId="10" fontId="0" fillId="0" borderId="10" xfId="1" applyNumberFormat="1" applyFont="1" applyBorder="1"/>
    <xf numFmtId="10" fontId="0" fillId="0" borderId="11" xfId="1" applyNumberFormat="1" applyFont="1" applyBorder="1"/>
    <xf numFmtId="10" fontId="0" fillId="0" borderId="0" xfId="1" applyNumberFormat="1" applyFont="1" applyBorder="1"/>
    <xf numFmtId="10" fontId="0" fillId="0" borderId="12" xfId="1" applyNumberFormat="1" applyFont="1" applyBorder="1"/>
    <xf numFmtId="10" fontId="0" fillId="0" borderId="13" xfId="1" applyNumberFormat="1" applyFont="1" applyBorder="1"/>
    <xf numFmtId="10" fontId="0" fillId="0" borderId="14" xfId="1" applyNumberFormat="1" applyFont="1" applyBorder="1"/>
    <xf numFmtId="10" fontId="0" fillId="0" borderId="15" xfId="1" applyNumberFormat="1" applyFont="1" applyBorder="1"/>
    <xf numFmtId="9" fontId="0" fillId="0" borderId="0" xfId="0" applyNumberFormat="1" applyAlignment="1">
      <alignment horizontal="center"/>
    </xf>
    <xf numFmtId="10" fontId="0" fillId="4" borderId="0" xfId="1" applyNumberFormat="1" applyFont="1" applyFill="1" applyBorder="1"/>
    <xf numFmtId="10" fontId="0" fillId="4" borderId="12" xfId="1" applyNumberFormat="1" applyFont="1" applyFill="1" applyBorder="1"/>
    <xf numFmtId="0" fontId="11" fillId="0" borderId="0" xfId="0" applyFont="1" applyAlignment="1">
      <alignment horizontal="center"/>
    </xf>
    <xf numFmtId="10" fontId="11" fillId="0" borderId="0" xfId="0" applyNumberFormat="1" applyFont="1" applyAlignment="1">
      <alignment horizontal="center"/>
    </xf>
    <xf numFmtId="165" fontId="11" fillId="0" borderId="0" xfId="0" applyNumberFormat="1" applyFont="1" applyAlignment="1">
      <alignment horizontal="center"/>
    </xf>
    <xf numFmtId="4" fontId="1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4" xfId="0" applyBorder="1" applyAlignment="1">
      <alignment horizontal="center"/>
    </xf>
    <xf numFmtId="9" fontId="0" fillId="0" borderId="0" xfId="0" applyNumberFormat="1"/>
    <xf numFmtId="10" fontId="0" fillId="0" borderId="0" xfId="0" applyNumberFormat="1"/>
    <xf numFmtId="10" fontId="0" fillId="0" borderId="0" xfId="0" applyNumberFormat="1" applyAlignment="1">
      <alignment horizontal="center"/>
    </xf>
    <xf numFmtId="9" fontId="12" fillId="0" borderId="0" xfId="0" applyNumberFormat="1" applyFont="1"/>
    <xf numFmtId="10" fontId="0" fillId="6" borderId="8" xfId="1" applyNumberFormat="1" applyFont="1" applyFill="1" applyBorder="1" applyAlignment="1">
      <alignment horizontal="center"/>
    </xf>
    <xf numFmtId="10" fontId="0" fillId="6" borderId="9" xfId="1" applyNumberFormat="1" applyFont="1" applyFill="1" applyBorder="1" applyAlignment="1">
      <alignment horizontal="center"/>
    </xf>
    <xf numFmtId="10" fontId="0" fillId="6" borderId="10" xfId="1" applyNumberFormat="1" applyFont="1" applyFill="1" applyBorder="1" applyAlignment="1">
      <alignment horizontal="center"/>
    </xf>
    <xf numFmtId="10" fontId="0" fillId="6" borderId="11" xfId="1" applyNumberFormat="1" applyFont="1" applyFill="1" applyBorder="1" applyAlignment="1">
      <alignment horizontal="center"/>
    </xf>
    <xf numFmtId="10" fontId="0" fillId="6" borderId="0" xfId="1" applyNumberFormat="1" applyFont="1" applyFill="1" applyBorder="1" applyAlignment="1">
      <alignment horizontal="center"/>
    </xf>
    <xf numFmtId="10" fontId="0" fillId="6" borderId="12" xfId="1" applyNumberFormat="1" applyFont="1" applyFill="1" applyBorder="1" applyAlignment="1">
      <alignment horizontal="center"/>
    </xf>
    <xf numFmtId="10" fontId="0" fillId="6" borderId="13" xfId="1" applyNumberFormat="1" applyFont="1" applyFill="1" applyBorder="1" applyAlignment="1">
      <alignment horizontal="center"/>
    </xf>
    <xf numFmtId="10" fontId="0" fillId="6" borderId="14" xfId="1" applyNumberFormat="1" applyFont="1" applyFill="1" applyBorder="1" applyAlignment="1">
      <alignment horizontal="center"/>
    </xf>
    <xf numFmtId="10" fontId="0" fillId="6" borderId="15" xfId="1" applyNumberFormat="1" applyFont="1" applyFill="1" applyBorder="1" applyAlignment="1">
      <alignment horizontal="center"/>
    </xf>
    <xf numFmtId="10" fontId="0" fillId="4" borderId="8" xfId="1" applyNumberFormat="1" applyFont="1" applyFill="1" applyBorder="1" applyAlignment="1">
      <alignment horizontal="center"/>
    </xf>
    <xf numFmtId="10" fontId="0" fillId="4" borderId="9" xfId="1" applyNumberFormat="1" applyFont="1" applyFill="1" applyBorder="1" applyAlignment="1">
      <alignment horizontal="center"/>
    </xf>
    <xf numFmtId="10" fontId="0" fillId="4" borderId="10" xfId="1" applyNumberFormat="1" applyFont="1" applyFill="1" applyBorder="1" applyAlignment="1">
      <alignment horizontal="center"/>
    </xf>
    <xf numFmtId="10" fontId="0" fillId="4" borderId="11" xfId="1" applyNumberFormat="1" applyFont="1" applyFill="1" applyBorder="1" applyAlignment="1">
      <alignment horizontal="center"/>
    </xf>
    <xf numFmtId="10" fontId="0" fillId="4" borderId="0" xfId="1" applyNumberFormat="1" applyFont="1" applyFill="1" applyBorder="1" applyAlignment="1">
      <alignment horizontal="center"/>
    </xf>
    <xf numFmtId="10" fontId="0" fillId="4" borderId="12" xfId="1" applyNumberFormat="1" applyFont="1" applyFill="1" applyBorder="1" applyAlignment="1">
      <alignment horizontal="center"/>
    </xf>
    <xf numFmtId="10" fontId="0" fillId="4" borderId="13" xfId="1" applyNumberFormat="1" applyFont="1" applyFill="1" applyBorder="1" applyAlignment="1">
      <alignment horizontal="center"/>
    </xf>
    <xf numFmtId="10" fontId="0" fillId="4" borderId="14" xfId="1" applyNumberFormat="1" applyFont="1" applyFill="1" applyBorder="1" applyAlignment="1">
      <alignment horizontal="center"/>
    </xf>
    <xf numFmtId="10" fontId="0" fillId="4" borderId="15" xfId="1" applyNumberFormat="1" applyFont="1" applyFill="1" applyBorder="1" applyAlignment="1">
      <alignment horizontal="center"/>
    </xf>
    <xf numFmtId="10" fontId="0" fillId="8" borderId="9" xfId="1" applyNumberFormat="1" applyFont="1" applyFill="1" applyBorder="1" applyAlignment="1">
      <alignment horizontal="center"/>
    </xf>
    <xf numFmtId="3" fontId="0" fillId="4" borderId="8" xfId="1" applyNumberFormat="1" applyFont="1" applyFill="1" applyBorder="1" applyAlignment="1">
      <alignment horizontal="center"/>
    </xf>
    <xf numFmtId="3" fontId="0" fillId="4" borderId="9" xfId="1" applyNumberFormat="1" applyFont="1" applyFill="1" applyBorder="1" applyAlignment="1">
      <alignment horizontal="center"/>
    </xf>
    <xf numFmtId="3" fontId="0" fillId="4" borderId="10" xfId="1" applyNumberFormat="1" applyFont="1" applyFill="1" applyBorder="1" applyAlignment="1">
      <alignment horizontal="center"/>
    </xf>
    <xf numFmtId="3" fontId="0" fillId="4" borderId="11" xfId="1" applyNumberFormat="1" applyFont="1" applyFill="1" applyBorder="1" applyAlignment="1">
      <alignment horizontal="center"/>
    </xf>
    <xf numFmtId="3" fontId="0" fillId="4" borderId="0" xfId="1" applyNumberFormat="1" applyFont="1" applyFill="1" applyBorder="1" applyAlignment="1">
      <alignment horizontal="center"/>
    </xf>
    <xf numFmtId="3" fontId="0" fillId="4" borderId="12" xfId="1" applyNumberFormat="1" applyFont="1" applyFill="1" applyBorder="1" applyAlignment="1">
      <alignment horizontal="center"/>
    </xf>
    <xf numFmtId="3" fontId="0" fillId="4" borderId="13" xfId="1" applyNumberFormat="1" applyFont="1" applyFill="1" applyBorder="1" applyAlignment="1">
      <alignment horizontal="center"/>
    </xf>
    <xf numFmtId="3" fontId="0" fillId="4" borderId="14" xfId="1" applyNumberFormat="1" applyFont="1" applyFill="1" applyBorder="1" applyAlignment="1">
      <alignment horizontal="center"/>
    </xf>
    <xf numFmtId="3" fontId="0" fillId="4" borderId="15" xfId="1" applyNumberFormat="1" applyFont="1" applyFill="1" applyBorder="1" applyAlignment="1">
      <alignment horizontal="center"/>
    </xf>
    <xf numFmtId="1" fontId="0" fillId="4" borderId="8" xfId="0" applyNumberFormat="1" applyFill="1" applyBorder="1" applyAlignment="1">
      <alignment horizontal="center"/>
    </xf>
    <xf numFmtId="1" fontId="0" fillId="4" borderId="9" xfId="0" applyNumberFormat="1" applyFill="1" applyBorder="1" applyAlignment="1">
      <alignment horizontal="center"/>
    </xf>
    <xf numFmtId="1" fontId="0" fillId="4" borderId="10" xfId="0" applyNumberFormat="1" applyFill="1" applyBorder="1" applyAlignment="1">
      <alignment horizontal="center"/>
    </xf>
    <xf numFmtId="1" fontId="0" fillId="4" borderId="11" xfId="0" applyNumberFormat="1" applyFill="1" applyBorder="1" applyAlignment="1">
      <alignment horizontal="center"/>
    </xf>
    <xf numFmtId="1" fontId="0" fillId="4" borderId="0" xfId="0" applyNumberFormat="1" applyFill="1" applyAlignment="1">
      <alignment horizontal="center"/>
    </xf>
    <xf numFmtId="1" fontId="0" fillId="4" borderId="12" xfId="0" applyNumberFormat="1" applyFill="1" applyBorder="1" applyAlignment="1">
      <alignment horizontal="center"/>
    </xf>
    <xf numFmtId="1" fontId="0" fillId="4" borderId="13" xfId="0" applyNumberFormat="1" applyFill="1" applyBorder="1" applyAlignment="1">
      <alignment horizontal="center"/>
    </xf>
    <xf numFmtId="1" fontId="0" fillId="4" borderId="14" xfId="0" applyNumberFormat="1" applyFill="1" applyBorder="1" applyAlignment="1">
      <alignment horizontal="center"/>
    </xf>
    <xf numFmtId="1" fontId="0" fillId="4" borderId="15" xfId="0" applyNumberFormat="1" applyFill="1" applyBorder="1" applyAlignment="1">
      <alignment horizontal="center"/>
    </xf>
    <xf numFmtId="1" fontId="0" fillId="8" borderId="8" xfId="0" applyNumberFormat="1" applyFill="1" applyBorder="1" applyAlignment="1">
      <alignment horizontal="center"/>
    </xf>
    <xf numFmtId="1" fontId="0" fillId="8" borderId="11" xfId="0" applyNumberFormat="1" applyFill="1" applyBorder="1" applyAlignment="1">
      <alignment horizontal="center"/>
    </xf>
    <xf numFmtId="1" fontId="0" fillId="8" borderId="13" xfId="0" applyNumberFormat="1" applyFill="1" applyBorder="1" applyAlignment="1">
      <alignment horizontal="center"/>
    </xf>
    <xf numFmtId="1" fontId="0" fillId="9" borderId="9" xfId="0" applyNumberFormat="1" applyFill="1" applyBorder="1" applyAlignment="1">
      <alignment horizontal="center"/>
    </xf>
    <xf numFmtId="1" fontId="0" fillId="9" borderId="0" xfId="0" applyNumberFormat="1" applyFill="1" applyAlignment="1">
      <alignment horizontal="center"/>
    </xf>
    <xf numFmtId="1" fontId="0" fillId="9" borderId="14" xfId="0" applyNumberFormat="1" applyFill="1" applyBorder="1" applyAlignment="1">
      <alignment horizontal="center"/>
    </xf>
    <xf numFmtId="1" fontId="0" fillId="10" borderId="10" xfId="0" applyNumberFormat="1" applyFill="1" applyBorder="1" applyAlignment="1">
      <alignment horizontal="center"/>
    </xf>
    <xf numFmtId="1" fontId="0" fillId="10" borderId="12" xfId="0" applyNumberFormat="1" applyFill="1" applyBorder="1" applyAlignment="1">
      <alignment horizontal="center"/>
    </xf>
    <xf numFmtId="1" fontId="0" fillId="10" borderId="15" xfId="0" applyNumberFormat="1" applyFill="1" applyBorder="1" applyAlignment="1">
      <alignment horizontal="center"/>
    </xf>
    <xf numFmtId="165" fontId="3" fillId="6" borderId="5" xfId="1" applyNumberFormat="1" applyFont="1" applyFill="1" applyBorder="1" applyAlignment="1">
      <alignment horizontal="center"/>
    </xf>
    <xf numFmtId="165" fontId="3" fillId="6" borderId="6" xfId="1" applyNumberFormat="1" applyFont="1" applyFill="1" applyBorder="1" applyAlignment="1">
      <alignment horizontal="center"/>
    </xf>
    <xf numFmtId="165" fontId="3" fillId="6" borderId="7" xfId="1" applyNumberFormat="1" applyFont="1" applyFill="1" applyBorder="1" applyAlignment="1">
      <alignment horizontal="center"/>
    </xf>
    <xf numFmtId="167" fontId="0" fillId="0" borderId="0" xfId="2" applyNumberFormat="1" applyFont="1"/>
    <xf numFmtId="167" fontId="0" fillId="0" borderId="0" xfId="0" applyNumberFormat="1"/>
    <xf numFmtId="167" fontId="0" fillId="0" borderId="11" xfId="2" applyNumberFormat="1" applyFont="1" applyFill="1" applyBorder="1"/>
    <xf numFmtId="167" fontId="0" fillId="0" borderId="0" xfId="2" applyNumberFormat="1" applyFont="1" applyFill="1" applyBorder="1"/>
    <xf numFmtId="167" fontId="0" fillId="0" borderId="13" xfId="2" applyNumberFormat="1" applyFont="1" applyFill="1" applyBorder="1"/>
    <xf numFmtId="167" fontId="0" fillId="0" borderId="14" xfId="2" applyNumberFormat="1" applyFont="1" applyFill="1" applyBorder="1"/>
    <xf numFmtId="9" fontId="0" fillId="0" borderId="0" xfId="1" applyFont="1"/>
    <xf numFmtId="0" fontId="2" fillId="0" borderId="1" xfId="0" applyFont="1" applyBorder="1"/>
    <xf numFmtId="0" fontId="11" fillId="5" borderId="0" xfId="0" applyFont="1" applyFill="1" applyAlignment="1">
      <alignment horizontal="center"/>
    </xf>
    <xf numFmtId="3" fontId="3" fillId="4" borderId="8" xfId="1" applyNumberFormat="1" applyFont="1" applyFill="1" applyBorder="1" applyAlignment="1">
      <alignment horizontal="center"/>
    </xf>
    <xf numFmtId="3" fontId="3" fillId="4" borderId="10" xfId="1" applyNumberFormat="1" applyFont="1" applyFill="1" applyBorder="1" applyAlignment="1">
      <alignment horizontal="center"/>
    </xf>
    <xf numFmtId="3" fontId="3" fillId="4" borderId="11" xfId="1" applyNumberFormat="1" applyFont="1" applyFill="1" applyBorder="1" applyAlignment="1">
      <alignment horizontal="center"/>
    </xf>
    <xf numFmtId="3" fontId="3" fillId="4" borderId="12" xfId="1" applyNumberFormat="1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" fontId="0" fillId="0" borderId="0" xfId="0" applyNumberFormat="1"/>
    <xf numFmtId="0" fontId="13" fillId="0" borderId="0" xfId="0" applyFont="1"/>
    <xf numFmtId="169" fontId="15" fillId="0" borderId="1" xfId="2" applyNumberFormat="1" applyFont="1" applyBorder="1" applyAlignment="1">
      <alignment horizontal="center" vertical="center"/>
    </xf>
    <xf numFmtId="165" fontId="15" fillId="0" borderId="1" xfId="1" applyNumberFormat="1" applyFont="1" applyBorder="1" applyAlignment="1">
      <alignment horizontal="right" vertical="center"/>
    </xf>
    <xf numFmtId="169" fontId="0" fillId="4" borderId="11" xfId="2" applyNumberFormat="1" applyFont="1" applyFill="1" applyBorder="1"/>
    <xf numFmtId="169" fontId="0" fillId="4" borderId="13" xfId="2" applyNumberFormat="1" applyFont="1" applyFill="1" applyBorder="1"/>
    <xf numFmtId="169" fontId="0" fillId="4" borderId="9" xfId="2" applyNumberFormat="1" applyFont="1" applyFill="1" applyBorder="1"/>
    <xf numFmtId="10" fontId="16" fillId="4" borderId="0" xfId="1" applyNumberFormat="1" applyFont="1" applyFill="1" applyBorder="1" applyAlignment="1">
      <alignment horizontal="center"/>
    </xf>
    <xf numFmtId="10" fontId="17" fillId="4" borderId="0" xfId="1" applyNumberFormat="1" applyFont="1" applyFill="1" applyBorder="1" applyAlignment="1">
      <alignment horizontal="center"/>
    </xf>
    <xf numFmtId="10" fontId="17" fillId="4" borderId="12" xfId="1" applyNumberFormat="1" applyFont="1" applyFill="1" applyBorder="1" applyAlignment="1">
      <alignment horizontal="center"/>
    </xf>
    <xf numFmtId="10" fontId="16" fillId="4" borderId="14" xfId="1" applyNumberFormat="1" applyFont="1" applyFill="1" applyBorder="1" applyAlignment="1">
      <alignment horizontal="center"/>
    </xf>
    <xf numFmtId="10" fontId="17" fillId="4" borderId="14" xfId="1" applyNumberFormat="1" applyFont="1" applyFill="1" applyBorder="1" applyAlignment="1">
      <alignment horizontal="center"/>
    </xf>
    <xf numFmtId="10" fontId="17" fillId="4" borderId="15" xfId="1" applyNumberFormat="1" applyFont="1" applyFill="1" applyBorder="1" applyAlignment="1">
      <alignment horizontal="center"/>
    </xf>
    <xf numFmtId="165" fontId="0" fillId="0" borderId="2" xfId="1" applyNumberFormat="1" applyFont="1" applyBorder="1"/>
    <xf numFmtId="165" fontId="0" fillId="0" borderId="3" xfId="1" applyNumberFormat="1" applyFont="1" applyBorder="1"/>
    <xf numFmtId="165" fontId="0" fillId="0" borderId="4" xfId="1" applyNumberFormat="1" applyFont="1" applyBorder="1"/>
    <xf numFmtId="165" fontId="0" fillId="6" borderId="8" xfId="1" applyNumberFormat="1" applyFont="1" applyFill="1" applyBorder="1"/>
    <xf numFmtId="165" fontId="0" fillId="6" borderId="9" xfId="1" applyNumberFormat="1" applyFont="1" applyFill="1" applyBorder="1"/>
    <xf numFmtId="165" fontId="0" fillId="6" borderId="10" xfId="1" applyNumberFormat="1" applyFont="1" applyFill="1" applyBorder="1"/>
    <xf numFmtId="165" fontId="0" fillId="6" borderId="11" xfId="1" applyNumberFormat="1" applyFont="1" applyFill="1" applyBorder="1"/>
    <xf numFmtId="165" fontId="0" fillId="6" borderId="0" xfId="1" applyNumberFormat="1" applyFont="1" applyFill="1" applyBorder="1"/>
    <xf numFmtId="165" fontId="0" fillId="6" borderId="12" xfId="1" applyNumberFormat="1" applyFont="1" applyFill="1" applyBorder="1"/>
    <xf numFmtId="165" fontId="0" fillId="6" borderId="13" xfId="1" applyNumberFormat="1" applyFont="1" applyFill="1" applyBorder="1"/>
    <xf numFmtId="165" fontId="0" fillId="6" borderId="14" xfId="1" applyNumberFormat="1" applyFont="1" applyFill="1" applyBorder="1"/>
    <xf numFmtId="165" fontId="0" fillId="6" borderId="15" xfId="1" applyNumberFormat="1" applyFont="1" applyFill="1" applyBorder="1"/>
    <xf numFmtId="1" fontId="0" fillId="0" borderId="0" xfId="0" applyNumberFormat="1" applyAlignment="1">
      <alignment horizontal="center"/>
    </xf>
    <xf numFmtId="164" fontId="0" fillId="0" borderId="0" xfId="2" applyFont="1" applyAlignment="1">
      <alignment horizontal="center"/>
    </xf>
    <xf numFmtId="167" fontId="0" fillId="0" borderId="0" xfId="2" applyNumberFormat="1" applyFont="1" applyAlignment="1">
      <alignment horizontal="center"/>
    </xf>
    <xf numFmtId="165" fontId="13" fillId="0" borderId="0" xfId="1" applyNumberFormat="1" applyFont="1"/>
    <xf numFmtId="165" fontId="15" fillId="0" borderId="1" xfId="1" applyNumberFormat="1" applyFont="1" applyFill="1" applyBorder="1" applyAlignment="1">
      <alignment horizontal="right" vertical="center"/>
    </xf>
    <xf numFmtId="0" fontId="18" fillId="11" borderId="16" xfId="0" applyFont="1" applyFill="1" applyBorder="1" applyAlignment="1">
      <alignment horizontal="center" vertical="center" wrapText="1"/>
    </xf>
    <xf numFmtId="0" fontId="3" fillId="0" borderId="0" xfId="0" applyFont="1"/>
    <xf numFmtId="0" fontId="22" fillId="0" borderId="17" xfId="0" applyFont="1" applyBorder="1" applyAlignment="1">
      <alignment horizontal="center" wrapText="1" readingOrder="1"/>
    </xf>
    <xf numFmtId="0" fontId="15" fillId="0" borderId="17" xfId="0" applyFont="1" applyBorder="1" applyAlignment="1">
      <alignment horizontal="center" wrapText="1" readingOrder="1"/>
    </xf>
    <xf numFmtId="0" fontId="0" fillId="0" borderId="10" xfId="0" applyBorder="1"/>
    <xf numFmtId="0" fontId="0" fillId="0" borderId="12" xfId="0" applyBorder="1"/>
    <xf numFmtId="0" fontId="15" fillId="0" borderId="20" xfId="0" applyFont="1" applyBorder="1" applyAlignment="1">
      <alignment horizontal="center" vertical="center" wrapText="1" readingOrder="1"/>
    </xf>
    <xf numFmtId="0" fontId="15" fillId="0" borderId="2" xfId="0" applyFont="1" applyBorder="1" applyAlignment="1">
      <alignment horizontal="center" vertical="center" wrapText="1" readingOrder="1"/>
    </xf>
    <xf numFmtId="0" fontId="21" fillId="11" borderId="16" xfId="0" applyFont="1" applyFill="1" applyBorder="1" applyAlignment="1">
      <alignment horizontal="center" vertical="center" wrapText="1"/>
    </xf>
    <xf numFmtId="0" fontId="21" fillId="11" borderId="19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3" fillId="0" borderId="11" xfId="0" applyFont="1" applyBorder="1"/>
    <xf numFmtId="0" fontId="3" fillId="0" borderId="12" xfId="0" applyFont="1" applyBorder="1"/>
    <xf numFmtId="0" fontId="0" fillId="0" borderId="13" xfId="0" applyBorder="1"/>
    <xf numFmtId="0" fontId="20" fillId="0" borderId="9" xfId="0" applyFont="1" applyBorder="1" applyAlignment="1">
      <alignment horizontal="left" vertical="center" indent="2" readingOrder="1"/>
    </xf>
    <xf numFmtId="0" fontId="15" fillId="0" borderId="17" xfId="0" quotePrefix="1" applyFont="1" applyBorder="1" applyAlignment="1">
      <alignment horizontal="center" wrapText="1" readingOrder="1"/>
    </xf>
    <xf numFmtId="169" fontId="0" fillId="0" borderId="0" xfId="0" applyNumberFormat="1"/>
    <xf numFmtId="169" fontId="15" fillId="0" borderId="1" xfId="2" applyNumberFormat="1" applyFont="1" applyFill="1" applyBorder="1" applyAlignment="1">
      <alignment horizontal="center" vertical="center"/>
    </xf>
    <xf numFmtId="0" fontId="24" fillId="12" borderId="2" xfId="0" applyFont="1" applyFill="1" applyBorder="1" applyAlignment="1">
      <alignment vertical="center"/>
    </xf>
    <xf numFmtId="169" fontId="15" fillId="14" borderId="1" xfId="2" applyNumberFormat="1" applyFont="1" applyFill="1" applyBorder="1" applyAlignment="1">
      <alignment horizontal="center" vertical="center"/>
    </xf>
    <xf numFmtId="169" fontId="0" fillId="6" borderId="9" xfId="2" applyNumberFormat="1" applyFont="1" applyFill="1" applyBorder="1"/>
    <xf numFmtId="169" fontId="0" fillId="6" borderId="0" xfId="2" applyNumberFormat="1" applyFont="1" applyFill="1" applyBorder="1"/>
    <xf numFmtId="43" fontId="0" fillId="0" borderId="0" xfId="0" applyNumberFormat="1"/>
    <xf numFmtId="169" fontId="26" fillId="0" borderId="1" xfId="2" applyNumberFormat="1" applyFont="1" applyBorder="1" applyAlignment="1">
      <alignment horizontal="center" vertical="center"/>
    </xf>
    <xf numFmtId="0" fontId="25" fillId="0" borderId="0" xfId="0" applyFont="1"/>
    <xf numFmtId="165" fontId="26" fillId="0" borderId="1" xfId="1" applyNumberFormat="1" applyFont="1" applyBorder="1" applyAlignment="1">
      <alignment horizontal="right" vertical="center"/>
    </xf>
    <xf numFmtId="165" fontId="26" fillId="0" borderId="1" xfId="1" applyNumberFormat="1" applyFont="1" applyFill="1" applyBorder="1" applyAlignment="1">
      <alignment horizontal="right" vertical="center"/>
    </xf>
    <xf numFmtId="164" fontId="0" fillId="0" borderId="0" xfId="2" applyFont="1"/>
    <xf numFmtId="165" fontId="27" fillId="0" borderId="1" xfId="1" applyNumberFormat="1" applyFont="1" applyFill="1" applyBorder="1" applyAlignment="1">
      <alignment horizontal="right" vertical="center"/>
    </xf>
    <xf numFmtId="165" fontId="27" fillId="0" borderId="1" xfId="1" applyNumberFormat="1" applyFont="1" applyBorder="1" applyAlignment="1">
      <alignment horizontal="right" vertical="center"/>
    </xf>
    <xf numFmtId="0" fontId="14" fillId="12" borderId="1" xfId="0" applyFont="1" applyFill="1" applyBorder="1" applyAlignment="1">
      <alignment horizontal="center" vertical="center"/>
    </xf>
    <xf numFmtId="10" fontId="0" fillId="0" borderId="4" xfId="1" applyNumberFormat="1" applyFont="1" applyBorder="1"/>
    <xf numFmtId="2" fontId="0" fillId="0" borderId="0" xfId="0" applyNumberFormat="1"/>
    <xf numFmtId="165" fontId="15" fillId="0" borderId="0" xfId="1" applyNumberFormat="1" applyFont="1" applyBorder="1" applyAlignment="1">
      <alignment horizontal="right" vertical="center"/>
    </xf>
    <xf numFmtId="0" fontId="28" fillId="12" borderId="2" xfId="0" applyFont="1" applyFill="1" applyBorder="1" applyAlignment="1">
      <alignment vertical="center"/>
    </xf>
    <xf numFmtId="9" fontId="0" fillId="0" borderId="0" xfId="1" applyNumberFormat="1" applyFont="1"/>
    <xf numFmtId="170" fontId="0" fillId="0" borderId="0" xfId="1" applyNumberFormat="1" applyFont="1"/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15" fillId="0" borderId="18" xfId="0" applyFont="1" applyBorder="1" applyAlignment="1">
      <alignment horizontal="center" vertical="center" wrapText="1" readingOrder="1"/>
    </xf>
    <xf numFmtId="0" fontId="23" fillId="13" borderId="0" xfId="0" applyFont="1" applyFill="1" applyAlignment="1">
      <alignment horizontal="center" vertical="center"/>
    </xf>
    <xf numFmtId="0" fontId="15" fillId="0" borderId="11" xfId="0" applyFont="1" applyBorder="1" applyAlignment="1">
      <alignment horizontal="left" wrapText="1" readingOrder="1"/>
    </xf>
    <xf numFmtId="0" fontId="15" fillId="0" borderId="0" xfId="0" applyFont="1" applyAlignment="1">
      <alignment horizontal="left" wrapText="1" readingOrder="1"/>
    </xf>
    <xf numFmtId="0" fontId="15" fillId="0" borderId="12" xfId="0" applyFont="1" applyBorder="1" applyAlignment="1">
      <alignment horizontal="left" wrapText="1" readingOrder="1"/>
    </xf>
    <xf numFmtId="0" fontId="15" fillId="0" borderId="8" xfId="0" applyFont="1" applyBorder="1" applyAlignment="1">
      <alignment horizontal="left" wrapText="1" readingOrder="1"/>
    </xf>
    <xf numFmtId="0" fontId="15" fillId="0" borderId="9" xfId="0" applyFont="1" applyBorder="1" applyAlignment="1">
      <alignment horizontal="left" wrapText="1" readingOrder="1"/>
    </xf>
    <xf numFmtId="0" fontId="15" fillId="0" borderId="10" xfId="0" applyFont="1" applyBorder="1" applyAlignment="1">
      <alignment horizontal="left" wrapText="1" readingOrder="1"/>
    </xf>
    <xf numFmtId="0" fontId="21" fillId="11" borderId="13" xfId="0" applyFont="1" applyFill="1" applyBorder="1" applyAlignment="1">
      <alignment horizontal="center" vertical="center" wrapText="1"/>
    </xf>
    <xf numFmtId="0" fontId="21" fillId="11" borderId="14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left" wrapText="1" readingOrder="1"/>
    </xf>
    <xf numFmtId="0" fontId="15" fillId="0" borderId="3" xfId="0" applyFont="1" applyBorder="1" applyAlignment="1">
      <alignment horizontal="left" wrapText="1" readingOrder="1"/>
    </xf>
    <xf numFmtId="0" fontId="15" fillId="0" borderId="4" xfId="0" applyFont="1" applyBorder="1" applyAlignment="1">
      <alignment horizontal="left" wrapText="1" readingOrder="1"/>
    </xf>
    <xf numFmtId="0" fontId="21" fillId="11" borderId="0" xfId="0" applyFont="1" applyFill="1" applyBorder="1" applyAlignment="1">
      <alignment horizontal="center" vertical="center" wrapText="1"/>
    </xf>
    <xf numFmtId="0" fontId="21" fillId="11" borderId="21" xfId="0" applyFont="1" applyFill="1" applyBorder="1" applyAlignment="1">
      <alignment horizontal="center" vertical="center" wrapText="1"/>
    </xf>
    <xf numFmtId="0" fontId="21" fillId="11" borderId="22" xfId="0" applyFont="1" applyFill="1" applyBorder="1" applyAlignment="1">
      <alignment horizontal="center" vertical="center" wrapText="1"/>
    </xf>
    <xf numFmtId="0" fontId="21" fillId="11" borderId="23" xfId="0" applyFont="1" applyFill="1" applyBorder="1" applyAlignment="1">
      <alignment horizontal="center" vertical="center" wrapText="1"/>
    </xf>
    <xf numFmtId="0" fontId="15" fillId="0" borderId="13" xfId="0" applyFont="1" applyBorder="1" applyAlignment="1">
      <alignment horizontal="left" wrapText="1" readingOrder="1"/>
    </xf>
    <xf numFmtId="0" fontId="15" fillId="0" borderId="14" xfId="0" applyFont="1" applyBorder="1" applyAlignment="1">
      <alignment horizontal="left" wrapText="1" readingOrder="1"/>
    </xf>
    <xf numFmtId="0" fontId="15" fillId="0" borderId="15" xfId="0" applyFont="1" applyBorder="1" applyAlignment="1">
      <alignment horizontal="left" wrapText="1" readingOrder="1"/>
    </xf>
    <xf numFmtId="0" fontId="15" fillId="0" borderId="8" xfId="0" applyFont="1" applyBorder="1" applyAlignment="1">
      <alignment horizontal="center" vertical="center" wrapText="1" readingOrder="1"/>
    </xf>
    <xf numFmtId="0" fontId="15" fillId="0" borderId="11" xfId="0" applyFont="1" applyBorder="1" applyAlignment="1">
      <alignment horizontal="center" vertical="center" wrapText="1" readingOrder="1"/>
    </xf>
    <xf numFmtId="0" fontId="15" fillId="0" borderId="13" xfId="0" applyFont="1" applyBorder="1" applyAlignment="1">
      <alignment horizontal="center" vertical="center" wrapText="1" readingOrder="1"/>
    </xf>
    <xf numFmtId="0" fontId="19" fillId="12" borderId="2" xfId="0" applyFont="1" applyFill="1" applyBorder="1" applyAlignment="1">
      <alignment horizontal="center" vertical="center"/>
    </xf>
    <xf numFmtId="0" fontId="19" fillId="12" borderId="3" xfId="0" applyFont="1" applyFill="1" applyBorder="1" applyAlignment="1">
      <alignment horizontal="center" vertical="center"/>
    </xf>
    <xf numFmtId="0" fontId="19" fillId="12" borderId="4" xfId="0" applyFont="1" applyFill="1" applyBorder="1" applyAlignment="1">
      <alignment horizontal="center" vertical="center"/>
    </xf>
    <xf numFmtId="0" fontId="2" fillId="15" borderId="14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5">
    <cellStyle name="Comma" xfId="2" builtinId="3"/>
    <cellStyle name="Comma 4" xfId="3"/>
    <cellStyle name="Hyperlink" xfId="4" builtinId="8"/>
    <cellStyle name="Normal" xfId="0" builtinId="0"/>
    <cellStyle name="Percent" xfId="1" builtinId="5"/>
  </cellStyles>
  <dxfs count="363"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colors>
    <mruColors>
      <color rgb="FFC4D7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G17"/>
  <sheetViews>
    <sheetView showGridLines="0" workbookViewId="0">
      <selection activeCell="C10" sqref="C10"/>
    </sheetView>
  </sheetViews>
  <sheetFormatPr defaultRowHeight="14.5" x14ac:dyDescent="0.35"/>
  <cols>
    <col min="1" max="1" width="3.1796875" customWidth="1"/>
    <col min="2" max="2" width="5" customWidth="1"/>
    <col min="3" max="3" width="75.81640625" bestFit="1" customWidth="1"/>
    <col min="4" max="4" width="16.453125" bestFit="1" customWidth="1"/>
    <col min="5" max="5" width="7.1796875" customWidth="1"/>
    <col min="6" max="6" width="6.81640625" bestFit="1" customWidth="1"/>
  </cols>
  <sheetData>
    <row r="1" spans="2:7" ht="9.75" customHeight="1" x14ac:dyDescent="0.35"/>
    <row r="2" spans="2:7" x14ac:dyDescent="0.35">
      <c r="B2" s="4" t="s">
        <v>66</v>
      </c>
      <c r="C2" s="39" t="s">
        <v>62</v>
      </c>
      <c r="D2" s="39" t="s">
        <v>64</v>
      </c>
      <c r="E2" s="39" t="s">
        <v>63</v>
      </c>
      <c r="F2" s="39" t="s">
        <v>131</v>
      </c>
    </row>
    <row r="3" spans="2:7" x14ac:dyDescent="0.35">
      <c r="B3" s="2">
        <v>1</v>
      </c>
      <c r="C3" s="40" t="s">
        <v>65</v>
      </c>
      <c r="D3" s="40" t="s">
        <v>79</v>
      </c>
      <c r="E3" s="42" t="s">
        <v>61</v>
      </c>
      <c r="F3" s="40">
        <v>0</v>
      </c>
    </row>
    <row r="4" spans="2:7" x14ac:dyDescent="0.35">
      <c r="B4" s="2">
        <f>B3+1</f>
        <v>2</v>
      </c>
      <c r="C4" s="40" t="s">
        <v>78</v>
      </c>
      <c r="D4" s="40" t="s">
        <v>67</v>
      </c>
      <c r="E4" s="42" t="s">
        <v>61</v>
      </c>
      <c r="F4" s="40">
        <v>2</v>
      </c>
    </row>
    <row r="5" spans="2:7" x14ac:dyDescent="0.35">
      <c r="B5" s="119">
        <f t="shared" ref="B5:B17" si="0">B4+1</f>
        <v>3</v>
      </c>
      <c r="C5" s="40" t="s">
        <v>68</v>
      </c>
      <c r="D5" s="40" t="s">
        <v>16</v>
      </c>
      <c r="E5" s="42" t="s">
        <v>61</v>
      </c>
      <c r="F5" s="40">
        <v>4</v>
      </c>
      <c r="G5" t="s">
        <v>127</v>
      </c>
    </row>
    <row r="6" spans="2:7" x14ac:dyDescent="0.35">
      <c r="B6" s="119">
        <f t="shared" si="0"/>
        <v>4</v>
      </c>
      <c r="C6" s="118" t="s">
        <v>126</v>
      </c>
      <c r="D6" s="118" t="s">
        <v>16</v>
      </c>
      <c r="E6" s="42" t="s">
        <v>61</v>
      </c>
      <c r="F6" s="118">
        <v>4</v>
      </c>
    </row>
    <row r="7" spans="2:7" x14ac:dyDescent="0.35">
      <c r="B7" s="119">
        <f t="shared" si="0"/>
        <v>5</v>
      </c>
      <c r="C7" s="40" t="s">
        <v>69</v>
      </c>
      <c r="D7" s="40" t="s">
        <v>15</v>
      </c>
      <c r="E7" s="42" t="s">
        <v>61</v>
      </c>
      <c r="F7" s="40">
        <v>6</v>
      </c>
      <c r="G7" t="s">
        <v>129</v>
      </c>
    </row>
    <row r="8" spans="2:7" x14ac:dyDescent="0.35">
      <c r="B8" s="119">
        <f t="shared" si="0"/>
        <v>6</v>
      </c>
      <c r="C8" s="40" t="s">
        <v>130</v>
      </c>
      <c r="D8" s="40" t="s">
        <v>15</v>
      </c>
      <c r="E8" s="42" t="s">
        <v>61</v>
      </c>
      <c r="F8" s="40">
        <v>6</v>
      </c>
    </row>
    <row r="9" spans="2:7" x14ac:dyDescent="0.35">
      <c r="B9" s="119">
        <f t="shared" si="0"/>
        <v>7</v>
      </c>
      <c r="C9" s="40" t="s">
        <v>70</v>
      </c>
      <c r="D9" s="40" t="s">
        <v>15</v>
      </c>
      <c r="E9" s="42" t="s">
        <v>61</v>
      </c>
      <c r="F9" s="40">
        <v>6</v>
      </c>
    </row>
    <row r="10" spans="2:7" x14ac:dyDescent="0.35">
      <c r="B10" s="119">
        <f t="shared" si="0"/>
        <v>8</v>
      </c>
      <c r="C10" s="40" t="s">
        <v>71</v>
      </c>
      <c r="D10" s="40" t="s">
        <v>15</v>
      </c>
      <c r="E10" s="42" t="s">
        <v>61</v>
      </c>
      <c r="F10" s="40">
        <v>6</v>
      </c>
    </row>
    <row r="11" spans="2:7" x14ac:dyDescent="0.35">
      <c r="B11" s="119">
        <f t="shared" si="0"/>
        <v>9</v>
      </c>
      <c r="C11" s="40" t="s">
        <v>72</v>
      </c>
      <c r="D11" s="40" t="s">
        <v>15</v>
      </c>
      <c r="E11" s="42" t="s">
        <v>61</v>
      </c>
      <c r="F11" s="40">
        <v>6</v>
      </c>
    </row>
    <row r="12" spans="2:7" x14ac:dyDescent="0.35">
      <c r="B12" s="119">
        <f t="shared" si="0"/>
        <v>10</v>
      </c>
      <c r="C12" s="40" t="s">
        <v>73</v>
      </c>
      <c r="D12" s="40" t="s">
        <v>15</v>
      </c>
      <c r="E12" s="42" t="s">
        <v>61</v>
      </c>
      <c r="F12" s="40">
        <v>6</v>
      </c>
    </row>
    <row r="13" spans="2:7" x14ac:dyDescent="0.35">
      <c r="B13" s="119">
        <f t="shared" si="0"/>
        <v>11</v>
      </c>
      <c r="C13" s="40" t="s">
        <v>75</v>
      </c>
      <c r="D13" s="40" t="s">
        <v>16</v>
      </c>
      <c r="E13" s="42" t="s">
        <v>61</v>
      </c>
      <c r="F13" s="40">
        <v>8</v>
      </c>
    </row>
    <row r="14" spans="2:7" x14ac:dyDescent="0.35">
      <c r="B14" s="119">
        <f t="shared" si="0"/>
        <v>12</v>
      </c>
      <c r="C14" s="118" t="s">
        <v>77</v>
      </c>
      <c r="D14" s="118" t="s">
        <v>16</v>
      </c>
      <c r="E14" s="42" t="s">
        <v>61</v>
      </c>
      <c r="F14" s="118">
        <v>8</v>
      </c>
    </row>
    <row r="15" spans="2:7" x14ac:dyDescent="0.35">
      <c r="B15" s="119">
        <f t="shared" si="0"/>
        <v>13</v>
      </c>
      <c r="C15" s="40" t="s">
        <v>132</v>
      </c>
      <c r="D15" s="40" t="s">
        <v>128</v>
      </c>
      <c r="E15" s="42" t="s">
        <v>61</v>
      </c>
      <c r="F15" s="40">
        <v>10</v>
      </c>
    </row>
    <row r="16" spans="2:7" x14ac:dyDescent="0.35">
      <c r="B16" s="119">
        <f t="shared" si="0"/>
        <v>14</v>
      </c>
      <c r="C16" s="40" t="s">
        <v>113</v>
      </c>
      <c r="D16" s="40" t="s">
        <v>16</v>
      </c>
      <c r="E16" s="42" t="s">
        <v>61</v>
      </c>
      <c r="F16" s="40">
        <v>11</v>
      </c>
    </row>
    <row r="17" spans="2:6" x14ac:dyDescent="0.35">
      <c r="B17" s="120">
        <f t="shared" si="0"/>
        <v>15</v>
      </c>
      <c r="C17" s="41" t="s">
        <v>133</v>
      </c>
      <c r="D17" s="41" t="s">
        <v>15</v>
      </c>
      <c r="E17" s="113"/>
      <c r="F17" s="41">
        <v>12</v>
      </c>
    </row>
  </sheetData>
  <hyperlinks>
    <hyperlink ref="E3" location="'Input-Stress Parameters'!C2" display="Link"/>
    <hyperlink ref="E4" location="'Input - Disbursals'!C7" display="Link"/>
    <hyperlink ref="E5" location="'Input - ENR'!C7" display="Link"/>
    <hyperlink ref="E7" location="'Plan - CoC'!C7" display="Link"/>
    <hyperlink ref="E8" location="'Input - NCL'!C7" display="Link"/>
    <hyperlink ref="E9" location="'Input - PDLGD'!B3" display="Link"/>
    <hyperlink ref="E10" location="'Calculations - Parameters'!B3" display="Link"/>
    <hyperlink ref="E11" location="'Calculation - NCL and ECL'!A1" display="Link"/>
    <hyperlink ref="E12" location="'Input - Stage distribution'!BQ3" display="Link"/>
    <hyperlink ref="E13" location="'Input - ENR'!C49" display="Link"/>
    <hyperlink ref="E15" location="'Input - FInancials'!C7" display="Link"/>
    <hyperlink ref="E6" location="'Input - ANR'!C7" display="Link"/>
    <hyperlink ref="E14" location="'Input - ANR'!C28" display="Link"/>
    <hyperlink ref="E16" location="'Summary Output'!C3" display="Link"/>
  </hyperlink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30"/>
  <sheetViews>
    <sheetView showGridLines="0" topLeftCell="C1" zoomScale="110" zoomScaleNormal="110" workbookViewId="0">
      <selection activeCell="D20" sqref="D20"/>
    </sheetView>
  </sheetViews>
  <sheetFormatPr defaultRowHeight="14.5" x14ac:dyDescent="0.35"/>
  <cols>
    <col min="2" max="2" width="2.453125" customWidth="1"/>
    <col min="3" max="3" width="19.54296875" customWidth="1"/>
    <col min="4" max="4" width="17.81640625" customWidth="1"/>
    <col min="5" max="5" width="14.54296875" customWidth="1"/>
    <col min="6" max="6" width="29.54296875" customWidth="1"/>
    <col min="7" max="7" width="24.1796875" customWidth="1"/>
    <col min="8" max="8" width="21.36328125" customWidth="1"/>
    <col min="11" max="11" width="3.1796875" customWidth="1"/>
  </cols>
  <sheetData>
    <row r="2" spans="2:11" x14ac:dyDescent="0.35">
      <c r="B2" s="285"/>
      <c r="C2" s="286"/>
      <c r="D2" s="286"/>
      <c r="E2" s="291"/>
      <c r="F2" s="286"/>
      <c r="G2" s="286"/>
      <c r="H2" s="286"/>
      <c r="I2" s="286"/>
      <c r="J2" s="286"/>
      <c r="K2" s="279"/>
    </row>
    <row r="3" spans="2:11" ht="18.5" x14ac:dyDescent="0.35">
      <c r="B3" s="287"/>
      <c r="C3" s="318" t="s">
        <v>250</v>
      </c>
      <c r="D3" s="318"/>
      <c r="E3" s="318"/>
      <c r="F3" s="318"/>
      <c r="G3" s="318"/>
      <c r="H3" s="318"/>
      <c r="I3" s="318"/>
      <c r="J3" s="318"/>
      <c r="K3" s="280"/>
    </row>
    <row r="4" spans="2:11" x14ac:dyDescent="0.35">
      <c r="B4" s="287"/>
      <c r="K4" s="280"/>
    </row>
    <row r="5" spans="2:11" x14ac:dyDescent="0.35">
      <c r="B5" s="287"/>
      <c r="C5" s="307" t="s">
        <v>229</v>
      </c>
      <c r="D5" s="314" t="s">
        <v>273</v>
      </c>
      <c r="E5" s="315"/>
      <c r="F5" s="315"/>
      <c r="G5" s="315"/>
      <c r="H5" s="315"/>
      <c r="I5" s="315"/>
      <c r="J5" s="316"/>
      <c r="K5" s="280"/>
    </row>
    <row r="6" spans="2:11" x14ac:dyDescent="0.35">
      <c r="B6" s="287"/>
      <c r="K6" s="280"/>
    </row>
    <row r="7" spans="2:11" x14ac:dyDescent="0.35">
      <c r="B7" s="287"/>
      <c r="C7" s="307" t="s">
        <v>230</v>
      </c>
      <c r="D7" s="314" t="s">
        <v>251</v>
      </c>
      <c r="E7" s="315"/>
      <c r="F7" s="315"/>
      <c r="G7" s="315"/>
      <c r="H7" s="315"/>
      <c r="I7" s="315"/>
      <c r="J7" s="316"/>
      <c r="K7" s="280"/>
    </row>
    <row r="8" spans="2:11" x14ac:dyDescent="0.35">
      <c r="B8" s="287"/>
      <c r="K8" s="280"/>
    </row>
    <row r="9" spans="2:11" x14ac:dyDescent="0.35">
      <c r="B9" s="287"/>
      <c r="D9" s="330" t="s">
        <v>49</v>
      </c>
      <c r="E9" s="330" t="s">
        <v>231</v>
      </c>
      <c r="F9" s="330" t="s">
        <v>232</v>
      </c>
      <c r="G9" s="332" t="s">
        <v>233</v>
      </c>
      <c r="H9" s="333"/>
      <c r="K9" s="280"/>
    </row>
    <row r="10" spans="2:11" s="276" customFormat="1" ht="13" x14ac:dyDescent="0.3">
      <c r="B10" s="288"/>
      <c r="D10" s="331"/>
      <c r="E10" s="331"/>
      <c r="F10" s="331"/>
      <c r="G10" s="283" t="s">
        <v>284</v>
      </c>
      <c r="H10" s="283" t="s">
        <v>159</v>
      </c>
      <c r="K10" s="289"/>
    </row>
    <row r="11" spans="2:11" s="276" customFormat="1" ht="13" x14ac:dyDescent="0.3">
      <c r="B11" s="288"/>
      <c r="D11" s="277" t="s">
        <v>236</v>
      </c>
      <c r="E11" s="278" t="s">
        <v>234</v>
      </c>
      <c r="F11" s="278" t="s">
        <v>274</v>
      </c>
      <c r="G11" s="292" t="s">
        <v>243</v>
      </c>
      <c r="H11" s="292" t="s">
        <v>244</v>
      </c>
      <c r="K11" s="289"/>
    </row>
    <row r="12" spans="2:11" s="276" customFormat="1" ht="13" x14ac:dyDescent="0.3">
      <c r="B12" s="288"/>
      <c r="D12" s="277" t="s">
        <v>237</v>
      </c>
      <c r="E12" s="278" t="s">
        <v>235</v>
      </c>
      <c r="F12" s="278" t="s">
        <v>275</v>
      </c>
      <c r="G12" s="292" t="s">
        <v>244</v>
      </c>
      <c r="H12" s="292" t="s">
        <v>285</v>
      </c>
      <c r="K12" s="289"/>
    </row>
    <row r="13" spans="2:11" s="276" customFormat="1" ht="13" x14ac:dyDescent="0.3">
      <c r="B13" s="288"/>
      <c r="D13" s="277" t="s">
        <v>238</v>
      </c>
      <c r="E13" s="278" t="s">
        <v>256</v>
      </c>
      <c r="F13" s="278" t="s">
        <v>276</v>
      </c>
      <c r="G13" s="292" t="s">
        <v>243</v>
      </c>
      <c r="H13" s="292" t="s">
        <v>244</v>
      </c>
      <c r="K13" s="289"/>
    </row>
    <row r="14" spans="2:11" x14ac:dyDescent="0.35">
      <c r="B14" s="287"/>
      <c r="D14" s="277" t="s">
        <v>245</v>
      </c>
      <c r="E14" s="278"/>
      <c r="F14" s="278" t="s">
        <v>277</v>
      </c>
      <c r="G14" s="292" t="s">
        <v>246</v>
      </c>
      <c r="H14" s="292" t="s">
        <v>246</v>
      </c>
      <c r="K14" s="280"/>
    </row>
    <row r="15" spans="2:11" x14ac:dyDescent="0.35">
      <c r="B15" s="287"/>
      <c r="K15" s="280"/>
    </row>
    <row r="16" spans="2:11" x14ac:dyDescent="0.35">
      <c r="B16" s="287"/>
      <c r="K16" s="280"/>
    </row>
    <row r="17" spans="2:11" ht="15" customHeight="1" x14ac:dyDescent="0.35">
      <c r="B17" s="287"/>
      <c r="C17" s="307" t="s">
        <v>239</v>
      </c>
      <c r="D17" s="284" t="s">
        <v>13</v>
      </c>
      <c r="E17" s="325" t="s">
        <v>239</v>
      </c>
      <c r="F17" s="326"/>
      <c r="G17" s="326"/>
      <c r="H17" s="326"/>
      <c r="I17" s="326"/>
      <c r="J17" s="326"/>
      <c r="K17" s="280"/>
    </row>
    <row r="18" spans="2:11" ht="15" customHeight="1" x14ac:dyDescent="0.35">
      <c r="B18" s="287"/>
      <c r="D18" s="281" t="s">
        <v>0</v>
      </c>
      <c r="E18" s="327" t="s">
        <v>240</v>
      </c>
      <c r="F18" s="328"/>
      <c r="G18" s="328"/>
      <c r="H18" s="328"/>
      <c r="I18" s="328"/>
      <c r="J18" s="329"/>
      <c r="K18" s="280"/>
    </row>
    <row r="19" spans="2:11" ht="15" customHeight="1" x14ac:dyDescent="0.35">
      <c r="B19" s="287"/>
      <c r="D19" s="282" t="s">
        <v>1</v>
      </c>
      <c r="E19" s="327" t="s">
        <v>252</v>
      </c>
      <c r="F19" s="328"/>
      <c r="G19" s="328"/>
      <c r="H19" s="328"/>
      <c r="I19" s="328"/>
      <c r="J19" s="329"/>
      <c r="K19" s="280"/>
    </row>
    <row r="20" spans="2:11" ht="15" customHeight="1" x14ac:dyDescent="0.35">
      <c r="B20" s="287"/>
      <c r="D20" s="282" t="s">
        <v>147</v>
      </c>
      <c r="E20" s="327" t="s">
        <v>241</v>
      </c>
      <c r="F20" s="328"/>
      <c r="G20" s="328"/>
      <c r="H20" s="328"/>
      <c r="I20" s="328"/>
      <c r="J20" s="329"/>
      <c r="K20" s="280"/>
    </row>
    <row r="21" spans="2:11" ht="26" customHeight="1" x14ac:dyDescent="0.35">
      <c r="B21" s="287"/>
      <c r="D21" s="317" t="s">
        <v>242</v>
      </c>
      <c r="E21" s="322" t="s">
        <v>288</v>
      </c>
      <c r="F21" s="323"/>
      <c r="G21" s="323"/>
      <c r="H21" s="323"/>
      <c r="I21" s="323"/>
      <c r="J21" s="324"/>
      <c r="K21" s="280"/>
    </row>
    <row r="22" spans="2:11" ht="15" customHeight="1" x14ac:dyDescent="0.35">
      <c r="B22" s="287"/>
      <c r="D22" s="317"/>
      <c r="E22" s="319" t="s">
        <v>253</v>
      </c>
      <c r="F22" s="320"/>
      <c r="G22" s="320"/>
      <c r="H22" s="320"/>
      <c r="I22" s="320"/>
      <c r="J22" s="321"/>
      <c r="K22" s="280"/>
    </row>
    <row r="23" spans="2:11" ht="15" customHeight="1" x14ac:dyDescent="0.35">
      <c r="B23" s="287"/>
      <c r="D23" s="317"/>
      <c r="E23" s="319" t="s">
        <v>265</v>
      </c>
      <c r="F23" s="320"/>
      <c r="G23" s="320"/>
      <c r="H23" s="320"/>
      <c r="I23" s="320"/>
      <c r="J23" s="321"/>
      <c r="K23" s="280"/>
    </row>
    <row r="24" spans="2:11" ht="15" customHeight="1" x14ac:dyDescent="0.35">
      <c r="B24" s="287"/>
      <c r="D24" s="317"/>
      <c r="E24" s="319" t="s">
        <v>287</v>
      </c>
      <c r="F24" s="320"/>
      <c r="G24" s="320"/>
      <c r="H24" s="320"/>
      <c r="I24" s="320"/>
      <c r="J24" s="321"/>
      <c r="K24" s="280"/>
    </row>
    <row r="25" spans="2:11" ht="15" customHeight="1" x14ac:dyDescent="0.35">
      <c r="B25" s="287"/>
      <c r="D25" s="317"/>
      <c r="E25" s="319" t="s">
        <v>266</v>
      </c>
      <c r="F25" s="320"/>
      <c r="G25" s="320"/>
      <c r="H25" s="320"/>
      <c r="I25" s="320"/>
      <c r="J25" s="321"/>
      <c r="K25" s="280"/>
    </row>
    <row r="26" spans="2:11" x14ac:dyDescent="0.35">
      <c r="B26" s="287"/>
      <c r="D26" s="337" t="s">
        <v>247</v>
      </c>
      <c r="E26" s="322" t="s">
        <v>248</v>
      </c>
      <c r="F26" s="323"/>
      <c r="G26" s="323"/>
      <c r="H26" s="323"/>
      <c r="I26" s="323"/>
      <c r="J26" s="324"/>
      <c r="K26" s="280"/>
    </row>
    <row r="27" spans="2:11" x14ac:dyDescent="0.35">
      <c r="B27" s="287"/>
      <c r="D27" s="338"/>
      <c r="E27" s="319" t="s">
        <v>263</v>
      </c>
      <c r="F27" s="320"/>
      <c r="G27" s="320"/>
      <c r="H27" s="320"/>
      <c r="I27" s="320"/>
      <c r="J27" s="321"/>
      <c r="K27" s="280"/>
    </row>
    <row r="28" spans="2:11" ht="15" customHeight="1" x14ac:dyDescent="0.35">
      <c r="B28" s="287"/>
      <c r="D28" s="338"/>
      <c r="E28" s="319" t="s">
        <v>249</v>
      </c>
      <c r="F28" s="320"/>
      <c r="G28" s="320"/>
      <c r="H28" s="320"/>
      <c r="I28" s="320"/>
      <c r="J28" s="321"/>
      <c r="K28" s="280"/>
    </row>
    <row r="29" spans="2:11" x14ac:dyDescent="0.35">
      <c r="B29" s="287"/>
      <c r="D29" s="339"/>
      <c r="E29" s="334" t="s">
        <v>286</v>
      </c>
      <c r="F29" s="335"/>
      <c r="G29" s="335"/>
      <c r="H29" s="335"/>
      <c r="I29" s="335"/>
      <c r="J29" s="336"/>
      <c r="K29" s="280"/>
    </row>
    <row r="30" spans="2:11" x14ac:dyDescent="0.35">
      <c r="B30" s="290"/>
      <c r="C30" s="105"/>
      <c r="D30" s="105"/>
      <c r="E30" s="105"/>
      <c r="F30" s="105"/>
      <c r="G30" s="105"/>
      <c r="H30" s="105"/>
      <c r="I30" s="105"/>
      <c r="J30" s="105"/>
      <c r="K30" s="106"/>
    </row>
  </sheetData>
  <mergeCells count="22">
    <mergeCell ref="E29:J29"/>
    <mergeCell ref="D26:D29"/>
    <mergeCell ref="E27:J27"/>
    <mergeCell ref="E28:J28"/>
    <mergeCell ref="E19:J19"/>
    <mergeCell ref="E20:J20"/>
    <mergeCell ref="E21:J21"/>
    <mergeCell ref="E22:J22"/>
    <mergeCell ref="E23:J23"/>
    <mergeCell ref="E24:J24"/>
    <mergeCell ref="D7:J7"/>
    <mergeCell ref="D21:D25"/>
    <mergeCell ref="C3:J3"/>
    <mergeCell ref="E25:J25"/>
    <mergeCell ref="E26:J26"/>
    <mergeCell ref="E17:J17"/>
    <mergeCell ref="E18:J18"/>
    <mergeCell ref="D5:J5"/>
    <mergeCell ref="D9:D10"/>
    <mergeCell ref="E9:E10"/>
    <mergeCell ref="F9:F10"/>
    <mergeCell ref="G9:H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AM16"/>
  <sheetViews>
    <sheetView showGridLines="0" tabSelected="1" topLeftCell="D1" zoomScale="110" zoomScaleNormal="110" workbookViewId="0">
      <pane xSplit="1" ySplit="3" topLeftCell="E4" activePane="bottomRight" state="frozen"/>
      <selection activeCell="D1" sqref="D1"/>
      <selection pane="topRight" activeCell="E1" sqref="E1"/>
      <selection pane="bottomLeft" activeCell="D4" sqref="D4"/>
      <selection pane="bottomRight" activeCell="E3" sqref="E3"/>
    </sheetView>
  </sheetViews>
  <sheetFormatPr defaultRowHeight="14.5" x14ac:dyDescent="0.35"/>
  <cols>
    <col min="1" max="1" width="8" customWidth="1"/>
    <col min="2" max="2" width="26" customWidth="1"/>
    <col min="4" max="4" width="17.36328125" customWidth="1"/>
    <col min="5" max="5" width="11.1796875" customWidth="1"/>
    <col min="8" max="8" width="4.7265625" customWidth="1"/>
    <col min="9" max="9" width="9.81640625" bestFit="1" customWidth="1"/>
    <col min="12" max="12" width="9.1796875" customWidth="1"/>
    <col min="13" max="17" width="9.1796875" hidden="1" customWidth="1"/>
    <col min="18" max="18" width="20" hidden="1" customWidth="1"/>
    <col min="19" max="20" width="9.1796875" hidden="1" customWidth="1"/>
    <col min="21" max="21" width="10.1796875" hidden="1" customWidth="1"/>
    <col min="22" max="24" width="0" hidden="1" customWidth="1"/>
    <col min="26" max="34" width="0" hidden="1" customWidth="1"/>
  </cols>
  <sheetData>
    <row r="2" spans="4:39" x14ac:dyDescent="0.35">
      <c r="D2" s="246"/>
      <c r="E2" s="340" t="s">
        <v>278</v>
      </c>
      <c r="F2" s="341"/>
      <c r="G2" s="342"/>
      <c r="H2" s="246"/>
      <c r="I2" s="340" t="s">
        <v>230</v>
      </c>
      <c r="J2" s="341"/>
      <c r="K2" s="342"/>
      <c r="M2" s="340" t="s">
        <v>227</v>
      </c>
      <c r="N2" s="341"/>
      <c r="O2" s="341"/>
      <c r="P2" s="341"/>
      <c r="Q2" s="341"/>
      <c r="Z2" s="340" t="s">
        <v>280</v>
      </c>
      <c r="AA2" s="341"/>
      <c r="AB2" s="342"/>
      <c r="AC2" s="246"/>
      <c r="AD2" s="340" t="s">
        <v>281</v>
      </c>
      <c r="AE2" s="341"/>
      <c r="AF2" s="342"/>
    </row>
    <row r="3" spans="4:39" x14ac:dyDescent="0.35">
      <c r="D3" s="246"/>
      <c r="E3" s="275" t="s">
        <v>169</v>
      </c>
      <c r="F3" s="275" t="s">
        <v>181</v>
      </c>
      <c r="G3" s="275" t="s">
        <v>279</v>
      </c>
      <c r="H3" s="246"/>
      <c r="I3" s="275" t="s">
        <v>169</v>
      </c>
      <c r="J3" s="275" t="s">
        <v>181</v>
      </c>
      <c r="K3" s="275" t="s">
        <v>279</v>
      </c>
      <c r="M3" s="275" t="s">
        <v>213</v>
      </c>
      <c r="N3" s="275" t="s">
        <v>214</v>
      </c>
      <c r="O3" s="275" t="s">
        <v>215</v>
      </c>
      <c r="P3" s="275" t="s">
        <v>216</v>
      </c>
      <c r="Q3" s="275" t="s">
        <v>217</v>
      </c>
      <c r="Z3" s="275" t="s">
        <v>168</v>
      </c>
      <c r="AA3" s="275" t="s">
        <v>169</v>
      </c>
      <c r="AB3" s="275" t="s">
        <v>181</v>
      </c>
      <c r="AC3" s="246"/>
      <c r="AD3" s="275" t="s">
        <v>168</v>
      </c>
      <c r="AE3" s="275" t="s">
        <v>169</v>
      </c>
      <c r="AF3" s="275" t="s">
        <v>181</v>
      </c>
    </row>
    <row r="4" spans="4:39" ht="15" customHeight="1" x14ac:dyDescent="0.35">
      <c r="D4" s="311" t="s">
        <v>176</v>
      </c>
      <c r="E4" s="247">
        <f>Summary!E4</f>
        <v>548.349728735344</v>
      </c>
      <c r="F4" s="247">
        <f>Summary!F4</f>
        <v>645.75646776170936</v>
      </c>
      <c r="G4" s="247">
        <f>Summary!G4</f>
        <v>790.29476066533766</v>
      </c>
      <c r="H4" s="246"/>
      <c r="I4" s="247">
        <f>Summary!I4</f>
        <v>548.349728735344</v>
      </c>
      <c r="J4" s="247">
        <f>Summary!J4</f>
        <v>764.78404247598451</v>
      </c>
      <c r="K4" s="247">
        <f>Summary!K4</f>
        <v>929.3893837313949</v>
      </c>
      <c r="M4" s="247">
        <v>393.85129044430778</v>
      </c>
      <c r="N4" s="247">
        <v>442.05321379999992</v>
      </c>
      <c r="O4" s="247">
        <v>904.60849430429778</v>
      </c>
      <c r="P4" s="247">
        <v>457.59211934999996</v>
      </c>
      <c r="Q4" s="247">
        <v>1797.0577526226321</v>
      </c>
      <c r="Z4" s="247">
        <v>531.4176094763634</v>
      </c>
      <c r="AA4" s="247">
        <v>1005.6938431728183</v>
      </c>
      <c r="AB4" s="247">
        <v>776.19788615200036</v>
      </c>
      <c r="AC4" s="246"/>
      <c r="AD4" s="247">
        <v>531.4176094763634</v>
      </c>
      <c r="AE4" s="247">
        <v>1165.4088384038103</v>
      </c>
      <c r="AF4" s="247">
        <v>894.9760397725488</v>
      </c>
    </row>
    <row r="5" spans="4:39" ht="15" customHeight="1" x14ac:dyDescent="0.35">
      <c r="D5" s="311" t="s">
        <v>119</v>
      </c>
      <c r="E5" s="247">
        <f>Summary!E5</f>
        <v>94.402361099163187</v>
      </c>
      <c r="F5" s="247">
        <f>Summary!F5</f>
        <v>121.03768991315901</v>
      </c>
      <c r="G5" s="247">
        <f>Summary!G5</f>
        <v>138.43136548578883</v>
      </c>
      <c r="H5" s="246"/>
      <c r="I5" s="247">
        <f>Summary!I5</f>
        <v>90.907806827874836</v>
      </c>
      <c r="J5" s="247">
        <f>Summary!J5</f>
        <v>115.33067870228314</v>
      </c>
      <c r="K5" s="247">
        <f>Summary!K5</f>
        <v>135.62991157312064</v>
      </c>
      <c r="M5" s="247">
        <v>237.79529994999999</v>
      </c>
      <c r="N5" s="247">
        <v>158.9661807</v>
      </c>
      <c r="O5" s="247">
        <v>160.16087002</v>
      </c>
      <c r="P5" s="247">
        <v>121.69172028</v>
      </c>
      <c r="Q5" s="247">
        <v>667.84907210999995</v>
      </c>
      <c r="Z5" s="247">
        <v>97.440845602493525</v>
      </c>
      <c r="AA5" s="247">
        <v>169.0476849521749</v>
      </c>
      <c r="AB5" s="247">
        <v>166.23341813053256</v>
      </c>
      <c r="AC5" s="246"/>
      <c r="AD5" s="247">
        <v>91.496518101979049</v>
      </c>
      <c r="AE5" s="247">
        <v>155.32697772814447</v>
      </c>
      <c r="AF5" s="247">
        <v>159.39921819817781</v>
      </c>
    </row>
    <row r="6" spans="4:39" ht="15" customHeight="1" x14ac:dyDescent="0.35">
      <c r="D6" s="311" t="s">
        <v>147</v>
      </c>
      <c r="E6" s="247">
        <f>Summary!E6</f>
        <v>453.94736763618079</v>
      </c>
      <c r="F6" s="247">
        <f>Summary!F6</f>
        <v>524.71877784855019</v>
      </c>
      <c r="G6" s="247">
        <f>Summary!G6</f>
        <v>651.86339517954889</v>
      </c>
      <c r="H6" s="246"/>
      <c r="I6" s="247">
        <f>Summary!I6</f>
        <v>457.44192190746918</v>
      </c>
      <c r="J6" s="247">
        <f>Summary!J6</f>
        <v>649.45336377370131</v>
      </c>
      <c r="K6" s="247">
        <f>Summary!K6</f>
        <v>793.75947215827432</v>
      </c>
      <c r="M6" s="247">
        <f>M4-M5</f>
        <v>156.05599049430779</v>
      </c>
      <c r="N6" s="247">
        <f t="shared" ref="N6:Q6" si="0">N4-N5</f>
        <v>283.08703309999993</v>
      </c>
      <c r="O6" s="247">
        <f t="shared" si="0"/>
        <v>744.44762428429772</v>
      </c>
      <c r="P6" s="247">
        <f t="shared" si="0"/>
        <v>335.90039906999993</v>
      </c>
      <c r="Q6" s="247">
        <f t="shared" si="0"/>
        <v>1129.2086805126321</v>
      </c>
      <c r="Z6" s="247">
        <v>433.9767638738698</v>
      </c>
      <c r="AA6" s="247">
        <v>836.64615822064331</v>
      </c>
      <c r="AB6" s="247">
        <v>609.96446802146795</v>
      </c>
      <c r="AC6" s="246"/>
      <c r="AD6" s="247">
        <v>439.92109137438433</v>
      </c>
      <c r="AE6" s="247">
        <v>1010.0818606756658</v>
      </c>
      <c r="AF6" s="247">
        <v>735.57682157437102</v>
      </c>
    </row>
    <row r="7" spans="4:39" ht="15" customHeight="1" x14ac:dyDescent="0.35">
      <c r="D7" s="311" t="s">
        <v>226</v>
      </c>
      <c r="E7" s="247">
        <f>Summary!E9</f>
        <v>170.67293731128777</v>
      </c>
      <c r="F7" s="247">
        <f>Summary!F9</f>
        <v>279.45745803553115</v>
      </c>
      <c r="G7" s="247">
        <f>Summary!G9</f>
        <v>344.84454406198455</v>
      </c>
      <c r="I7" s="247">
        <f>Summary!I9</f>
        <v>596.03728121119116</v>
      </c>
      <c r="J7" s="247">
        <f>Summary!J9</f>
        <v>125.20797048545344</v>
      </c>
      <c r="K7" s="247">
        <f>Summary!K9</f>
        <v>121.59493384260489</v>
      </c>
      <c r="M7" s="247" t="e">
        <f>SUM(#REF!)</f>
        <v>#REF!</v>
      </c>
      <c r="N7" s="247" t="e">
        <f>SUM(#REF!)</f>
        <v>#REF!</v>
      </c>
      <c r="O7" s="247" t="e">
        <f>SUM(#REF!)</f>
        <v>#REF!</v>
      </c>
      <c r="P7" s="247" t="e">
        <f>SUM(#REF!)</f>
        <v>#REF!</v>
      </c>
      <c r="Q7" s="247" t="e">
        <f>SUM(#REF!)</f>
        <v>#REF!</v>
      </c>
      <c r="Z7" s="247">
        <v>192.31740903276796</v>
      </c>
      <c r="AA7" s="247">
        <v>74.168554971993089</v>
      </c>
      <c r="AB7" s="247">
        <v>431.2027870401464</v>
      </c>
      <c r="AD7" s="247">
        <v>568.22359838505599</v>
      </c>
      <c r="AE7" s="247">
        <v>105.6172708389873</v>
      </c>
      <c r="AF7" s="247">
        <v>136.05036129733287</v>
      </c>
    </row>
    <row r="8" spans="4:39" ht="15" customHeight="1" x14ac:dyDescent="0.35">
      <c r="D8" s="311" t="s">
        <v>289</v>
      </c>
      <c r="E8" s="296">
        <f>Summary!E10</f>
        <v>624.62030494746864</v>
      </c>
      <c r="F8" s="296">
        <f>Summary!F10</f>
        <v>804.17623588408151</v>
      </c>
      <c r="G8" s="296">
        <f>Summary!G10</f>
        <v>996.7079392415335</v>
      </c>
      <c r="H8" s="293"/>
      <c r="I8" s="296">
        <f>Summary!I10</f>
        <v>1053.4792031186603</v>
      </c>
      <c r="J8" s="296">
        <f>Summary!J10</f>
        <v>774.66133425915484</v>
      </c>
      <c r="K8" s="296">
        <f>Summary!K10</f>
        <v>915.35440600087918</v>
      </c>
      <c r="L8" s="293"/>
      <c r="M8" s="294" t="e">
        <f>M4-M5+#REF!+#REF!</f>
        <v>#REF!</v>
      </c>
      <c r="N8" s="294" t="e">
        <f>N4-N5+#REF!+#REF!</f>
        <v>#REF!</v>
      </c>
      <c r="O8" s="294" t="e">
        <f>O4-O5+#REF!+#REF!</f>
        <v>#REF!</v>
      </c>
      <c r="P8" s="294" t="e">
        <f>P4-P5+#REF!+#REF!</f>
        <v>#REF!</v>
      </c>
      <c r="Q8" s="294" t="e">
        <f>Q4-Q5+#REF!+#REF!</f>
        <v>#REF!</v>
      </c>
      <c r="R8" s="296">
        <v>1280.2768069168974</v>
      </c>
      <c r="S8" s="296">
        <v>1575.041079564955</v>
      </c>
      <c r="T8" s="296">
        <v>781.41957877643347</v>
      </c>
      <c r="X8" s="309">
        <f>SUM(I8:K8)/SUM(E8:G8)</f>
        <v>1.1311028142467208</v>
      </c>
      <c r="Z8" s="296">
        <v>626.29417290663787</v>
      </c>
      <c r="AA8" s="296">
        <v>910.81471319263653</v>
      </c>
      <c r="AB8" s="296">
        <v>1041.1672550616142</v>
      </c>
      <c r="AC8" s="293"/>
      <c r="AD8" s="296">
        <v>1008.1446897594403</v>
      </c>
      <c r="AE8" s="296">
        <v>1115.6991315146531</v>
      </c>
      <c r="AF8" s="296">
        <v>871.62718287170389</v>
      </c>
      <c r="AH8" s="309">
        <f>SUM(AD8:AF8)/SUM(Z8:AB8)</f>
        <v>1.161811551650578</v>
      </c>
      <c r="AM8" s="293"/>
    </row>
    <row r="9" spans="4:39" ht="15" customHeight="1" x14ac:dyDescent="0.35">
      <c r="D9" s="311" t="s">
        <v>184</v>
      </c>
      <c r="E9" s="248">
        <f>Summary!E11</f>
        <v>6.0022903083596655E-3</v>
      </c>
      <c r="F9" s="248">
        <f>Summary!F11</f>
        <v>5.5941109562673277E-3</v>
      </c>
      <c r="G9" s="248">
        <f>Summary!G11</f>
        <v>5.3038379190809828E-3</v>
      </c>
      <c r="H9" s="246"/>
      <c r="I9" s="248">
        <f>Summary!I11</f>
        <v>1.1197131082429741E-2</v>
      </c>
      <c r="J9" s="248">
        <f>Summary!J11</f>
        <v>7.7192859422844278E-3</v>
      </c>
      <c r="K9" s="248">
        <f>Summary!K11</f>
        <v>7.2623405142618102E-3</v>
      </c>
      <c r="M9" s="248" t="e">
        <f>M8/M10</f>
        <v>#REF!</v>
      </c>
      <c r="N9" s="248" t="e">
        <f>N8/N10</f>
        <v>#REF!</v>
      </c>
      <c r="O9" s="248" t="e">
        <f>O8/O10</f>
        <v>#REF!</v>
      </c>
      <c r="P9" s="248" t="e">
        <f>P8/P10</f>
        <v>#REF!</v>
      </c>
      <c r="Q9" s="248" t="e">
        <f>Q8/Q10</f>
        <v>#REF!</v>
      </c>
      <c r="R9" s="248">
        <v>1.8933056379976488E-2</v>
      </c>
      <c r="S9" s="248">
        <v>2.1166364891491346E-2</v>
      </c>
      <c r="T9" s="248">
        <v>7.7730378133468942E-3</v>
      </c>
      <c r="Z9" s="248">
        <v>8.214127373107831E-3</v>
      </c>
      <c r="AA9" s="248">
        <v>8.2016770959987932E-3</v>
      </c>
      <c r="AB9" s="248">
        <v>6.872039656731937E-3</v>
      </c>
      <c r="AC9" s="246"/>
      <c r="AD9" s="248">
        <v>1.4751192792848131E-2</v>
      </c>
      <c r="AE9" s="248">
        <v>1.4210265026372531E-2</v>
      </c>
      <c r="AF9" s="248">
        <v>8.3728501094881575E-3</v>
      </c>
    </row>
    <row r="10" spans="4:39" ht="15" customHeight="1" x14ac:dyDescent="0.35">
      <c r="D10" s="311" t="s">
        <v>170</v>
      </c>
      <c r="E10" s="247">
        <f>Summary!E13</f>
        <v>104063.66117905547</v>
      </c>
      <c r="F10" s="247">
        <f>Summary!F13</f>
        <v>143754.07319783809</v>
      </c>
      <c r="G10" s="247">
        <f>Summary!G13</f>
        <v>187922.02070425203</v>
      </c>
      <c r="H10" s="246"/>
      <c r="I10" s="247">
        <f>Summary!I13</f>
        <v>94084.74325818634</v>
      </c>
      <c r="J10" s="247">
        <f>Summary!J13</f>
        <v>100354.01461367596</v>
      </c>
      <c r="K10" s="247">
        <f>Summary!K13</f>
        <v>126041.24031409749</v>
      </c>
      <c r="M10" s="247">
        <v>30191.291086581521</v>
      </c>
      <c r="N10" s="247">
        <v>39210.150559688591</v>
      </c>
      <c r="O10" s="247">
        <v>42720.108008652409</v>
      </c>
      <c r="P10" s="247">
        <v>42630.647907718012</v>
      </c>
      <c r="Q10" s="247">
        <v>54946.127829329169</v>
      </c>
      <c r="Z10" s="247">
        <v>76245.97774768596</v>
      </c>
      <c r="AA10" s="247">
        <v>111052.2521835174</v>
      </c>
      <c r="AB10" s="247">
        <v>151507.74836429729</v>
      </c>
      <c r="AC10" s="246"/>
      <c r="AD10" s="247">
        <v>68343.265789883953</v>
      </c>
      <c r="AE10" s="247">
        <v>78513.604738831447</v>
      </c>
      <c r="AF10" s="247">
        <v>104101.61073873416</v>
      </c>
      <c r="AJ10" s="293"/>
      <c r="AK10" s="293"/>
      <c r="AL10" s="293"/>
    </row>
    <row r="11" spans="4:39" ht="15" customHeight="1" x14ac:dyDescent="0.35">
      <c r="D11" s="311" t="s">
        <v>89</v>
      </c>
      <c r="E11" s="247">
        <f>Summary!E14</f>
        <v>112136.80024975733</v>
      </c>
      <c r="F11" s="247">
        <f>Summary!F14</f>
        <v>150480.17345706414</v>
      </c>
      <c r="G11" s="247">
        <f>Summary!G14</f>
        <v>193146.81068852902</v>
      </c>
      <c r="H11" s="246"/>
      <c r="I11" s="247">
        <f>Summary!I14</f>
        <v>86930.596306118183</v>
      </c>
      <c r="J11" s="247">
        <f>Summary!J14</f>
        <v>92702.224404406297</v>
      </c>
      <c r="K11" s="247">
        <f>Summary!K14</f>
        <v>143181.25825214997</v>
      </c>
      <c r="M11" s="247">
        <v>30645.169082220003</v>
      </c>
      <c r="N11" s="247">
        <v>39398.285198406993</v>
      </c>
      <c r="O11" s="247">
        <v>38275.721468326235</v>
      </c>
      <c r="P11" s="247">
        <v>41260.274211204771</v>
      </c>
      <c r="Q11" s="247">
        <v>59276.646420610625</v>
      </c>
      <c r="Z11" s="247">
        <v>89826.035655721906</v>
      </c>
      <c r="AA11" s="247">
        <v>125498.39064272372</v>
      </c>
      <c r="AB11" s="247">
        <v>162285.83166251215</v>
      </c>
      <c r="AC11" s="246"/>
      <c r="AD11" s="247">
        <v>65255.74725890706</v>
      </c>
      <c r="AE11" s="247">
        <v>77975.774651710206</v>
      </c>
      <c r="AF11" s="247">
        <v>121832.95525622896</v>
      </c>
    </row>
    <row r="12" spans="4:39" ht="15" customHeight="1" x14ac:dyDescent="0.35">
      <c r="D12" s="311" t="s">
        <v>182</v>
      </c>
      <c r="E12" s="247">
        <f>Summary!E15</f>
        <v>1839.2751229197127</v>
      </c>
      <c r="F12" s="247">
        <f>Summary!F15</f>
        <v>2118.732580955244</v>
      </c>
      <c r="G12" s="247">
        <f>Summary!G15</f>
        <v>2463.5771250172288</v>
      </c>
      <c r="H12" s="246"/>
      <c r="I12" s="247">
        <f>Summary!I15</f>
        <v>2264.6394668196158</v>
      </c>
      <c r="J12" s="247">
        <f>Summary!J15</f>
        <v>2389.8474373050694</v>
      </c>
      <c r="K12" s="247">
        <f>Summary!K15</f>
        <v>2511.4423711476743</v>
      </c>
      <c r="L12" s="293"/>
      <c r="M12" s="300">
        <v>468.56499973609817</v>
      </c>
      <c r="N12" s="300" t="e">
        <f>M12+#REF!</f>
        <v>#REF!</v>
      </c>
      <c r="O12" s="300" t="e">
        <f>N12+#REF!</f>
        <v>#REF!</v>
      </c>
      <c r="P12" s="300" t="e">
        <f>O12+#REF!</f>
        <v>#REF!</v>
      </c>
      <c r="Q12" s="300" t="e">
        <f>P12+#REF!</f>
        <v>#REF!</v>
      </c>
      <c r="Z12" s="247">
        <v>1801.2291221643934</v>
      </c>
      <c r="AA12" s="247">
        <v>1875.3976771363864</v>
      </c>
      <c r="AB12" s="247">
        <v>2306.6004641765326</v>
      </c>
      <c r="AC12" s="246"/>
      <c r="AD12" s="247">
        <v>2177.1358298094033</v>
      </c>
      <c r="AE12" s="247">
        <v>2282.7531006483905</v>
      </c>
      <c r="AF12" s="247">
        <v>2418.8034619457239</v>
      </c>
    </row>
    <row r="13" spans="4:39" ht="15" customHeight="1" x14ac:dyDescent="0.35">
      <c r="D13" s="311" t="s">
        <v>183</v>
      </c>
      <c r="E13" s="248">
        <f>Summary!E16</f>
        <v>1.6402065323989776E-2</v>
      </c>
      <c r="F13" s="248">
        <f>Summary!F16</f>
        <v>1.4079812192400036E-2</v>
      </c>
      <c r="G13" s="248">
        <f>Summary!G16</f>
        <v>1.2754945920334271E-2</v>
      </c>
      <c r="H13" s="246"/>
      <c r="I13" s="248">
        <f>Summary!I16</f>
        <v>2.6051120814182548E-2</v>
      </c>
      <c r="J13" s="248">
        <f>Summary!J16</f>
        <v>2.5779828398502548E-2</v>
      </c>
      <c r="K13" s="248">
        <f>Summary!K16</f>
        <v>1.7540301026862663E-2</v>
      </c>
      <c r="L13" s="293"/>
      <c r="M13" s="302">
        <f>M12/M11</f>
        <v>1.5290011893194433E-2</v>
      </c>
      <c r="N13" s="302" t="e">
        <f>N12/N11</f>
        <v>#REF!</v>
      </c>
      <c r="O13" s="302" t="e">
        <f>O12/O11</f>
        <v>#REF!</v>
      </c>
      <c r="P13" s="302" t="e">
        <f>P12/P11</f>
        <v>#REF!</v>
      </c>
      <c r="Q13" s="302" t="e">
        <f>Q12/Q11</f>
        <v>#REF!</v>
      </c>
      <c r="Z13" s="248">
        <v>2.0052416974829006E-2</v>
      </c>
      <c r="AA13" s="248">
        <v>1.4943599416150123E-2</v>
      </c>
      <c r="AB13" s="248">
        <v>1.4213196805580131E-2</v>
      </c>
      <c r="AC13" s="246"/>
      <c r="AD13" s="248">
        <v>3.3363127713049612E-2</v>
      </c>
      <c r="AE13" s="248">
        <v>2.9275157712053895E-2</v>
      </c>
      <c r="AF13" s="248">
        <v>1.9853441598446802E-2</v>
      </c>
    </row>
    <row r="14" spans="4:39" ht="15" customHeight="1" x14ac:dyDescent="0.35">
      <c r="D14" s="311" t="s">
        <v>172</v>
      </c>
      <c r="E14" s="274">
        <f>Summary!E20</f>
        <v>2.0403726717862624E-2</v>
      </c>
      <c r="F14" s="274">
        <f>Summary!F20</f>
        <v>1.7149110285355422E-2</v>
      </c>
      <c r="G14" s="274">
        <f>Summary!G20</f>
        <v>1.5114984923419554E-2</v>
      </c>
      <c r="H14" s="246"/>
      <c r="I14" s="274">
        <f>Summary!I20</f>
        <v>3.5715321591722395E-2</v>
      </c>
      <c r="J14" s="274">
        <f>Summary!J20</f>
        <v>3.7408137630949342E-2</v>
      </c>
      <c r="K14" s="274">
        <f>Summary!K20</f>
        <v>2.3801643745639575E-2</v>
      </c>
      <c r="L14" s="301"/>
      <c r="M14" s="303">
        <v>2.0678312362461166E-2</v>
      </c>
      <c r="N14" s="303">
        <v>3.6817476951399163E-2</v>
      </c>
      <c r="O14" s="303">
        <v>5.6028682033944378E-2</v>
      </c>
      <c r="P14" s="303">
        <v>6.2302654461332471E-2</v>
      </c>
      <c r="Q14" s="303">
        <v>3.7431908351808478E-2</v>
      </c>
      <c r="R14" s="305">
        <v>6.974180062827251E-2</v>
      </c>
      <c r="S14" s="305">
        <v>9.2798823364256475E-2</v>
      </c>
      <c r="T14" s="305">
        <v>5.1739469318954762E-2</v>
      </c>
      <c r="U14" s="304">
        <f>I14/E14</f>
        <v>1.7504312856952302</v>
      </c>
      <c r="V14" s="304">
        <f>J14/F14</f>
        <v>2.1813456796586252</v>
      </c>
      <c r="W14" s="304">
        <f>K14/G14</f>
        <v>1.5747050934044058</v>
      </c>
      <c r="Z14" s="274">
        <v>2.7027796823997915E-2</v>
      </c>
      <c r="AA14" s="274">
        <v>1.8645964423051935E-2</v>
      </c>
      <c r="AB14" s="274">
        <v>1.5389440701706695E-2</v>
      </c>
      <c r="AC14" s="246"/>
      <c r="AD14" s="274">
        <v>4.668012978101322E-2</v>
      </c>
      <c r="AE14" s="274">
        <v>4.5474874304011995E-2</v>
      </c>
      <c r="AF14" s="274">
        <v>2.4471417614188699E-2</v>
      </c>
    </row>
    <row r="15" spans="4:39" ht="15" customHeight="1" x14ac:dyDescent="0.35">
      <c r="D15" s="311" t="s">
        <v>173</v>
      </c>
      <c r="E15" s="248">
        <f>Summary!E21</f>
        <v>1.335173018141698E-2</v>
      </c>
      <c r="F15" s="248">
        <f>Summary!F21</f>
        <v>1.147124318612611E-2</v>
      </c>
      <c r="G15" s="248">
        <f>Summary!G21</f>
        <v>1.0290472131156587E-2</v>
      </c>
      <c r="H15" s="246"/>
      <c r="I15" s="248">
        <f>Summary!I21</f>
        <v>2.1573256951494542E-2</v>
      </c>
      <c r="J15" s="248">
        <f>Summary!J21</f>
        <v>2.3134959731704867E-2</v>
      </c>
      <c r="K15" s="248">
        <f>Summary!K21</f>
        <v>1.4874649696951974E-2</v>
      </c>
      <c r="L15" s="301"/>
      <c r="M15" s="302">
        <v>1.230026761650985E-2</v>
      </c>
      <c r="N15" s="302">
        <v>1.9536554554564961E-2</v>
      </c>
      <c r="O15" s="302">
        <v>2.8748404262162557E-2</v>
      </c>
      <c r="P15" s="302">
        <v>3.0408627935750318E-2</v>
      </c>
      <c r="Q15" s="302">
        <v>2.3407939347254214E-2</v>
      </c>
      <c r="R15" s="306">
        <v>4.6627374648547472E-2</v>
      </c>
      <c r="S15" s="306">
        <v>6.6861049317594429E-2</v>
      </c>
      <c r="T15" s="306">
        <v>3.7048977494415318E-2</v>
      </c>
      <c r="U15" s="245" t="e">
        <f>(#REF!-#REF!)+(#REF!*5%)</f>
        <v>#REF!</v>
      </c>
      <c r="Z15" s="248">
        <v>1.7790838305891576E-2</v>
      </c>
      <c r="AA15" s="248">
        <v>1.323319737966081E-2</v>
      </c>
      <c r="AB15" s="248">
        <v>1.096734547346128E-2</v>
      </c>
      <c r="AC15" s="246"/>
      <c r="AD15" s="248">
        <v>2.6412119637963916E-2</v>
      </c>
      <c r="AE15" s="248">
        <v>2.8454542965763115E-2</v>
      </c>
      <c r="AF15" s="248">
        <v>1.5351205450739858E-2</v>
      </c>
    </row>
    <row r="16" spans="4:39" x14ac:dyDescent="0.35">
      <c r="L16" s="301"/>
      <c r="M16" s="301"/>
      <c r="N16" s="301"/>
      <c r="O16" s="301"/>
      <c r="P16" s="301"/>
      <c r="Q16" s="301"/>
    </row>
  </sheetData>
  <mergeCells count="5">
    <mergeCell ref="E2:G2"/>
    <mergeCell ref="I2:K2"/>
    <mergeCell ref="M2:Q2"/>
    <mergeCell ref="Z2:AB2"/>
    <mergeCell ref="AD2:AF2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AH30"/>
  <sheetViews>
    <sheetView showGridLines="0" topLeftCell="D1" zoomScale="110" zoomScaleNormal="110" workbookViewId="0">
      <pane xSplit="1" ySplit="3" topLeftCell="E4" activePane="bottomRight" state="frozen"/>
      <selection activeCell="D1" sqref="D1"/>
      <selection pane="topRight" activeCell="E1" sqref="E1"/>
      <selection pane="bottomLeft" activeCell="D4" sqref="D4"/>
      <selection pane="bottomRight" activeCell="I1" sqref="I1"/>
    </sheetView>
  </sheetViews>
  <sheetFormatPr defaultRowHeight="14.5" x14ac:dyDescent="0.35"/>
  <cols>
    <col min="1" max="1" width="8" customWidth="1"/>
    <col min="2" max="2" width="26" customWidth="1"/>
    <col min="4" max="4" width="23.1796875" bestFit="1" customWidth="1"/>
    <col min="5" max="5" width="11.1796875" customWidth="1"/>
    <col min="8" max="8" width="7" customWidth="1"/>
    <col min="9" max="9" width="9.81640625" bestFit="1" customWidth="1"/>
    <col min="12" max="12" width="9.1796875" customWidth="1"/>
    <col min="13" max="17" width="9.1796875" hidden="1" customWidth="1"/>
    <col min="18" max="18" width="20" hidden="1" customWidth="1"/>
    <col min="19" max="20" width="9.1796875" hidden="1" customWidth="1"/>
    <col min="21" max="21" width="10.1796875" hidden="1" customWidth="1"/>
    <col min="22" max="24" width="0" hidden="1" customWidth="1"/>
    <col min="26" max="34" width="8.7265625" customWidth="1"/>
  </cols>
  <sheetData>
    <row r="2" spans="4:34" x14ac:dyDescent="0.35">
      <c r="D2" s="246"/>
      <c r="E2" s="340" t="s">
        <v>278</v>
      </c>
      <c r="F2" s="341"/>
      <c r="G2" s="342"/>
      <c r="H2" s="246"/>
      <c r="I2" s="340" t="s">
        <v>230</v>
      </c>
      <c r="J2" s="341"/>
      <c r="K2" s="342"/>
      <c r="M2" s="340" t="s">
        <v>227</v>
      </c>
      <c r="N2" s="341"/>
      <c r="O2" s="341"/>
      <c r="P2" s="341"/>
      <c r="Q2" s="341"/>
      <c r="Z2" s="340" t="s">
        <v>280</v>
      </c>
      <c r="AA2" s="341"/>
      <c r="AB2" s="342"/>
      <c r="AC2" s="246"/>
      <c r="AD2" s="340" t="s">
        <v>281</v>
      </c>
      <c r="AE2" s="341"/>
      <c r="AF2" s="342"/>
    </row>
    <row r="3" spans="4:34" x14ac:dyDescent="0.35">
      <c r="D3" s="246"/>
      <c r="E3" s="275" t="s">
        <v>169</v>
      </c>
      <c r="F3" s="275" t="s">
        <v>181</v>
      </c>
      <c r="G3" s="275" t="s">
        <v>279</v>
      </c>
      <c r="H3" s="246"/>
      <c r="I3" s="275" t="s">
        <v>169</v>
      </c>
      <c r="J3" s="275" t="s">
        <v>181</v>
      </c>
      <c r="K3" s="275" t="s">
        <v>279</v>
      </c>
      <c r="M3" s="275" t="s">
        <v>213</v>
      </c>
      <c r="N3" s="275" t="s">
        <v>214</v>
      </c>
      <c r="O3" s="275" t="s">
        <v>215</v>
      </c>
      <c r="P3" s="275" t="s">
        <v>216</v>
      </c>
      <c r="Q3" s="275" t="s">
        <v>217</v>
      </c>
      <c r="Z3" s="275" t="s">
        <v>168</v>
      </c>
      <c r="AA3" s="275" t="s">
        <v>169</v>
      </c>
      <c r="AB3" s="275" t="s">
        <v>181</v>
      </c>
      <c r="AC3" s="246"/>
      <c r="AD3" s="275" t="s">
        <v>168</v>
      </c>
      <c r="AE3" s="275" t="s">
        <v>169</v>
      </c>
      <c r="AF3" s="275" t="s">
        <v>181</v>
      </c>
    </row>
    <row r="4" spans="4:34" ht="15" customHeight="1" x14ac:dyDescent="0.35">
      <c r="D4" s="295" t="s">
        <v>176</v>
      </c>
      <c r="E4" s="247">
        <f>SUM('Plan - CoC'!D4:O6)</f>
        <v>548.349728735344</v>
      </c>
      <c r="F4" s="247">
        <f>SUM('Plan - CoC'!P4:AA6)</f>
        <v>645.75646776170936</v>
      </c>
      <c r="G4" s="247">
        <f>SUM('Plan - CoC'!AB4:AM6)</f>
        <v>790.29476066533766</v>
      </c>
      <c r="H4" s="246"/>
      <c r="I4" s="247">
        <f>'MOM Summary'!BM3</f>
        <v>548.349728735344</v>
      </c>
      <c r="J4" s="247">
        <f>'MOM Summary'!BN3</f>
        <v>764.78404247598451</v>
      </c>
      <c r="K4" s="247">
        <f>'MOM Summary'!BO3</f>
        <v>929.3893837313949</v>
      </c>
      <c r="M4" s="247">
        <v>393.85129044430778</v>
      </c>
      <c r="N4" s="247">
        <v>442.05321379999992</v>
      </c>
      <c r="O4" s="247">
        <v>904.60849430429778</v>
      </c>
      <c r="P4" s="247">
        <v>457.59211934999996</v>
      </c>
      <c r="Q4" s="247">
        <v>1797.0577526226321</v>
      </c>
      <c r="Z4" s="247">
        <v>531.4176094763634</v>
      </c>
      <c r="AA4" s="247">
        <v>1005.6938431728183</v>
      </c>
      <c r="AB4" s="247">
        <v>776.19788615200036</v>
      </c>
      <c r="AC4" s="246"/>
      <c r="AD4" s="247">
        <v>531.4176094763634</v>
      </c>
      <c r="AE4" s="247">
        <v>1165.4088384038103</v>
      </c>
      <c r="AF4" s="247">
        <v>894.9760397725488</v>
      </c>
    </row>
    <row r="5" spans="4:34" ht="15" customHeight="1" x14ac:dyDescent="0.35">
      <c r="D5" s="295" t="s">
        <v>119</v>
      </c>
      <c r="E5" s="247">
        <f>SUM('Plan - CoC'!D10:O12)</f>
        <v>94.402361099163187</v>
      </c>
      <c r="F5" s="247">
        <f>SUM('Plan - CoC'!P10:AA12)</f>
        <v>121.03768991315901</v>
      </c>
      <c r="G5" s="247">
        <f>SUM('Plan - CoC'!AB10:AM12)</f>
        <v>138.43136548578883</v>
      </c>
      <c r="H5" s="246"/>
      <c r="I5" s="247">
        <f>'MOM Summary'!BM9</f>
        <v>90.907806827874836</v>
      </c>
      <c r="J5" s="247">
        <f>'MOM Summary'!BN9</f>
        <v>115.33067870228314</v>
      </c>
      <c r="K5" s="247">
        <f>'MOM Summary'!BO9</f>
        <v>135.62991157312064</v>
      </c>
      <c r="M5" s="247">
        <v>237.79529994999999</v>
      </c>
      <c r="N5" s="247">
        <v>158.9661807</v>
      </c>
      <c r="O5" s="247">
        <v>160.16087002</v>
      </c>
      <c r="P5" s="247">
        <v>121.69172028</v>
      </c>
      <c r="Q5" s="247">
        <v>667.84907210999995</v>
      </c>
      <c r="Z5" s="247">
        <v>97.440845602493525</v>
      </c>
      <c r="AA5" s="247">
        <v>169.0476849521749</v>
      </c>
      <c r="AB5" s="247">
        <v>166.23341813053256</v>
      </c>
      <c r="AC5" s="246"/>
      <c r="AD5" s="247">
        <v>91.496518101979049</v>
      </c>
      <c r="AE5" s="247">
        <v>155.32697772814447</v>
      </c>
      <c r="AF5" s="247">
        <v>159.39921819817781</v>
      </c>
    </row>
    <row r="6" spans="4:34" ht="15" customHeight="1" x14ac:dyDescent="0.35">
      <c r="D6" s="295" t="s">
        <v>147</v>
      </c>
      <c r="E6" s="247">
        <f>SUM('Input - NCL'!D10:O10)</f>
        <v>453.94736763618079</v>
      </c>
      <c r="F6" s="247">
        <f>SUM('Input - NCL'!P10:AA10)</f>
        <v>524.71877784855019</v>
      </c>
      <c r="G6" s="247">
        <f>SUM('Input - NCL'!AB10:AM10)</f>
        <v>651.86339517954889</v>
      </c>
      <c r="H6" s="246"/>
      <c r="I6" s="247">
        <f>I4-I5</f>
        <v>457.44192190746918</v>
      </c>
      <c r="J6" s="247">
        <f t="shared" ref="J6:K6" si="0">J4-J5</f>
        <v>649.45336377370131</v>
      </c>
      <c r="K6" s="247">
        <f t="shared" si="0"/>
        <v>793.75947215827432</v>
      </c>
      <c r="M6" s="247">
        <f>M4-M5</f>
        <v>156.05599049430779</v>
      </c>
      <c r="N6" s="247">
        <f t="shared" ref="N6:Q6" si="1">N4-N5</f>
        <v>283.08703309999993</v>
      </c>
      <c r="O6" s="247">
        <f t="shared" si="1"/>
        <v>744.44762428429772</v>
      </c>
      <c r="P6" s="247">
        <f t="shared" si="1"/>
        <v>335.90039906999993</v>
      </c>
      <c r="Q6" s="247">
        <f t="shared" si="1"/>
        <v>1129.2086805126321</v>
      </c>
      <c r="Z6" s="247">
        <v>433.9767638738698</v>
      </c>
      <c r="AA6" s="247">
        <v>836.64615822064331</v>
      </c>
      <c r="AB6" s="247">
        <v>609.96446802146795</v>
      </c>
      <c r="AC6" s="246"/>
      <c r="AD6" s="247">
        <v>439.92109137438433</v>
      </c>
      <c r="AE6" s="247">
        <v>1010.0818606756658</v>
      </c>
      <c r="AF6" s="247">
        <v>735.57682157437102</v>
      </c>
    </row>
    <row r="7" spans="4:34" ht="15" customHeight="1" x14ac:dyDescent="0.35">
      <c r="D7" s="295" t="s">
        <v>207</v>
      </c>
      <c r="E7" s="247">
        <f>SUM('Calculation - NCL and ECL'!F19:Q21)</f>
        <v>212.49193001336448</v>
      </c>
      <c r="F7" s="247">
        <f>SUM('Calculation - NCL and ECL'!R19:AC21)</f>
        <v>317.72916835116945</v>
      </c>
      <c r="G7" s="247">
        <f>SUM('Calculation - NCL and ECL'!AD19:AO21)</f>
        <v>393.58197452444409</v>
      </c>
      <c r="H7" s="246"/>
      <c r="I7" s="247">
        <f>'MOM Summary'!BM15</f>
        <v>468.63553058370093</v>
      </c>
      <c r="J7" s="247">
        <f>'MOM Summary'!BN15</f>
        <v>153.07825902370672</v>
      </c>
      <c r="K7" s="247">
        <f>'MOM Summary'!BO15</f>
        <v>150.69270689931659</v>
      </c>
      <c r="M7" s="247">
        <v>-253.3574461300048</v>
      </c>
      <c r="N7" s="247">
        <v>567.72417653728508</v>
      </c>
      <c r="O7" s="247">
        <v>1060.368282573392</v>
      </c>
      <c r="P7" s="247">
        <v>335.76410736466659</v>
      </c>
      <c r="Q7" s="247">
        <v>-812.78952564378744</v>
      </c>
      <c r="Z7" s="247">
        <v>349.21296988715949</v>
      </c>
      <c r="AA7" s="247">
        <v>180.89224408197646</v>
      </c>
      <c r="AB7" s="247">
        <v>445.01657179089011</v>
      </c>
      <c r="AC7" s="246"/>
      <c r="AD7" s="247">
        <v>519.27563600346991</v>
      </c>
      <c r="AE7" s="247">
        <v>188.49910320690864</v>
      </c>
      <c r="AF7" s="247">
        <v>177.09059678789575</v>
      </c>
    </row>
    <row r="8" spans="4:34" ht="15" customHeight="1" x14ac:dyDescent="0.35">
      <c r="D8" s="295" t="s">
        <v>161</v>
      </c>
      <c r="E8" s="247">
        <f>SUM('Calculation - NCL and ECL'!F37:Q39)</f>
        <v>-41.81899270207672</v>
      </c>
      <c r="F8" s="247">
        <f>SUM('Calculation - NCL and ECL'!R37:AC39)</f>
        <v>-38.271710315638302</v>
      </c>
      <c r="G8" s="247">
        <f>+SUM('Calculation - NCL and ECL'!AD37:AO39)</f>
        <v>-48.737430462459528</v>
      </c>
      <c r="I8" s="247">
        <f>'MOM Summary'!BM21</f>
        <v>127.4017506274902</v>
      </c>
      <c r="J8" s="247">
        <f>'MOM Summary'!BN21</f>
        <v>-27.870288538253277</v>
      </c>
      <c r="K8" s="247">
        <f>'MOM Summary'!BO21</f>
        <v>-29.097773056711695</v>
      </c>
      <c r="L8" s="293"/>
      <c r="M8" s="247">
        <v>0</v>
      </c>
      <c r="N8" s="247">
        <v>0</v>
      </c>
      <c r="O8" s="247"/>
      <c r="P8" s="247"/>
      <c r="Q8" s="247"/>
      <c r="Z8" s="247">
        <v>-156.89556085439153</v>
      </c>
      <c r="AA8" s="247">
        <v>-106.72368910998337</v>
      </c>
      <c r="AB8" s="247">
        <v>-13.813784750743691</v>
      </c>
      <c r="AD8" s="247">
        <v>48.94796238158613</v>
      </c>
      <c r="AE8" s="247">
        <v>-82.881832367921348</v>
      </c>
      <c r="AF8" s="247">
        <v>-41.040235490562893</v>
      </c>
      <c r="AG8" s="293"/>
    </row>
    <row r="9" spans="4:34" ht="15" customHeight="1" x14ac:dyDescent="0.35">
      <c r="D9" s="295" t="s">
        <v>226</v>
      </c>
      <c r="E9" s="247">
        <f>SUM(E7:E8)</f>
        <v>170.67293731128777</v>
      </c>
      <c r="F9" s="247">
        <f t="shared" ref="F9:G9" si="2">SUM(F7:F8)</f>
        <v>279.45745803553115</v>
      </c>
      <c r="G9" s="247">
        <f t="shared" si="2"/>
        <v>344.84454406198455</v>
      </c>
      <c r="H9" s="299"/>
      <c r="I9" s="247">
        <f>SUM(I7:I8)</f>
        <v>596.03728121119116</v>
      </c>
      <c r="J9" s="247">
        <f t="shared" ref="J9" si="3">SUM(J7:J8)</f>
        <v>125.20797048545344</v>
      </c>
      <c r="K9" s="247">
        <f t="shared" ref="K9" si="4">SUM(K7:K8)</f>
        <v>121.59493384260489</v>
      </c>
      <c r="M9" s="247">
        <f>SUM(M7:M8)</f>
        <v>-253.3574461300048</v>
      </c>
      <c r="N9" s="247">
        <f t="shared" ref="N9:Q9" si="5">SUM(N7:N8)</f>
        <v>567.72417653728508</v>
      </c>
      <c r="O9" s="247">
        <f t="shared" si="5"/>
        <v>1060.368282573392</v>
      </c>
      <c r="P9" s="247">
        <f t="shared" si="5"/>
        <v>335.76410736466659</v>
      </c>
      <c r="Q9" s="247">
        <f t="shared" si="5"/>
        <v>-812.78952564378744</v>
      </c>
      <c r="Z9" s="247">
        <v>192.31740903276796</v>
      </c>
      <c r="AA9" s="247">
        <v>74.168554971993089</v>
      </c>
      <c r="AB9" s="247">
        <v>431.2027870401464</v>
      </c>
      <c r="AC9" s="299"/>
      <c r="AD9" s="247">
        <v>568.22359838505599</v>
      </c>
      <c r="AE9" s="247">
        <v>105.6172708389873</v>
      </c>
      <c r="AF9" s="247">
        <v>136.05036129733287</v>
      </c>
    </row>
    <row r="10" spans="4:34" ht="15" customHeight="1" x14ac:dyDescent="0.35">
      <c r="D10" s="295" t="s">
        <v>180</v>
      </c>
      <c r="E10" s="296">
        <f>E4-E5+E7+E8</f>
        <v>624.62030494746864</v>
      </c>
      <c r="F10" s="296">
        <f>F4-F5+F7+F8</f>
        <v>804.17623588408151</v>
      </c>
      <c r="G10" s="296">
        <f>G4-G5+G7+G8</f>
        <v>996.7079392415335</v>
      </c>
      <c r="H10" s="309">
        <f>I10/E10</f>
        <v>1.6865913496156024</v>
      </c>
      <c r="I10" s="296">
        <f>I4-I5+I7+I8</f>
        <v>1053.4792031186603</v>
      </c>
      <c r="J10" s="296">
        <f>J4-J5+J7+J8</f>
        <v>774.66133425915484</v>
      </c>
      <c r="K10" s="296">
        <f>K4-K5+K7+K8</f>
        <v>915.35440600087918</v>
      </c>
      <c r="L10" s="312">
        <f>SUM(I10:K10)/SUM(E10:G10)</f>
        <v>1.1311028142467208</v>
      </c>
      <c r="M10" s="294">
        <f>M4-M5+M7+M8</f>
        <v>-97.30145563569701</v>
      </c>
      <c r="N10" s="294">
        <f>N4-N5+N7+N8</f>
        <v>850.81120963728495</v>
      </c>
      <c r="O10" s="294">
        <f>O4-O5+O7+O8</f>
        <v>1804.8159068576897</v>
      </c>
      <c r="P10" s="294">
        <f>P4-P5+P7+P8</f>
        <v>671.66450643466646</v>
      </c>
      <c r="Q10" s="294">
        <f>Q4-Q5+Q7+Q8</f>
        <v>316.41915486884466</v>
      </c>
      <c r="R10" s="296">
        <v>1280.2768069168974</v>
      </c>
      <c r="S10" s="296">
        <v>1575.041079564955</v>
      </c>
      <c r="T10" s="296">
        <v>781.41957877643347</v>
      </c>
      <c r="X10" s="309">
        <f>SUM(I10:K10)/SUM(E10:G10)</f>
        <v>1.1311028142467208</v>
      </c>
      <c r="Z10" s="296">
        <v>626.29417290663787</v>
      </c>
      <c r="AA10" s="296">
        <v>910.81471319263653</v>
      </c>
      <c r="AB10" s="296">
        <v>1041.1672550616142</v>
      </c>
      <c r="AC10" s="309">
        <f>AD10/Z10</f>
        <v>1.6096983388503046</v>
      </c>
      <c r="AD10" s="296">
        <v>1008.1446897594403</v>
      </c>
      <c r="AE10" s="296">
        <v>1115.6991315146531</v>
      </c>
      <c r="AF10" s="296">
        <v>871.62718287170389</v>
      </c>
      <c r="AH10" s="236">
        <f>SUM(AD10:AF10)/SUM(Z10:AB10)</f>
        <v>1.161811551650578</v>
      </c>
    </row>
    <row r="11" spans="4:34" ht="15" customHeight="1" x14ac:dyDescent="0.35">
      <c r="D11" s="295" t="s">
        <v>184</v>
      </c>
      <c r="E11" s="248">
        <f>E10/E13</f>
        <v>6.0022903083596655E-3</v>
      </c>
      <c r="F11" s="248">
        <f>F10/F13</f>
        <v>5.5941109562673277E-3</v>
      </c>
      <c r="G11" s="248">
        <f>G10/G13</f>
        <v>5.3038379190809828E-3</v>
      </c>
      <c r="H11" s="246"/>
      <c r="I11" s="248">
        <f>I10/I13</f>
        <v>1.1197131082429741E-2</v>
      </c>
      <c r="J11" s="248">
        <f>J10/J13</f>
        <v>7.7192859422844278E-3</v>
      </c>
      <c r="K11" s="248">
        <f>K10/K13</f>
        <v>7.2623405142618102E-3</v>
      </c>
      <c r="M11" s="248">
        <f>M10/M13</f>
        <v>-3.2228318874028715E-3</v>
      </c>
      <c r="N11" s="248">
        <f>N10/N13</f>
        <v>2.1698748856934819E-2</v>
      </c>
      <c r="O11" s="248">
        <f>O10/O13</f>
        <v>4.2247456548849253E-2</v>
      </c>
      <c r="P11" s="248">
        <f>P10/P13</f>
        <v>1.5755437446989068E-2</v>
      </c>
      <c r="Q11" s="248">
        <f>Q10/Q13</f>
        <v>5.7587161710774149E-3</v>
      </c>
      <c r="R11" s="248">
        <v>1.8933056379976488E-2</v>
      </c>
      <c r="S11" s="248">
        <v>2.1166364891491346E-2</v>
      </c>
      <c r="T11" s="248">
        <v>7.7730378133468942E-3</v>
      </c>
      <c r="Z11" s="248">
        <v>8.214127373107831E-3</v>
      </c>
      <c r="AA11" s="248">
        <v>8.2016770959987932E-3</v>
      </c>
      <c r="AB11" s="248">
        <v>6.872039656731937E-3</v>
      </c>
      <c r="AC11" s="246"/>
      <c r="AD11" s="248">
        <v>1.4751192792848131E-2</v>
      </c>
      <c r="AE11" s="248">
        <v>1.4210265026372531E-2</v>
      </c>
      <c r="AF11" s="248">
        <v>8.3728501094881575E-3</v>
      </c>
    </row>
    <row r="12" spans="4:34" ht="15" customHeight="1" x14ac:dyDescent="0.35">
      <c r="D12" s="295" t="s">
        <v>283</v>
      </c>
      <c r="E12" s="247">
        <f>SUM('Input - Disbursals'!D9:O9)</f>
        <v>65610</v>
      </c>
      <c r="F12" s="247">
        <f>SUM('Input - Disbursals'!P9:AA9)</f>
        <v>79000</v>
      </c>
      <c r="G12" s="247">
        <f>SUM('Input - Disbursals'!AB9:AM9)</f>
        <v>91000</v>
      </c>
      <c r="H12" s="246"/>
      <c r="I12" s="247">
        <f>SUM('Input - Disbursals'!D3:O3)</f>
        <v>31451.25</v>
      </c>
      <c r="J12" s="247">
        <f>SUM('Input - Disbursals'!P3:AA3)</f>
        <v>30923.413619501844</v>
      </c>
      <c r="K12" s="247">
        <f>SUM('Input - Disbursals'!AB3:AM3)</f>
        <v>81642.114785373604</v>
      </c>
      <c r="M12" s="248"/>
      <c r="N12" s="248"/>
      <c r="O12" s="248"/>
      <c r="P12" s="248"/>
      <c r="Q12" s="248"/>
      <c r="R12" s="310"/>
      <c r="S12" s="310"/>
      <c r="T12" s="310"/>
      <c r="Z12" s="247">
        <v>48926.841385</v>
      </c>
      <c r="AA12" s="247">
        <v>65608.78</v>
      </c>
      <c r="AB12" s="247">
        <v>76267.656000000003</v>
      </c>
      <c r="AC12" s="246"/>
      <c r="AD12" s="247">
        <v>21651.841385</v>
      </c>
      <c r="AE12" s="247">
        <v>31322.074533333336</v>
      </c>
      <c r="AF12" s="247">
        <v>68718.495599999995</v>
      </c>
    </row>
    <row r="13" spans="4:34" ht="15" customHeight="1" x14ac:dyDescent="0.35">
      <c r="D13" s="295" t="s">
        <v>170</v>
      </c>
      <c r="E13" s="247">
        <f>AVERAGE('Input - ANR'!D15:O15)</f>
        <v>104063.66117905547</v>
      </c>
      <c r="F13" s="247">
        <f>AVERAGE('Input - ANR'!P15:AA15)</f>
        <v>143754.07319783809</v>
      </c>
      <c r="G13" s="247">
        <f>AVERAGE('Input - ANR'!AB15:AM15)</f>
        <v>187922.02070425203</v>
      </c>
      <c r="H13" s="246"/>
      <c r="I13" s="247">
        <f>'MOM Summary'!BM45</f>
        <v>94084.74325818634</v>
      </c>
      <c r="J13" s="247">
        <f>'MOM Summary'!BN45</f>
        <v>100354.01461367596</v>
      </c>
      <c r="K13" s="247">
        <f>'MOM Summary'!BO45</f>
        <v>126041.24031409749</v>
      </c>
      <c r="M13" s="247">
        <v>30191.291086581521</v>
      </c>
      <c r="N13" s="247">
        <v>39210.150559688591</v>
      </c>
      <c r="O13" s="247">
        <v>42720.108008652409</v>
      </c>
      <c r="P13" s="247">
        <v>42630.647907718012</v>
      </c>
      <c r="Q13" s="247">
        <v>54946.127829329169</v>
      </c>
      <c r="Z13" s="247">
        <v>76245.97774768596</v>
      </c>
      <c r="AA13" s="247">
        <v>111052.2521835174</v>
      </c>
      <c r="AB13" s="247">
        <v>151507.74836429729</v>
      </c>
      <c r="AC13" s="246"/>
      <c r="AD13" s="247">
        <v>68343.265789883953</v>
      </c>
      <c r="AE13" s="247">
        <v>78513.604738831447</v>
      </c>
      <c r="AF13" s="247">
        <v>104101.61073873416</v>
      </c>
    </row>
    <row r="14" spans="4:34" ht="15" customHeight="1" x14ac:dyDescent="0.35">
      <c r="D14" s="295" t="s">
        <v>89</v>
      </c>
      <c r="E14" s="247">
        <f>'Input - ENR'!O9</f>
        <v>112136.80024975733</v>
      </c>
      <c r="F14" s="247">
        <f>'Input - ENR'!AA9</f>
        <v>150480.17345706414</v>
      </c>
      <c r="G14" s="247">
        <f>'Input - ENR'!AM9</f>
        <v>193146.81068852902</v>
      </c>
      <c r="H14" s="246"/>
      <c r="I14" s="247">
        <f>'MOM Summary'!BM39</f>
        <v>86930.596306118183</v>
      </c>
      <c r="J14" s="247">
        <f>'MOM Summary'!BN39</f>
        <v>92702.224404406297</v>
      </c>
      <c r="K14" s="247">
        <f>'MOM Summary'!BO39</f>
        <v>143181.25825214997</v>
      </c>
      <c r="M14" s="247">
        <v>30645.169082220003</v>
      </c>
      <c r="N14" s="247">
        <v>39398.285198406993</v>
      </c>
      <c r="O14" s="247">
        <v>38275.721468326235</v>
      </c>
      <c r="P14" s="247">
        <v>41260.274211204771</v>
      </c>
      <c r="Q14" s="247">
        <v>59276.646420610625</v>
      </c>
      <c r="Z14" s="247">
        <v>89826.035655721906</v>
      </c>
      <c r="AA14" s="247">
        <v>125498.39064272372</v>
      </c>
      <c r="AB14" s="247">
        <v>162285.83166251215</v>
      </c>
      <c r="AC14" s="246"/>
      <c r="AD14" s="247">
        <v>65255.74725890706</v>
      </c>
      <c r="AE14" s="247">
        <v>77975.774651710206</v>
      </c>
      <c r="AF14" s="247">
        <v>121832.95525622896</v>
      </c>
    </row>
    <row r="15" spans="4:34" ht="15" customHeight="1" x14ac:dyDescent="0.35">
      <c r="D15" s="295" t="s">
        <v>182</v>
      </c>
      <c r="E15" s="247">
        <f>'ECL BS'!O4+'ECL BS'!O10</f>
        <v>1839.2751229197127</v>
      </c>
      <c r="F15" s="247">
        <f>'ECL BS'!AA4+'ECL BS'!AA10</f>
        <v>2118.732580955244</v>
      </c>
      <c r="G15" s="247">
        <f>'ECL BS'!AM4+'ECL BS'!AM10</f>
        <v>2463.5771250172288</v>
      </c>
      <c r="H15" s="246"/>
      <c r="I15" s="247">
        <f>'MOM Summary'!BM33</f>
        <v>2264.6394668196158</v>
      </c>
      <c r="J15" s="247">
        <f>'MOM Summary'!BN33</f>
        <v>2389.8474373050694</v>
      </c>
      <c r="K15" s="247">
        <f>'MOM Summary'!BO33</f>
        <v>2511.4423711476743</v>
      </c>
      <c r="L15" s="293"/>
      <c r="M15" s="300">
        <v>468.56499973609817</v>
      </c>
      <c r="N15" s="300">
        <f>M15+N7</f>
        <v>1036.2891762733832</v>
      </c>
      <c r="O15" s="300">
        <f>N15+O7</f>
        <v>2096.6574588467752</v>
      </c>
      <c r="P15" s="300">
        <f>O15+P7</f>
        <v>2432.4215662114416</v>
      </c>
      <c r="Q15" s="300">
        <f>P15+Q7</f>
        <v>1619.6320405676543</v>
      </c>
      <c r="Z15" s="247">
        <v>1801.2291221643934</v>
      </c>
      <c r="AA15" s="247">
        <v>1875.3976771363864</v>
      </c>
      <c r="AB15" s="247">
        <v>2306.6004641765326</v>
      </c>
      <c r="AC15" s="246"/>
      <c r="AD15" s="247">
        <v>2177.1358298094033</v>
      </c>
      <c r="AE15" s="247">
        <v>2282.7531006483905</v>
      </c>
      <c r="AF15" s="247">
        <v>2418.8034619457239</v>
      </c>
    </row>
    <row r="16" spans="4:34" ht="15" customHeight="1" x14ac:dyDescent="0.35">
      <c r="D16" s="295" t="s">
        <v>183</v>
      </c>
      <c r="E16" s="248">
        <f>E15/E14</f>
        <v>1.6402065323989776E-2</v>
      </c>
      <c r="F16" s="248">
        <f>F15/F14</f>
        <v>1.4079812192400036E-2</v>
      </c>
      <c r="G16" s="248">
        <f>G15/G14</f>
        <v>1.2754945920334271E-2</v>
      </c>
      <c r="H16" s="246"/>
      <c r="I16" s="248">
        <f>I15/I14</f>
        <v>2.6051120814182548E-2</v>
      </c>
      <c r="J16" s="248">
        <f>J15/J14</f>
        <v>2.5779828398502548E-2</v>
      </c>
      <c r="K16" s="248">
        <f>K15/K14</f>
        <v>1.7540301026862663E-2</v>
      </c>
      <c r="L16" s="293"/>
      <c r="M16" s="302">
        <f>M15/M14</f>
        <v>1.5290011893194433E-2</v>
      </c>
      <c r="N16" s="302">
        <f>N15/N14</f>
        <v>2.6302900521043081E-2</v>
      </c>
      <c r="O16" s="302">
        <f>O15/O14</f>
        <v>5.4777738430921347E-2</v>
      </c>
      <c r="P16" s="302">
        <f>P15/P14</f>
        <v>5.8953111987580673E-2</v>
      </c>
      <c r="Q16" s="302">
        <f>Q15/Q14</f>
        <v>2.732327380795457E-2</v>
      </c>
      <c r="Z16" s="248">
        <v>2.0052416974829006E-2</v>
      </c>
      <c r="AA16" s="248">
        <v>1.4943599416150123E-2</v>
      </c>
      <c r="AB16" s="248">
        <v>1.4213196805580131E-2</v>
      </c>
      <c r="AC16" s="246"/>
      <c r="AD16" s="248">
        <v>3.3363127713049612E-2</v>
      </c>
      <c r="AE16" s="248">
        <v>2.9275157712053895E-2</v>
      </c>
      <c r="AF16" s="248">
        <v>1.9853441598446802E-2</v>
      </c>
    </row>
    <row r="17" spans="4:32" ht="15" customHeight="1" x14ac:dyDescent="0.35">
      <c r="D17" s="295" t="s">
        <v>185</v>
      </c>
      <c r="E17" s="248">
        <f>E4/E13</f>
        <v>5.2693680245579173E-3</v>
      </c>
      <c r="F17" s="248">
        <f>F4/F13</f>
        <v>4.4920916214527193E-3</v>
      </c>
      <c r="G17" s="248">
        <f>G4/G13</f>
        <v>4.2054398824770403E-3</v>
      </c>
      <c r="H17" s="246"/>
      <c r="I17" s="248">
        <f>I4/I13</f>
        <v>5.8282534420120444E-3</v>
      </c>
      <c r="J17" s="248">
        <f>J4/J13</f>
        <v>7.6208614614981423E-3</v>
      </c>
      <c r="K17" s="248">
        <f>K4/K13</f>
        <v>7.3736927803577344E-3</v>
      </c>
      <c r="L17" s="293"/>
      <c r="M17" s="302">
        <f>M4/M13</f>
        <v>1.3045195361630442E-2</v>
      </c>
      <c r="N17" s="302">
        <f>N4/N13</f>
        <v>1.1273948390661592E-2</v>
      </c>
      <c r="O17" s="302">
        <f>O4/O13</f>
        <v>2.1175238932473694E-2</v>
      </c>
      <c r="P17" s="302">
        <f>P4/P13</f>
        <v>1.0733876725039306E-2</v>
      </c>
      <c r="Q17" s="302">
        <f>Q4/Q13</f>
        <v>3.2705812467887826E-2</v>
      </c>
      <c r="Z17" s="248">
        <v>6.9697789335843585E-3</v>
      </c>
      <c r="AA17" s="248">
        <v>9.0560418487585208E-3</v>
      </c>
      <c r="AB17" s="248">
        <v>5.1231563700996222E-3</v>
      </c>
      <c r="AC17" s="246"/>
      <c r="AD17" s="248">
        <v>7.7757128421425663E-3</v>
      </c>
      <c r="AE17" s="248">
        <v>1.484339997227792E-2</v>
      </c>
      <c r="AF17" s="248">
        <v>8.5971392125592325E-3</v>
      </c>
    </row>
    <row r="18" spans="4:32" ht="15" customHeight="1" x14ac:dyDescent="0.35">
      <c r="D18" s="295" t="s">
        <v>155</v>
      </c>
      <c r="E18" s="247">
        <f>'Input - GNPA'!O39</f>
        <v>2313.1767222120252</v>
      </c>
      <c r="F18" s="247">
        <f>'Input - GNPA'!AA39</f>
        <v>2608.9877023687268</v>
      </c>
      <c r="G18" s="247">
        <f>'Input - GNPA'!AM39</f>
        <v>2951.5246540108883</v>
      </c>
      <c r="H18" s="273"/>
      <c r="I18" s="247">
        <f>'MOM Summary'!BM51</f>
        <v>3094.7104789617374</v>
      </c>
      <c r="J18" s="247">
        <f>'MOM Summary'!BN51</f>
        <v>3456.5927866434072</v>
      </c>
      <c r="K18" s="247">
        <f>'MOM Summary'!BO51</f>
        <v>3396.9269140574534</v>
      </c>
      <c r="L18" s="293"/>
      <c r="M18" s="300"/>
      <c r="N18" s="300"/>
      <c r="O18" s="300"/>
      <c r="P18" s="300"/>
      <c r="Q18" s="300"/>
      <c r="Z18" s="247">
        <v>2454.5056394613321</v>
      </c>
      <c r="AA18" s="247">
        <v>2365.7789508723199</v>
      </c>
      <c r="AB18" s="247">
        <v>2532.1747261203463</v>
      </c>
      <c r="AC18" s="273"/>
      <c r="AD18" s="247">
        <v>3076.6082185128071</v>
      </c>
      <c r="AE18" s="247">
        <v>3581.3979365549317</v>
      </c>
      <c r="AF18" s="247">
        <v>3011.2393785184045</v>
      </c>
    </row>
    <row r="19" spans="4:32" ht="15" customHeight="1" x14ac:dyDescent="0.35">
      <c r="D19" s="295" t="s">
        <v>171</v>
      </c>
      <c r="E19" s="247">
        <f>'Input - GNPA'!O45</f>
        <v>1502.8707367638854</v>
      </c>
      <c r="F19" s="247">
        <f>'Input - GNPA'!AA45</f>
        <v>1735.1589030651508</v>
      </c>
      <c r="G19" s="247">
        <f>'Input - GNPA'!AM45</f>
        <v>1999.6398188424473</v>
      </c>
      <c r="H19" s="273"/>
      <c r="I19" s="247">
        <f>'MOM Summary'!BM57</f>
        <v>1851.8092075531401</v>
      </c>
      <c r="J19" s="247">
        <f>'MOM Summary'!BN57</f>
        <v>2118.8827373172558</v>
      </c>
      <c r="K19" s="247">
        <f>'MOM Summary'!BO57</f>
        <v>2104.6887131136018</v>
      </c>
      <c r="L19" s="293"/>
      <c r="M19" s="300"/>
      <c r="N19" s="300"/>
      <c r="O19" s="300"/>
      <c r="P19" s="300"/>
      <c r="Q19" s="300"/>
      <c r="Z19" s="247">
        <v>1591.3023319015715</v>
      </c>
      <c r="AA19" s="247">
        <v>1684.880285431524</v>
      </c>
      <c r="AB19" s="247">
        <v>1760.2332461380254</v>
      </c>
      <c r="AC19" s="273"/>
      <c r="AD19" s="247">
        <v>1740.7780297036591</v>
      </c>
      <c r="AE19" s="247">
        <v>2240.9526804169082</v>
      </c>
      <c r="AF19" s="247">
        <v>1888.9855540772594</v>
      </c>
    </row>
    <row r="20" spans="4:32" ht="15" customHeight="1" x14ac:dyDescent="0.35">
      <c r="D20" s="295" t="s">
        <v>172</v>
      </c>
      <c r="E20" s="274">
        <f>'Input - GNPA'!O51</f>
        <v>2.0403726717862624E-2</v>
      </c>
      <c r="F20" s="274">
        <f>'Input - GNPA'!AA51</f>
        <v>1.7149110285355422E-2</v>
      </c>
      <c r="G20" s="274">
        <f>'Input - GNPA'!AM51</f>
        <v>1.5114984923419554E-2</v>
      </c>
      <c r="H20" s="246"/>
      <c r="I20" s="274">
        <f>'MOM Summary'!BM63</f>
        <v>3.5715321591722395E-2</v>
      </c>
      <c r="J20" s="274">
        <f>'MOM Summary'!BN63</f>
        <v>3.7408137630949342E-2</v>
      </c>
      <c r="K20" s="274">
        <f>'MOM Summary'!BO63</f>
        <v>2.3801643745639575E-2</v>
      </c>
      <c r="L20" s="301"/>
      <c r="M20" s="303">
        <v>2.0678312362461166E-2</v>
      </c>
      <c r="N20" s="303">
        <v>3.6817476951399163E-2</v>
      </c>
      <c r="O20" s="303">
        <v>5.6028682033944378E-2</v>
      </c>
      <c r="P20" s="303">
        <v>6.2302654461332471E-2</v>
      </c>
      <c r="Q20" s="303">
        <v>3.7431908351808478E-2</v>
      </c>
      <c r="R20" s="305">
        <v>6.974180062827251E-2</v>
      </c>
      <c r="S20" s="305">
        <v>9.2798823364256475E-2</v>
      </c>
      <c r="T20" s="305">
        <v>5.1739469318954762E-2</v>
      </c>
      <c r="U20" s="304">
        <f>I20/E20</f>
        <v>1.7504312856952302</v>
      </c>
      <c r="V20" s="304">
        <f>J20/F20</f>
        <v>2.1813456796586252</v>
      </c>
      <c r="W20" s="304">
        <f>K20/G20</f>
        <v>1.5747050934044058</v>
      </c>
      <c r="Z20" s="274">
        <v>2.7027796823997915E-2</v>
      </c>
      <c r="AA20" s="274">
        <v>1.8645964423051935E-2</v>
      </c>
      <c r="AB20" s="274">
        <v>1.5389440701706695E-2</v>
      </c>
      <c r="AC20" s="246"/>
      <c r="AD20" s="274">
        <v>4.668012978101322E-2</v>
      </c>
      <c r="AE20" s="274">
        <v>4.5474874304011995E-2</v>
      </c>
      <c r="AF20" s="274">
        <v>2.4471417614188699E-2</v>
      </c>
    </row>
    <row r="21" spans="4:32" ht="15" customHeight="1" x14ac:dyDescent="0.35">
      <c r="D21" s="295" t="s">
        <v>173</v>
      </c>
      <c r="E21" s="248">
        <f>'Input - GNPA'!O57</f>
        <v>1.335173018141698E-2</v>
      </c>
      <c r="F21" s="248">
        <f>'Input - GNPA'!AA57</f>
        <v>1.147124318612611E-2</v>
      </c>
      <c r="G21" s="248">
        <f>'Input - GNPA'!AM57</f>
        <v>1.0290472131156587E-2</v>
      </c>
      <c r="H21" s="246"/>
      <c r="I21" s="248">
        <f>'MOM Summary'!BM69</f>
        <v>2.1573256951494542E-2</v>
      </c>
      <c r="J21" s="248">
        <f>'MOM Summary'!BN69</f>
        <v>2.3134959731704867E-2</v>
      </c>
      <c r="K21" s="248">
        <f>'MOM Summary'!BO69</f>
        <v>1.4874649696951974E-2</v>
      </c>
      <c r="L21" s="301"/>
      <c r="M21" s="302">
        <v>1.230026761650985E-2</v>
      </c>
      <c r="N21" s="302">
        <v>1.9536554554564961E-2</v>
      </c>
      <c r="O21" s="302">
        <v>2.8748404262162557E-2</v>
      </c>
      <c r="P21" s="302">
        <v>3.0408627935750318E-2</v>
      </c>
      <c r="Q21" s="302">
        <v>2.3407939347254214E-2</v>
      </c>
      <c r="R21" s="306">
        <v>4.6627374648547472E-2</v>
      </c>
      <c r="S21" s="306">
        <v>6.6861049317594429E-2</v>
      </c>
      <c r="T21" s="306">
        <v>3.7048977494415318E-2</v>
      </c>
      <c r="U21" s="245">
        <f>(U18-U19)+(U18*5%)</f>
        <v>0</v>
      </c>
      <c r="Z21" s="248">
        <v>1.7790838305891576E-2</v>
      </c>
      <c r="AA21" s="248">
        <v>1.323319737966081E-2</v>
      </c>
      <c r="AB21" s="248">
        <v>1.096734547346128E-2</v>
      </c>
      <c r="AC21" s="246"/>
      <c r="AD21" s="248">
        <v>2.6412119637963916E-2</v>
      </c>
      <c r="AE21" s="248">
        <v>2.8454542965763115E-2</v>
      </c>
      <c r="AF21" s="248">
        <v>1.5351205450739858E-2</v>
      </c>
    </row>
    <row r="22" spans="4:32" ht="15" customHeight="1" x14ac:dyDescent="0.35">
      <c r="D22" s="295" t="s">
        <v>51</v>
      </c>
      <c r="E22" s="248">
        <f>'Calculation - Stage dist'!R35</f>
        <v>0.96630673967172287</v>
      </c>
      <c r="F22" s="248">
        <f>'Calculation - Stage dist'!AD35</f>
        <v>0.97136969000565321</v>
      </c>
      <c r="G22" s="248">
        <f>'Calculation - Stage dist'!AP35</f>
        <v>0.9741811657080286</v>
      </c>
      <c r="I22" s="248">
        <f>'Calculation - Stage dist'!R40</f>
        <v>0.94261888313571862</v>
      </c>
      <c r="J22" s="248">
        <f>'Calculation - Stage dist'!AD40</f>
        <v>0.94048852557372653</v>
      </c>
      <c r="K22" s="248">
        <f>'Calculation - Stage dist'!AP40</f>
        <v>0.96103244639954732</v>
      </c>
      <c r="L22" s="301"/>
      <c r="M22" s="302">
        <v>0.96399999999999997</v>
      </c>
      <c r="N22" s="302">
        <v>0.94099999999999995</v>
      </c>
      <c r="O22" s="302">
        <v>0.85099999999999998</v>
      </c>
      <c r="P22" s="302">
        <v>0.83699999999999997</v>
      </c>
      <c r="Q22" s="302">
        <v>0.94092999126814547</v>
      </c>
      <c r="Z22" s="248">
        <v>0.95635562579536337</v>
      </c>
      <c r="AA22" s="248">
        <v>0.96842306117409993</v>
      </c>
      <c r="AB22" s="248">
        <v>0.96865615620424994</v>
      </c>
      <c r="AD22" s="248">
        <v>0.92872922317370166</v>
      </c>
      <c r="AE22" s="248">
        <v>0.93163254203748802</v>
      </c>
      <c r="AF22" s="248">
        <v>0.95560288060593723</v>
      </c>
    </row>
    <row r="23" spans="4:32" ht="15" customHeight="1" x14ac:dyDescent="0.35">
      <c r="D23" s="295" t="s">
        <v>52</v>
      </c>
      <c r="E23" s="248">
        <f>'Calculation - Stage dist'!R36</f>
        <v>1.9326475944413099E-2</v>
      </c>
      <c r="F23" s="248">
        <f>'Calculation - Stage dist'!AD36</f>
        <v>1.7002945216644121E-2</v>
      </c>
      <c r="G23" s="248">
        <f>'Calculation - Stage dist'!AP36</f>
        <v>1.568276182337465E-2</v>
      </c>
      <c r="I23" s="248">
        <f>'Calculation - Stage dist'!R41</f>
        <v>3.1835920892532517E-2</v>
      </c>
      <c r="J23" s="248">
        <f>'Calculation - Stage dist'!AD41</f>
        <v>3.3200693038525367E-2</v>
      </c>
      <c r="K23" s="248">
        <f>'Calculation - Stage dist'!AP41</f>
        <v>2.2800786282364843E-2</v>
      </c>
      <c r="L23" s="301"/>
      <c r="M23" s="302">
        <v>1.6E-2</v>
      </c>
      <c r="N23" s="302">
        <v>2.1999999999999999E-2</v>
      </c>
      <c r="O23" s="302">
        <v>9.5000000000000001E-2</v>
      </c>
      <c r="P23" s="302">
        <v>0.10299999999999999</v>
      </c>
      <c r="Q23" s="302">
        <v>3.6119753338716865E-2</v>
      </c>
      <c r="Z23" s="248">
        <v>2.8151896754364601E-2</v>
      </c>
      <c r="AA23" s="248">
        <v>2.2410569046781213E-2</v>
      </c>
      <c r="AB23" s="248">
        <v>2.3408624953193964E-2</v>
      </c>
      <c r="AD23" s="248">
        <v>4.1388488026519073E-2</v>
      </c>
      <c r="AE23" s="248">
        <v>4.0385145836632559E-2</v>
      </c>
      <c r="AF23" s="248">
        <v>2.9566790673372308E-2</v>
      </c>
    </row>
    <row r="24" spans="4:32" ht="15" customHeight="1" x14ac:dyDescent="0.35">
      <c r="D24" s="295" t="s">
        <v>53</v>
      </c>
      <c r="E24" s="274">
        <f>'Calculation - Stage dist'!R37</f>
        <v>1.4366784383863993E-2</v>
      </c>
      <c r="F24" s="274">
        <f>'Calculation - Stage dist'!AD37</f>
        <v>1.1627364777702551E-2</v>
      </c>
      <c r="G24" s="274">
        <f>'Calculation - Stage dist'!AP37</f>
        <v>1.0136072468596716E-2</v>
      </c>
      <c r="I24" s="274">
        <f>'Calculation - Stage dist'!R42</f>
        <v>2.5545195971749195E-2</v>
      </c>
      <c r="J24" s="274">
        <f>'Calculation - Stage dist'!AD42</f>
        <v>2.6310781387748131E-2</v>
      </c>
      <c r="K24" s="274">
        <f>'Calculation - Stage dist'!AP42</f>
        <v>1.6166767318087871E-2</v>
      </c>
      <c r="L24" s="301"/>
      <c r="M24" s="303">
        <v>0.02</v>
      </c>
      <c r="N24" s="303">
        <v>3.6999999999999998E-2</v>
      </c>
      <c r="O24" s="303">
        <v>5.5E-2</v>
      </c>
      <c r="P24" s="303">
        <v>0.06</v>
      </c>
      <c r="Q24" s="303">
        <v>2.2950255393137754E-2</v>
      </c>
      <c r="U24" s="304">
        <f>I24/E24</f>
        <v>1.7780733175365393</v>
      </c>
      <c r="V24" s="304">
        <f>J24/F24</f>
        <v>2.26283271323899</v>
      </c>
      <c r="W24" s="304">
        <f>K24/G24</f>
        <v>1.5949735332077861</v>
      </c>
      <c r="Z24" s="274">
        <v>1.5492477450272144E-2</v>
      </c>
      <c r="AA24" s="274">
        <v>9.1663697791188707E-3</v>
      </c>
      <c r="AB24" s="274">
        <v>7.9352188425559581E-3</v>
      </c>
      <c r="AD24" s="274">
        <v>2.9882288799779371E-2</v>
      </c>
      <c r="AE24" s="274">
        <v>2.7982312125879275E-2</v>
      </c>
      <c r="AF24" s="274">
        <v>1.4830328720690478E-2</v>
      </c>
    </row>
    <row r="25" spans="4:32" x14ac:dyDescent="0.35">
      <c r="E25" s="177">
        <f>1-E21/E20</f>
        <v>0.34562296554736305</v>
      </c>
      <c r="F25" s="177">
        <f>1-F21/F20</f>
        <v>0.33108814420990451</v>
      </c>
      <c r="G25" s="177">
        <f>1-G21/G20</f>
        <v>0.31918740354069031</v>
      </c>
      <c r="H25" s="177"/>
      <c r="I25" s="177">
        <f>1-I21/I20</f>
        <v>0.39596632509408802</v>
      </c>
      <c r="J25" s="177">
        <f>1-J21/J20</f>
        <v>0.38155275304151115</v>
      </c>
      <c r="K25" s="177">
        <f>1-K21/K20</f>
        <v>0.37505788020724462</v>
      </c>
      <c r="L25" s="301"/>
      <c r="M25" s="301"/>
      <c r="N25" s="301"/>
      <c r="O25" s="301"/>
      <c r="P25" s="301"/>
      <c r="Q25" s="301"/>
      <c r="S25" s="293">
        <f>S18-S21</f>
        <v>-6.6861049317594429E-2</v>
      </c>
      <c r="T25" s="293">
        <f>T18-T21</f>
        <v>-3.7048977494415318E-2</v>
      </c>
      <c r="U25" s="293">
        <f>U18-U21</f>
        <v>0</v>
      </c>
      <c r="Z25" s="177">
        <v>0.34175773105948715</v>
      </c>
      <c r="AA25" s="177">
        <v>0.29029161059104791</v>
      </c>
      <c r="AB25" s="177">
        <v>0.28734606500384396</v>
      </c>
      <c r="AC25" s="177"/>
      <c r="AD25" s="177">
        <v>0.43418924150663263</v>
      </c>
      <c r="AE25" s="177">
        <v>0.37427989848775178</v>
      </c>
      <c r="AF25" s="177">
        <v>0.37268834634904346</v>
      </c>
    </row>
    <row r="26" spans="4:32" x14ac:dyDescent="0.35">
      <c r="J26" s="177"/>
      <c r="L26" s="301"/>
      <c r="M26" s="301"/>
      <c r="N26" s="301"/>
      <c r="O26" s="301"/>
      <c r="P26" s="301"/>
      <c r="Q26" s="301"/>
      <c r="S26" s="299">
        <f>S21-S17</f>
        <v>6.6861049317594429E-2</v>
      </c>
    </row>
    <row r="27" spans="4:32" x14ac:dyDescent="0.35">
      <c r="I27" s="296">
        <v>1294.8644780191239</v>
      </c>
      <c r="J27" s="296">
        <v>913.53111467542192</v>
      </c>
      <c r="K27" s="296">
        <v>662.0561215321444</v>
      </c>
      <c r="L27" s="301"/>
      <c r="M27" s="301"/>
      <c r="N27" s="301"/>
      <c r="O27" s="301"/>
      <c r="P27" s="301"/>
      <c r="Q27" s="301"/>
    </row>
    <row r="28" spans="4:32" x14ac:dyDescent="0.35">
      <c r="E28" s="313">
        <f>E9/E13</f>
        <v>1.640081997668928E-3</v>
      </c>
      <c r="F28" s="313">
        <f>F9/F13</f>
        <v>1.9439967982746097E-3</v>
      </c>
      <c r="I28" s="313">
        <f t="shared" ref="I28:K28" si="6">I9/I13</f>
        <v>6.3351108858909471E-3</v>
      </c>
      <c r="J28" s="313">
        <f t="shared" si="6"/>
        <v>1.2476627962264945E-3</v>
      </c>
      <c r="K28" s="313">
        <f t="shared" si="6"/>
        <v>9.6472339957610453E-4</v>
      </c>
      <c r="Z28" s="313">
        <f t="shared" ref="Z28:AA28" si="7">Z9/Z13</f>
        <v>2.522328583275394E-3</v>
      </c>
      <c r="AA28" s="313">
        <f t="shared" si="7"/>
        <v>6.6787078617214517E-4</v>
      </c>
      <c r="AD28" s="313">
        <f t="shared" ref="AD28" si="8">AD9/AD13</f>
        <v>8.3142587907931581E-3</v>
      </c>
    </row>
    <row r="30" spans="4:32" x14ac:dyDescent="0.35">
      <c r="I30" s="293">
        <f>I10-I27</f>
        <v>-241.38527490046363</v>
      </c>
      <c r="J30" s="293">
        <f>J10-J27</f>
        <v>-138.86978041626708</v>
      </c>
      <c r="K30" s="293">
        <f>K10-K27</f>
        <v>253.29828446873478</v>
      </c>
    </row>
  </sheetData>
  <mergeCells count="5">
    <mergeCell ref="I2:K2"/>
    <mergeCell ref="E2:G2"/>
    <mergeCell ref="M2:Q2"/>
    <mergeCell ref="Z2:AB2"/>
    <mergeCell ref="AD2:AF2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72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1" sqref="C1"/>
    </sheetView>
  </sheetViews>
  <sheetFormatPr defaultRowHeight="14.5" x14ac:dyDescent="0.35"/>
  <cols>
    <col min="1" max="1" width="29.1796875" bestFit="1" customWidth="1"/>
    <col min="3" max="3" width="9.81640625" bestFit="1" customWidth="1"/>
    <col min="4" max="38" width="9.54296875" bestFit="1" customWidth="1"/>
    <col min="40" max="62" width="0" hidden="1" customWidth="1"/>
    <col min="65" max="66" width="9.54296875" bestFit="1" customWidth="1"/>
  </cols>
  <sheetData>
    <row r="1" spans="1:67" x14ac:dyDescent="0.35">
      <c r="C1" s="28" t="str">
        <f>LOOKUP(C2,'Input-Stress Parameters'!$C$9:$BJ$9,'Input-Stress Parameters'!$C$11:$BJ$11)</f>
        <v>N</v>
      </c>
      <c r="D1" s="28" t="str">
        <f>LOOKUP(D2,'Input-Stress Parameters'!$C$9:$BJ$9,'Input-Stress Parameters'!$C$11:$BJ$11)</f>
        <v>SL1</v>
      </c>
      <c r="E1" s="28" t="str">
        <f>LOOKUP(E2,'Input-Stress Parameters'!$C$9:$BJ$9,'Input-Stress Parameters'!$C$11:$BJ$11)</f>
        <v>SL1</v>
      </c>
      <c r="F1" s="28" t="str">
        <f>LOOKUP(F2,'Input-Stress Parameters'!$C$9:$BJ$9,'Input-Stress Parameters'!$C$11:$BJ$11)</f>
        <v>SL1</v>
      </c>
      <c r="G1" s="28" t="str">
        <f>LOOKUP(G2,'Input-Stress Parameters'!$C$9:$BJ$9,'Input-Stress Parameters'!$C$11:$BJ$11)</f>
        <v>SL1</v>
      </c>
      <c r="H1" s="28" t="str">
        <f>LOOKUP(H2,'Input-Stress Parameters'!$C$9:$BJ$9,'Input-Stress Parameters'!$C$11:$BJ$11)</f>
        <v>SL1</v>
      </c>
      <c r="I1" s="28" t="str">
        <f>LOOKUP(I2,'Input-Stress Parameters'!$C$9:$BJ$9,'Input-Stress Parameters'!$C$11:$BJ$11)</f>
        <v>SL1</v>
      </c>
      <c r="J1" s="28" t="str">
        <f>LOOKUP(J2,'Input-Stress Parameters'!$C$9:$BJ$9,'Input-Stress Parameters'!$C$11:$BJ$11)</f>
        <v>SL2</v>
      </c>
      <c r="K1" s="28" t="str">
        <f>LOOKUP(K2,'Input-Stress Parameters'!$C$9:$BJ$9,'Input-Stress Parameters'!$C$11:$BJ$11)</f>
        <v>SL2</v>
      </c>
      <c r="L1" s="28" t="str">
        <f>LOOKUP(L2,'Input-Stress Parameters'!$C$9:$BJ$9,'Input-Stress Parameters'!$C$11:$BJ$11)</f>
        <v>SL2</v>
      </c>
      <c r="M1" s="28" t="str">
        <f>LOOKUP(M2,'Input-Stress Parameters'!$C$9:$BJ$9,'Input-Stress Parameters'!$C$11:$BJ$11)</f>
        <v>SL2</v>
      </c>
      <c r="N1" s="28" t="str">
        <f>LOOKUP(N2,'Input-Stress Parameters'!$C$9:$BJ$9,'Input-Stress Parameters'!$C$11:$BJ$11)</f>
        <v>SL2</v>
      </c>
      <c r="O1" s="28" t="str">
        <f>LOOKUP(O2,'Input-Stress Parameters'!$C$9:$BJ$9,'Input-Stress Parameters'!$C$11:$BJ$11)</f>
        <v>SL2</v>
      </c>
      <c r="P1" s="28" t="str">
        <f>LOOKUP(P2,'Input-Stress Parameters'!$C$9:$BJ$9,'Input-Stress Parameters'!$C$11:$BJ$11)</f>
        <v>SL2</v>
      </c>
      <c r="Q1" s="28" t="str">
        <f>LOOKUP(Q2,'Input-Stress Parameters'!$C$9:$BJ$9,'Input-Stress Parameters'!$C$11:$BJ$11)</f>
        <v>SL2</v>
      </c>
      <c r="R1" s="28" t="str">
        <f>LOOKUP(R2,'Input-Stress Parameters'!$C$9:$BJ$9,'Input-Stress Parameters'!$C$11:$BJ$11)</f>
        <v>SL2</v>
      </c>
      <c r="S1" s="28" t="str">
        <f>LOOKUP(S2,'Input-Stress Parameters'!$C$9:$BJ$9,'Input-Stress Parameters'!$C$11:$BJ$11)</f>
        <v>SL2</v>
      </c>
      <c r="T1" s="28" t="str">
        <f>LOOKUP(T2,'Input-Stress Parameters'!$C$9:$BJ$9,'Input-Stress Parameters'!$C$11:$BJ$11)</f>
        <v>SL2</v>
      </c>
      <c r="U1" s="28" t="str">
        <f>LOOKUP(U2,'Input-Stress Parameters'!$C$9:$BJ$9,'Input-Stress Parameters'!$C$11:$BJ$11)</f>
        <v>SL2</v>
      </c>
      <c r="V1" s="28" t="str">
        <f>LOOKUP(V2,'Input-Stress Parameters'!$C$9:$BJ$9,'Input-Stress Parameters'!$C$11:$BJ$11)</f>
        <v>SL3</v>
      </c>
      <c r="W1" s="28" t="str">
        <f>LOOKUP(W2,'Input-Stress Parameters'!$C$9:$BJ$9,'Input-Stress Parameters'!$C$11:$BJ$11)</f>
        <v>SL3</v>
      </c>
      <c r="X1" s="28" t="str">
        <f>LOOKUP(X2,'Input-Stress Parameters'!$C$9:$BJ$9,'Input-Stress Parameters'!$C$11:$BJ$11)</f>
        <v>SL3</v>
      </c>
      <c r="Y1" s="28" t="str">
        <f>LOOKUP(Y2,'Input-Stress Parameters'!$C$9:$BJ$9,'Input-Stress Parameters'!$C$11:$BJ$11)</f>
        <v>SL3</v>
      </c>
      <c r="Z1" s="28" t="str">
        <f>LOOKUP(Z2,'Input-Stress Parameters'!$C$9:$BJ$9,'Input-Stress Parameters'!$C$11:$BJ$11)</f>
        <v>SL3</v>
      </c>
      <c r="AA1" s="28" t="str">
        <f>LOOKUP(AA2,'Input-Stress Parameters'!$C$9:$BJ$9,'Input-Stress Parameters'!$C$11:$BJ$11)</f>
        <v>SL3</v>
      </c>
      <c r="AB1" s="28" t="str">
        <f>LOOKUP(AB2,'Input-Stress Parameters'!$C$9:$BJ$9,'Input-Stress Parameters'!$C$11:$BJ$11)</f>
        <v>SL3</v>
      </c>
      <c r="AC1" s="28" t="str">
        <f>LOOKUP(AC2,'Input-Stress Parameters'!$C$9:$BJ$9,'Input-Stress Parameters'!$C$11:$BJ$11)</f>
        <v>SL3</v>
      </c>
      <c r="AD1" s="28" t="str">
        <f>LOOKUP(AD2,'Input-Stress Parameters'!$C$9:$BJ$9,'Input-Stress Parameters'!$C$11:$BJ$11)</f>
        <v>SL3</v>
      </c>
      <c r="AE1" s="28" t="str">
        <f>LOOKUP(AE2,'Input-Stress Parameters'!$C$9:$BJ$9,'Input-Stress Parameters'!$C$11:$BJ$11)</f>
        <v>SL3</v>
      </c>
      <c r="AF1" s="28" t="str">
        <f>LOOKUP(AF2,'Input-Stress Parameters'!$C$9:$BJ$9,'Input-Stress Parameters'!$C$11:$BJ$11)</f>
        <v>SL3</v>
      </c>
      <c r="AG1" s="28" t="str">
        <f>LOOKUP(AG2,'Input-Stress Parameters'!$C$9:$BJ$9,'Input-Stress Parameters'!$C$11:$BJ$11)</f>
        <v>SL3</v>
      </c>
      <c r="AH1" s="28" t="str">
        <f>LOOKUP(AH2,'Input-Stress Parameters'!$C$9:$BJ$9,'Input-Stress Parameters'!$C$11:$BJ$11)</f>
        <v>N</v>
      </c>
      <c r="AI1" s="28" t="str">
        <f>LOOKUP(AI2,'Input-Stress Parameters'!$C$9:$BJ$9,'Input-Stress Parameters'!$C$11:$BJ$11)</f>
        <v>N</v>
      </c>
      <c r="AJ1" s="28" t="str">
        <f>LOOKUP(AJ2,'Input-Stress Parameters'!$C$9:$BJ$9,'Input-Stress Parameters'!$C$11:$BJ$11)</f>
        <v>N</v>
      </c>
      <c r="AK1" s="28" t="str">
        <f>LOOKUP(AK2,'Input-Stress Parameters'!$C$9:$BJ$9,'Input-Stress Parameters'!$C$11:$BJ$11)</f>
        <v>N</v>
      </c>
      <c r="AL1" s="28" t="str">
        <f>LOOKUP(AL2,'Input-Stress Parameters'!$C$9:$BJ$9,'Input-Stress Parameters'!$C$11:$BJ$11)</f>
        <v>N</v>
      </c>
      <c r="AM1" s="28" t="str">
        <f>LOOKUP(AM2,'Input-Stress Parameters'!$C$9:$BJ$9,'Input-Stress Parameters'!$C$11:$BJ$11)</f>
        <v>N</v>
      </c>
      <c r="AN1" s="28" t="str">
        <f>LOOKUP(AN2,'Input-Stress Parameters'!$C$9:$BJ$9,'Input-Stress Parameters'!$C$11:$BJ$11)</f>
        <v>N</v>
      </c>
      <c r="AO1" s="28" t="str">
        <f>LOOKUP(AO2,'Input-Stress Parameters'!$C$9:$BJ$9,'Input-Stress Parameters'!$C$11:$BJ$11)</f>
        <v>N</v>
      </c>
      <c r="AP1" s="28" t="str">
        <f>LOOKUP(AP2,'Input-Stress Parameters'!$C$9:$BJ$9,'Input-Stress Parameters'!$C$11:$BJ$11)</f>
        <v>N</v>
      </c>
      <c r="AQ1" s="28" t="str">
        <f>LOOKUP(AQ2,'Input-Stress Parameters'!$C$9:$BJ$9,'Input-Stress Parameters'!$C$11:$BJ$11)</f>
        <v>N</v>
      </c>
      <c r="AR1" s="28" t="str">
        <f>LOOKUP(AR2,'Input-Stress Parameters'!$C$9:$BJ$9,'Input-Stress Parameters'!$C$11:$BJ$11)</f>
        <v>N</v>
      </c>
      <c r="AS1" s="28" t="str">
        <f>LOOKUP(AS2,'Input-Stress Parameters'!$C$9:$BJ$9,'Input-Stress Parameters'!$C$11:$BJ$11)</f>
        <v>N</v>
      </c>
      <c r="AT1" s="28" t="str">
        <f>LOOKUP(AT2,'Input-Stress Parameters'!$C$9:$BJ$9,'Input-Stress Parameters'!$C$11:$BJ$11)</f>
        <v>N</v>
      </c>
      <c r="AU1" s="28" t="str">
        <f>LOOKUP(AU2,'Input-Stress Parameters'!$C$9:$BJ$9,'Input-Stress Parameters'!$C$11:$BJ$11)</f>
        <v>N</v>
      </c>
      <c r="AV1" s="28" t="str">
        <f>LOOKUP(AV2,'Input-Stress Parameters'!$C$9:$BJ$9,'Input-Stress Parameters'!$C$11:$BJ$11)</f>
        <v>N</v>
      </c>
      <c r="AW1" s="28" t="str">
        <f>LOOKUP(AW2,'Input-Stress Parameters'!$C$9:$BJ$9,'Input-Stress Parameters'!$C$11:$BJ$11)</f>
        <v>N</v>
      </c>
      <c r="AX1" s="28" t="str">
        <f>LOOKUP(AX2,'Input-Stress Parameters'!$C$9:$BJ$9,'Input-Stress Parameters'!$C$11:$BJ$11)</f>
        <v>N</v>
      </c>
      <c r="AY1" s="28" t="str">
        <f>LOOKUP(AY2,'Input-Stress Parameters'!$C$9:$BJ$9,'Input-Stress Parameters'!$C$11:$BJ$11)</f>
        <v>N</v>
      </c>
      <c r="AZ1" s="28" t="str">
        <f>LOOKUP(AZ2,'Input-Stress Parameters'!$C$9:$BJ$9,'Input-Stress Parameters'!$C$11:$BJ$11)</f>
        <v>N</v>
      </c>
      <c r="BA1" s="28" t="str">
        <f>LOOKUP(BA2,'Input-Stress Parameters'!$C$9:$BJ$9,'Input-Stress Parameters'!$C$11:$BJ$11)</f>
        <v>N</v>
      </c>
      <c r="BB1" s="28" t="str">
        <f>LOOKUP(BB2,'Input-Stress Parameters'!$C$9:$BJ$9,'Input-Stress Parameters'!$C$11:$BJ$11)</f>
        <v>N</v>
      </c>
      <c r="BC1" s="28" t="str">
        <f>LOOKUP(BC2,'Input-Stress Parameters'!$C$9:$BJ$9,'Input-Stress Parameters'!$C$11:$BJ$11)</f>
        <v>N</v>
      </c>
      <c r="BD1" s="28" t="str">
        <f>LOOKUP(BD2,'Input-Stress Parameters'!$C$9:$BJ$9,'Input-Stress Parameters'!$C$11:$BJ$11)</f>
        <v>N</v>
      </c>
      <c r="BE1" s="28" t="str">
        <f>LOOKUP(BE2,'Input-Stress Parameters'!$C$9:$BJ$9,'Input-Stress Parameters'!$C$11:$BJ$11)</f>
        <v>N</v>
      </c>
      <c r="BF1" s="28" t="str">
        <f>LOOKUP(BF2,'Input-Stress Parameters'!$C$9:$BJ$9,'Input-Stress Parameters'!$C$11:$BJ$11)</f>
        <v>N</v>
      </c>
      <c r="BG1" s="28" t="str">
        <f>LOOKUP(BG2,'Input-Stress Parameters'!$C$9:$BJ$9,'Input-Stress Parameters'!$C$11:$BJ$11)</f>
        <v>N</v>
      </c>
      <c r="BH1" s="28" t="str">
        <f>LOOKUP(BH2,'Input-Stress Parameters'!$C$9:$BJ$9,'Input-Stress Parameters'!$C$11:$BJ$11)</f>
        <v>N</v>
      </c>
      <c r="BI1" s="28" t="str">
        <f>LOOKUP(BI2,'Input-Stress Parameters'!$C$9:$BJ$9,'Input-Stress Parameters'!$C$11:$BJ$11)</f>
        <v>N</v>
      </c>
      <c r="BJ1" s="28" t="str">
        <f>LOOKUP(BJ2,'Input-Stress Parameters'!$C$9:$BJ$9,'Input-Stress Parameters'!$C$11:$BJ$11)</f>
        <v>N</v>
      </c>
      <c r="BM1" s="343" t="s">
        <v>255</v>
      </c>
      <c r="BN1" s="343"/>
      <c r="BO1" s="343"/>
    </row>
    <row r="2" spans="1:67" x14ac:dyDescent="0.35">
      <c r="A2" s="25" t="s">
        <v>218</v>
      </c>
      <c r="B2" s="4" t="s">
        <v>3</v>
      </c>
      <c r="C2" s="19">
        <f>'Input-Stress Parameters'!C9</f>
        <v>45352</v>
      </c>
      <c r="D2" s="20">
        <f>EDATE(C2,1)</f>
        <v>45383</v>
      </c>
      <c r="E2" s="20">
        <f>EDATE(D2,1)</f>
        <v>45413</v>
      </c>
      <c r="F2" s="20">
        <f>EDATE(E2,1)</f>
        <v>45444</v>
      </c>
      <c r="G2" s="20">
        <f t="shared" ref="G2:BJ2" si="0">EDATE(F2,1)</f>
        <v>45474</v>
      </c>
      <c r="H2" s="20">
        <f t="shared" si="0"/>
        <v>45505</v>
      </c>
      <c r="I2" s="20">
        <f t="shared" si="0"/>
        <v>45536</v>
      </c>
      <c r="J2" s="20">
        <f t="shared" si="0"/>
        <v>45566</v>
      </c>
      <c r="K2" s="20">
        <f t="shared" si="0"/>
        <v>45597</v>
      </c>
      <c r="L2" s="20">
        <f t="shared" si="0"/>
        <v>45627</v>
      </c>
      <c r="M2" s="20">
        <f t="shared" si="0"/>
        <v>45658</v>
      </c>
      <c r="N2" s="20">
        <f t="shared" si="0"/>
        <v>45689</v>
      </c>
      <c r="O2" s="21">
        <f t="shared" si="0"/>
        <v>45717</v>
      </c>
      <c r="P2" s="20">
        <f t="shared" si="0"/>
        <v>45748</v>
      </c>
      <c r="Q2" s="20">
        <f t="shared" si="0"/>
        <v>45778</v>
      </c>
      <c r="R2" s="20">
        <f t="shared" si="0"/>
        <v>45809</v>
      </c>
      <c r="S2" s="20">
        <f t="shared" si="0"/>
        <v>45839</v>
      </c>
      <c r="T2" s="20">
        <f t="shared" si="0"/>
        <v>45870</v>
      </c>
      <c r="U2" s="20">
        <f t="shared" si="0"/>
        <v>45901</v>
      </c>
      <c r="V2" s="20">
        <f t="shared" si="0"/>
        <v>45931</v>
      </c>
      <c r="W2" s="20">
        <f t="shared" si="0"/>
        <v>45962</v>
      </c>
      <c r="X2" s="20">
        <f t="shared" si="0"/>
        <v>45992</v>
      </c>
      <c r="Y2" s="20">
        <f t="shared" si="0"/>
        <v>46023</v>
      </c>
      <c r="Z2" s="20">
        <f t="shared" si="0"/>
        <v>46054</v>
      </c>
      <c r="AA2" s="21">
        <f t="shared" si="0"/>
        <v>46082</v>
      </c>
      <c r="AB2" s="20">
        <f t="shared" si="0"/>
        <v>46113</v>
      </c>
      <c r="AC2" s="20">
        <f t="shared" si="0"/>
        <v>46143</v>
      </c>
      <c r="AD2" s="20">
        <f t="shared" si="0"/>
        <v>46174</v>
      </c>
      <c r="AE2" s="20">
        <f t="shared" si="0"/>
        <v>46204</v>
      </c>
      <c r="AF2" s="20">
        <f t="shared" si="0"/>
        <v>46235</v>
      </c>
      <c r="AG2" s="20">
        <f t="shared" si="0"/>
        <v>46266</v>
      </c>
      <c r="AH2" s="20">
        <f t="shared" si="0"/>
        <v>46296</v>
      </c>
      <c r="AI2" s="20">
        <f t="shared" si="0"/>
        <v>46327</v>
      </c>
      <c r="AJ2" s="20">
        <f t="shared" si="0"/>
        <v>46357</v>
      </c>
      <c r="AK2" s="20">
        <f t="shared" si="0"/>
        <v>46388</v>
      </c>
      <c r="AL2" s="20">
        <f t="shared" si="0"/>
        <v>46419</v>
      </c>
      <c r="AM2" s="21">
        <f t="shared" si="0"/>
        <v>46447</v>
      </c>
      <c r="AN2" s="20">
        <f t="shared" si="0"/>
        <v>46478</v>
      </c>
      <c r="AO2" s="20">
        <f t="shared" si="0"/>
        <v>46508</v>
      </c>
      <c r="AP2" s="20">
        <f t="shared" si="0"/>
        <v>46539</v>
      </c>
      <c r="AQ2" s="20">
        <f t="shared" si="0"/>
        <v>46569</v>
      </c>
      <c r="AR2" s="20">
        <f t="shared" si="0"/>
        <v>46600</v>
      </c>
      <c r="AS2" s="20">
        <f t="shared" si="0"/>
        <v>46631</v>
      </c>
      <c r="AT2" s="20">
        <f t="shared" si="0"/>
        <v>46661</v>
      </c>
      <c r="AU2" s="20">
        <f t="shared" si="0"/>
        <v>46692</v>
      </c>
      <c r="AV2" s="20">
        <f t="shared" si="0"/>
        <v>46722</v>
      </c>
      <c r="AW2" s="20">
        <f t="shared" si="0"/>
        <v>46753</v>
      </c>
      <c r="AX2" s="21">
        <f t="shared" si="0"/>
        <v>46784</v>
      </c>
      <c r="AY2" s="20">
        <f t="shared" si="0"/>
        <v>46813</v>
      </c>
      <c r="AZ2" s="20">
        <f t="shared" si="0"/>
        <v>46844</v>
      </c>
      <c r="BA2" s="20">
        <f t="shared" si="0"/>
        <v>46874</v>
      </c>
      <c r="BB2" s="20">
        <f t="shared" si="0"/>
        <v>46905</v>
      </c>
      <c r="BC2" s="20">
        <f t="shared" si="0"/>
        <v>46935</v>
      </c>
      <c r="BD2" s="20">
        <f t="shared" si="0"/>
        <v>46966</v>
      </c>
      <c r="BE2" s="20">
        <f t="shared" si="0"/>
        <v>46997</v>
      </c>
      <c r="BF2" s="20">
        <f t="shared" si="0"/>
        <v>47027</v>
      </c>
      <c r="BG2" s="20">
        <f t="shared" si="0"/>
        <v>47058</v>
      </c>
      <c r="BH2" s="20">
        <f t="shared" si="0"/>
        <v>47088</v>
      </c>
      <c r="BI2" s="20">
        <f t="shared" si="0"/>
        <v>47119</v>
      </c>
      <c r="BJ2" s="21">
        <f t="shared" si="0"/>
        <v>47150</v>
      </c>
      <c r="BM2" s="138" t="s">
        <v>168</v>
      </c>
      <c r="BN2" s="139" t="s">
        <v>169</v>
      </c>
      <c r="BO2" s="140" t="s">
        <v>181</v>
      </c>
    </row>
    <row r="3" spans="1:67" x14ac:dyDescent="0.35">
      <c r="A3" s="15" t="str">
        <f>$A$2</f>
        <v>GWO (Stress)</v>
      </c>
      <c r="B3" s="15" t="s">
        <v>188</v>
      </c>
      <c r="C3" s="16">
        <f>SUM(C4:C6)</f>
        <v>66.31761060686307</v>
      </c>
      <c r="D3" s="17">
        <f t="shared" ref="D3:BJ3" si="1">SUM(D4:D6)</f>
        <v>58.280029137327794</v>
      </c>
      <c r="E3" s="17">
        <f t="shared" si="1"/>
        <v>33.734083249568087</v>
      </c>
      <c r="F3" s="17">
        <f t="shared" si="1"/>
        <v>39.460786038252451</v>
      </c>
      <c r="G3" s="17">
        <f t="shared" si="1"/>
        <v>37.144067233132176</v>
      </c>
      <c r="H3" s="17">
        <f t="shared" si="1"/>
        <v>38.522038424804563</v>
      </c>
      <c r="I3" s="17">
        <f t="shared" si="1"/>
        <v>31.964472462626265</v>
      </c>
      <c r="J3" s="17">
        <f t="shared" si="1"/>
        <v>50.814669025122775</v>
      </c>
      <c r="K3" s="17">
        <f t="shared" si="1"/>
        <v>34.107947369610159</v>
      </c>
      <c r="L3" s="17">
        <f t="shared" si="1"/>
        <v>65.692465195749989</v>
      </c>
      <c r="M3" s="17">
        <f t="shared" si="1"/>
        <v>78.279721294805455</v>
      </c>
      <c r="N3" s="17">
        <f t="shared" si="1"/>
        <v>38.69233953460067</v>
      </c>
      <c r="O3" s="18">
        <f t="shared" si="1"/>
        <v>41.657109769743592</v>
      </c>
      <c r="P3" s="17">
        <f t="shared" si="1"/>
        <v>52.548366616441555</v>
      </c>
      <c r="Q3" s="17">
        <f t="shared" si="1"/>
        <v>65.131273849114422</v>
      </c>
      <c r="R3" s="17">
        <f t="shared" si="1"/>
        <v>90.233900111940955</v>
      </c>
      <c r="S3" s="17">
        <f t="shared" si="1"/>
        <v>127.41210566155632</v>
      </c>
      <c r="T3" s="17">
        <f t="shared" si="1"/>
        <v>62.056226977145286</v>
      </c>
      <c r="U3" s="17">
        <f t="shared" si="1"/>
        <v>68.258991418385946</v>
      </c>
      <c r="V3" s="17">
        <f t="shared" si="1"/>
        <v>36.574239923127131</v>
      </c>
      <c r="W3" s="17">
        <f t="shared" si="1"/>
        <v>54.706304574004442</v>
      </c>
      <c r="X3" s="17">
        <f t="shared" si="1"/>
        <v>53.516741751201188</v>
      </c>
      <c r="Y3" s="17">
        <f t="shared" si="1"/>
        <v>55.388029036205026</v>
      </c>
      <c r="Z3" s="17">
        <f t="shared" si="1"/>
        <v>48.82412327317234</v>
      </c>
      <c r="AA3" s="18">
        <f t="shared" si="1"/>
        <v>50.133739283689977</v>
      </c>
      <c r="AB3" s="17">
        <f t="shared" si="1"/>
        <v>130.08430720343</v>
      </c>
      <c r="AC3" s="17">
        <f t="shared" si="1"/>
        <v>69.773965937738694</v>
      </c>
      <c r="AD3" s="17">
        <f t="shared" si="1"/>
        <v>86.786269630150599</v>
      </c>
      <c r="AE3" s="17">
        <f t="shared" si="1"/>
        <v>100.00015579774012</v>
      </c>
      <c r="AF3" s="17">
        <f t="shared" si="1"/>
        <v>91.188678506435224</v>
      </c>
      <c r="AG3" s="17">
        <f t="shared" si="1"/>
        <v>80.913352948407748</v>
      </c>
      <c r="AH3" s="17">
        <f t="shared" si="1"/>
        <v>61.874647171629491</v>
      </c>
      <c r="AI3" s="17">
        <f t="shared" si="1"/>
        <v>57.902019112013619</v>
      </c>
      <c r="AJ3" s="17">
        <f t="shared" si="1"/>
        <v>58.080342788217635</v>
      </c>
      <c r="AK3" s="17">
        <f t="shared" si="1"/>
        <v>61.4811966317178</v>
      </c>
      <c r="AL3" s="17">
        <f t="shared" si="1"/>
        <v>63.688654311977473</v>
      </c>
      <c r="AM3" s="18">
        <f t="shared" si="1"/>
        <v>67.615793691936517</v>
      </c>
      <c r="AN3" s="17">
        <f t="shared" si="1"/>
        <v>0</v>
      </c>
      <c r="AO3" s="17">
        <f t="shared" si="1"/>
        <v>0</v>
      </c>
      <c r="AP3" s="17">
        <f t="shared" si="1"/>
        <v>0</v>
      </c>
      <c r="AQ3" s="17">
        <f t="shared" si="1"/>
        <v>0</v>
      </c>
      <c r="AR3" s="17">
        <f t="shared" si="1"/>
        <v>0</v>
      </c>
      <c r="AS3" s="17">
        <f t="shared" si="1"/>
        <v>0</v>
      </c>
      <c r="AT3" s="17">
        <f t="shared" si="1"/>
        <v>0</v>
      </c>
      <c r="AU3" s="17">
        <f t="shared" si="1"/>
        <v>0</v>
      </c>
      <c r="AV3" s="17">
        <f t="shared" si="1"/>
        <v>0</v>
      </c>
      <c r="AW3" s="17">
        <f t="shared" si="1"/>
        <v>0</v>
      </c>
      <c r="AX3" s="18">
        <f t="shared" si="1"/>
        <v>0</v>
      </c>
      <c r="AY3" s="17">
        <f t="shared" si="1"/>
        <v>0</v>
      </c>
      <c r="AZ3" s="17">
        <f t="shared" si="1"/>
        <v>0</v>
      </c>
      <c r="BA3" s="17">
        <f t="shared" si="1"/>
        <v>0</v>
      </c>
      <c r="BB3" s="17">
        <f t="shared" si="1"/>
        <v>0</v>
      </c>
      <c r="BC3" s="17">
        <f t="shared" si="1"/>
        <v>0</v>
      </c>
      <c r="BD3" s="17">
        <f t="shared" si="1"/>
        <v>0</v>
      </c>
      <c r="BE3" s="17">
        <f t="shared" si="1"/>
        <v>0</v>
      </c>
      <c r="BF3" s="17">
        <f t="shared" si="1"/>
        <v>0</v>
      </c>
      <c r="BG3" s="17">
        <f t="shared" si="1"/>
        <v>0</v>
      </c>
      <c r="BH3" s="17">
        <f t="shared" si="1"/>
        <v>0</v>
      </c>
      <c r="BI3" s="17">
        <f t="shared" si="1"/>
        <v>0</v>
      </c>
      <c r="BJ3" s="18">
        <f t="shared" si="1"/>
        <v>0</v>
      </c>
      <c r="BM3" s="16">
        <f t="shared" ref="BM3:BO3" si="2">SUM(BM4:BM6)</f>
        <v>548.349728735344</v>
      </c>
      <c r="BN3" s="17">
        <f t="shared" si="2"/>
        <v>764.78404247598451</v>
      </c>
      <c r="BO3" s="18">
        <f t="shared" si="2"/>
        <v>929.3893837313949</v>
      </c>
    </row>
    <row r="4" spans="1:67" x14ac:dyDescent="0.35">
      <c r="A4" s="1" t="str">
        <f t="shared" ref="A4:A6" si="3">$A$2</f>
        <v>GWO (Stress)</v>
      </c>
      <c r="B4" s="1" t="s">
        <v>157</v>
      </c>
      <c r="C4" s="52">
        <f>'Calculation - NCL and ECL'!E25</f>
        <v>27.583751918216553</v>
      </c>
      <c r="D4" s="53">
        <f>'Calculation - NCL and ECL'!F25</f>
        <v>41.364333390057979</v>
      </c>
      <c r="E4" s="53">
        <f>'Calculation - NCL and ECL'!G25</f>
        <v>16.612729509651523</v>
      </c>
      <c r="F4" s="53">
        <f>'Calculation - NCL and ECL'!H25</f>
        <v>22.733167972583935</v>
      </c>
      <c r="G4" s="53">
        <f>'Calculation - NCL and ECL'!I25</f>
        <v>17.815778169340653</v>
      </c>
      <c r="H4" s="53">
        <f>'Calculation - NCL and ECL'!J25</f>
        <v>21.977914717867009</v>
      </c>
      <c r="I4" s="53">
        <f>'Calculation - NCL and ECL'!K25</f>
        <v>15.819071103875526</v>
      </c>
      <c r="J4" s="53">
        <f>'Calculation - NCL and ECL'!L25</f>
        <v>29.97582872372082</v>
      </c>
      <c r="K4" s="53">
        <f>'Calculation - NCL and ECL'!M25</f>
        <v>19.206647080296822</v>
      </c>
      <c r="L4" s="53">
        <f>'Calculation - NCL and ECL'!N25</f>
        <v>18.353950714252619</v>
      </c>
      <c r="M4" s="53">
        <f>'Calculation - NCL and ECL'!O25</f>
        <v>20.849443828113877</v>
      </c>
      <c r="N4" s="53">
        <f>'Calculation - NCL and ECL'!P25</f>
        <v>20.229415405083707</v>
      </c>
      <c r="O4" s="54">
        <f>'Calculation - NCL and ECL'!Q25</f>
        <v>22.305642396437925</v>
      </c>
      <c r="P4" s="53">
        <f>'Calculation - NCL and ECL'!R25</f>
        <v>28.15234125450138</v>
      </c>
      <c r="Q4" s="53">
        <f>'Calculation - NCL and ECL'!S25</f>
        <v>37.87215623772066</v>
      </c>
      <c r="R4" s="53">
        <f>'Calculation - NCL and ECL'!T25</f>
        <v>42.202711544044085</v>
      </c>
      <c r="S4" s="53">
        <f>'Calculation - NCL and ECL'!U25</f>
        <v>104.01461134126491</v>
      </c>
      <c r="T4" s="53">
        <f>'Calculation - NCL and ECL'!V25</f>
        <v>31.391917579429521</v>
      </c>
      <c r="U4" s="53">
        <f>'Calculation - NCL and ECL'!W25</f>
        <v>29.935714695232836</v>
      </c>
      <c r="V4" s="53">
        <f>'Calculation - NCL and ECL'!X25</f>
        <v>24.536892411322256</v>
      </c>
      <c r="W4" s="53">
        <f>'Calculation - NCL and ECL'!Y25</f>
        <v>41.119184616347425</v>
      </c>
      <c r="X4" s="53">
        <f>'Calculation - NCL and ECL'!Z25</f>
        <v>34.484288988463405</v>
      </c>
      <c r="Y4" s="53">
        <f>'Calculation - NCL and ECL'!AA25</f>
        <v>37.694446741993687</v>
      </c>
      <c r="Z4" s="53">
        <f>'Calculation - NCL and ECL'!AB25</f>
        <v>32.021939111590754</v>
      </c>
      <c r="AA4" s="54">
        <f>'Calculation - NCL and ECL'!AC25</f>
        <v>36.629027208723379</v>
      </c>
      <c r="AB4" s="53">
        <f>'Calculation - NCL and ECL'!AD25</f>
        <v>105.73616413720455</v>
      </c>
      <c r="AC4" s="53">
        <f>'Calculation - NCL and ECL'!AE25</f>
        <v>44.745054411108406</v>
      </c>
      <c r="AD4" s="53">
        <f>'Calculation - NCL and ECL'!AF25</f>
        <v>50.40417831301788</v>
      </c>
      <c r="AE4" s="53">
        <f>'Calculation - NCL and ECL'!AG25</f>
        <v>70.152969793325781</v>
      </c>
      <c r="AF4" s="53">
        <f>'Calculation - NCL and ECL'!AH25</f>
        <v>67.423250179782229</v>
      </c>
      <c r="AG4" s="53">
        <f>'Calculation - NCL and ECL'!AI25</f>
        <v>56.041306740448071</v>
      </c>
      <c r="AH4" s="53">
        <f>'Calculation - NCL and ECL'!AJ25</f>
        <v>43.258965642747384</v>
      </c>
      <c r="AI4" s="53">
        <f>'Calculation - NCL and ECL'!AK25</f>
        <v>37.640120917786959</v>
      </c>
      <c r="AJ4" s="53">
        <f>'Calculation - NCL and ECL'!AL25</f>
        <v>39.448116014575795</v>
      </c>
      <c r="AK4" s="53">
        <f>'Calculation - NCL and ECL'!AM25</f>
        <v>42.388493000833407</v>
      </c>
      <c r="AL4" s="53">
        <f>'Calculation - NCL and ECL'!AN25</f>
        <v>43.740300886410978</v>
      </c>
      <c r="AM4" s="54">
        <f>'Calculation - NCL and ECL'!AO25</f>
        <v>47.199752897967137</v>
      </c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4"/>
      <c r="AY4" s="53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4"/>
      <c r="BM4" s="52">
        <f>SUM(D4:O4)</f>
        <v>267.24392301128239</v>
      </c>
      <c r="BN4" s="53">
        <f>SUM(P4:AA4)</f>
        <v>480.05523173063426</v>
      </c>
      <c r="BO4" s="54">
        <f>SUM(AB4:AM4)</f>
        <v>648.17867293520862</v>
      </c>
    </row>
    <row r="5" spans="1:67" x14ac:dyDescent="0.35">
      <c r="A5" s="2" t="str">
        <f t="shared" si="3"/>
        <v>GWO (Stress)</v>
      </c>
      <c r="B5" s="2" t="s">
        <v>158</v>
      </c>
      <c r="C5" s="55">
        <f>'Calculation - NCL and ECL'!E26</f>
        <v>38.733858688646514</v>
      </c>
      <c r="D5" s="56">
        <f>'Calculation - NCL and ECL'!F26</f>
        <v>16.915695747269815</v>
      </c>
      <c r="E5" s="56">
        <f>'Calculation - NCL and ECL'!G26</f>
        <v>17.121353739916561</v>
      </c>
      <c r="F5" s="56">
        <f>'Calculation - NCL and ECL'!H26</f>
        <v>16.727618065668516</v>
      </c>
      <c r="G5" s="56">
        <f>'Calculation - NCL and ECL'!I26</f>
        <v>19.328289063791519</v>
      </c>
      <c r="H5" s="56">
        <f>'Calculation - NCL and ECL'!J26</f>
        <v>16.544123706937551</v>
      </c>
      <c r="I5" s="56">
        <f>'Calculation - NCL and ECL'!K26</f>
        <v>16.145401358750739</v>
      </c>
      <c r="J5" s="56">
        <f>'Calculation - NCL and ECL'!L26</f>
        <v>20.838840301401955</v>
      </c>
      <c r="K5" s="56">
        <f>'Calculation - NCL and ECL'!M26</f>
        <v>14.90130028931334</v>
      </c>
      <c r="L5" s="56">
        <f>'Calculation - NCL and ECL'!N26</f>
        <v>47.33851448149737</v>
      </c>
      <c r="M5" s="56">
        <f>'Calculation - NCL and ECL'!O26</f>
        <v>57.430277466691571</v>
      </c>
      <c r="N5" s="56">
        <f>'Calculation - NCL and ECL'!P26</f>
        <v>18.462924129516963</v>
      </c>
      <c r="O5" s="57">
        <f>'Calculation - NCL and ECL'!Q26</f>
        <v>19.351467373305667</v>
      </c>
      <c r="P5" s="56">
        <f>'Calculation - NCL and ECL'!R26</f>
        <v>24.396025361940175</v>
      </c>
      <c r="Q5" s="56">
        <f>'Calculation - NCL and ECL'!S26</f>
        <v>27.259117611393762</v>
      </c>
      <c r="R5" s="56">
        <f>'Calculation - NCL and ECL'!T26</f>
        <v>48.031188567896876</v>
      </c>
      <c r="S5" s="56">
        <f>'Calculation - NCL and ECL'!U26</f>
        <v>23.397494320291408</v>
      </c>
      <c r="T5" s="56">
        <f>'Calculation - NCL and ECL'!V26</f>
        <v>30.664309397715762</v>
      </c>
      <c r="U5" s="56">
        <f>'Calculation - NCL and ECL'!W26</f>
        <v>38.323276723153107</v>
      </c>
      <c r="V5" s="56">
        <f>'Calculation - NCL and ECL'!X26</f>
        <v>12.037347511804873</v>
      </c>
      <c r="W5" s="56">
        <f>'Calculation - NCL and ECL'!Y26</f>
        <v>13.587119957657016</v>
      </c>
      <c r="X5" s="56">
        <f>'Calculation - NCL and ECL'!Z26</f>
        <v>19.032452762737783</v>
      </c>
      <c r="Y5" s="56">
        <f>'Calculation - NCL and ECL'!AA26</f>
        <v>17.693582294211335</v>
      </c>
      <c r="Z5" s="56">
        <f>'Calculation - NCL and ECL'!AB26</f>
        <v>16.802184161581586</v>
      </c>
      <c r="AA5" s="57">
        <f>'Calculation - NCL and ECL'!AC26</f>
        <v>13.504712074966601</v>
      </c>
      <c r="AB5" s="56">
        <f>'Calculation - NCL and ECL'!AD26</f>
        <v>24.348143066225433</v>
      </c>
      <c r="AC5" s="56">
        <f>'Calculation - NCL and ECL'!AE26</f>
        <v>25.028911526630282</v>
      </c>
      <c r="AD5" s="56">
        <f>'Calculation - NCL and ECL'!AF26</f>
        <v>36.382091317132719</v>
      </c>
      <c r="AE5" s="56">
        <f>'Calculation - NCL and ECL'!AG26</f>
        <v>29.84718600441434</v>
      </c>
      <c r="AF5" s="56">
        <f>'Calculation - NCL and ECL'!AH26</f>
        <v>23.765428326652987</v>
      </c>
      <c r="AG5" s="56">
        <f>'Calculation - NCL and ECL'!AI26</f>
        <v>24.87204620795967</v>
      </c>
      <c r="AH5" s="56">
        <f>'Calculation - NCL and ECL'!AJ26</f>
        <v>18.615681528882106</v>
      </c>
      <c r="AI5" s="56">
        <f>'Calculation - NCL and ECL'!AK26</f>
        <v>20.261898194226664</v>
      </c>
      <c r="AJ5" s="56">
        <f>'Calculation - NCL and ECL'!AL26</f>
        <v>18.632226773641843</v>
      </c>
      <c r="AK5" s="56">
        <f>'Calculation - NCL and ECL'!AM26</f>
        <v>19.092703630884394</v>
      </c>
      <c r="AL5" s="56">
        <f>'Calculation - NCL and ECL'!AN26</f>
        <v>19.948353425566491</v>
      </c>
      <c r="AM5" s="57">
        <f>'Calculation - NCL and ECL'!AO26</f>
        <v>20.41604079396938</v>
      </c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7"/>
      <c r="AY5" s="56"/>
      <c r="AZ5" s="56"/>
      <c r="BA5" s="56"/>
      <c r="BB5" s="56"/>
      <c r="BC5" s="56"/>
      <c r="BD5" s="56"/>
      <c r="BE5" s="56"/>
      <c r="BF5" s="56"/>
      <c r="BG5" s="56"/>
      <c r="BH5" s="56"/>
      <c r="BI5" s="56"/>
      <c r="BJ5" s="57"/>
      <c r="BM5" s="55">
        <f t="shared" ref="BM5:BM6" si="4">SUM(D5:O5)</f>
        <v>281.10580572406161</v>
      </c>
      <c r="BN5" s="56">
        <f t="shared" ref="BN5:BN6" si="5">SUM(P5:AA5)</f>
        <v>284.7288107453503</v>
      </c>
      <c r="BO5" s="57">
        <f t="shared" ref="BO5:BO6" si="6">SUM(AB5:AM5)</f>
        <v>281.21071079618628</v>
      </c>
    </row>
    <row r="6" spans="1:67" x14ac:dyDescent="0.35">
      <c r="A6" s="3" t="str">
        <f t="shared" si="3"/>
        <v>GWO (Stress)</v>
      </c>
      <c r="B6" s="3" t="s">
        <v>159</v>
      </c>
      <c r="C6" s="58">
        <f>'Calculation - NCL and ECL'!E27</f>
        <v>0</v>
      </c>
      <c r="D6" s="59">
        <f>'Calculation - NCL and ECL'!F27</f>
        <v>0</v>
      </c>
      <c r="E6" s="59">
        <f>'Calculation - NCL and ECL'!G27</f>
        <v>0</v>
      </c>
      <c r="F6" s="59">
        <f>'Calculation - NCL and ECL'!H27</f>
        <v>0</v>
      </c>
      <c r="G6" s="59">
        <f>'Calculation - NCL and ECL'!I27</f>
        <v>0</v>
      </c>
      <c r="H6" s="59">
        <f>'Calculation - NCL and ECL'!J27</f>
        <v>0</v>
      </c>
      <c r="I6" s="59">
        <f>'Calculation - NCL and ECL'!K27</f>
        <v>0</v>
      </c>
      <c r="J6" s="59">
        <f>'Calculation - NCL and ECL'!L27</f>
        <v>0</v>
      </c>
      <c r="K6" s="59">
        <f>'Calculation - NCL and ECL'!M27</f>
        <v>0</v>
      </c>
      <c r="L6" s="59">
        <f>'Calculation - NCL and ECL'!N27</f>
        <v>0</v>
      </c>
      <c r="M6" s="59">
        <f>'Calculation - NCL and ECL'!O27</f>
        <v>0</v>
      </c>
      <c r="N6" s="59">
        <f>'Calculation - NCL and ECL'!P27</f>
        <v>0</v>
      </c>
      <c r="O6" s="60">
        <f>'Calculation - NCL and ECL'!Q27</f>
        <v>0</v>
      </c>
      <c r="P6" s="59">
        <f>'Calculation - NCL and ECL'!R27</f>
        <v>0</v>
      </c>
      <c r="Q6" s="59">
        <f>'Calculation - NCL and ECL'!S27</f>
        <v>0</v>
      </c>
      <c r="R6" s="59">
        <f>'Calculation - NCL and ECL'!T27</f>
        <v>0</v>
      </c>
      <c r="S6" s="59">
        <f>'Calculation - NCL and ECL'!U27</f>
        <v>0</v>
      </c>
      <c r="T6" s="59">
        <f>'Calculation - NCL and ECL'!V27</f>
        <v>0</v>
      </c>
      <c r="U6" s="59">
        <f>'Calculation - NCL and ECL'!W27</f>
        <v>0</v>
      </c>
      <c r="V6" s="59">
        <f>'Calculation - NCL and ECL'!X27</f>
        <v>0</v>
      </c>
      <c r="W6" s="59">
        <f>'Calculation - NCL and ECL'!Y27</f>
        <v>0</v>
      </c>
      <c r="X6" s="59">
        <f>'Calculation - NCL and ECL'!Z27</f>
        <v>0</v>
      </c>
      <c r="Y6" s="59">
        <f>'Calculation - NCL and ECL'!AA27</f>
        <v>0</v>
      </c>
      <c r="Z6" s="59">
        <f>'Calculation - NCL and ECL'!AB27</f>
        <v>0</v>
      </c>
      <c r="AA6" s="60">
        <f>'Calculation - NCL and ECL'!AC27</f>
        <v>0</v>
      </c>
      <c r="AB6" s="59">
        <f>'Calculation - NCL and ECL'!AD27</f>
        <v>0</v>
      </c>
      <c r="AC6" s="59">
        <f>'Calculation - NCL and ECL'!AE27</f>
        <v>0</v>
      </c>
      <c r="AD6" s="59">
        <f>'Calculation - NCL and ECL'!AF27</f>
        <v>0</v>
      </c>
      <c r="AE6" s="59">
        <f>'Calculation - NCL and ECL'!AG27</f>
        <v>0</v>
      </c>
      <c r="AF6" s="59">
        <f>'Calculation - NCL and ECL'!AH27</f>
        <v>0</v>
      </c>
      <c r="AG6" s="59">
        <f>'Calculation - NCL and ECL'!AI27</f>
        <v>0</v>
      </c>
      <c r="AH6" s="59">
        <f>'Calculation - NCL and ECL'!AJ27</f>
        <v>0</v>
      </c>
      <c r="AI6" s="59">
        <f>'Calculation - NCL and ECL'!AK27</f>
        <v>0</v>
      </c>
      <c r="AJ6" s="59">
        <f>'Calculation - NCL and ECL'!AL27</f>
        <v>0</v>
      </c>
      <c r="AK6" s="59">
        <f>'Calculation - NCL and ECL'!AM27</f>
        <v>0</v>
      </c>
      <c r="AL6" s="59">
        <f>'Calculation - NCL and ECL'!AN27</f>
        <v>0</v>
      </c>
      <c r="AM6" s="60">
        <f>'Calculation - NCL and ECL'!AO27</f>
        <v>0</v>
      </c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60"/>
      <c r="AY6" s="59"/>
      <c r="AZ6" s="59"/>
      <c r="BA6" s="59"/>
      <c r="BB6" s="59"/>
      <c r="BC6" s="59"/>
      <c r="BD6" s="59"/>
      <c r="BE6" s="59"/>
      <c r="BF6" s="59"/>
      <c r="BG6" s="59"/>
      <c r="BH6" s="59"/>
      <c r="BI6" s="59"/>
      <c r="BJ6" s="60"/>
      <c r="BM6" s="58">
        <f t="shared" si="4"/>
        <v>0</v>
      </c>
      <c r="BN6" s="59">
        <f t="shared" si="5"/>
        <v>0</v>
      </c>
      <c r="BO6" s="60">
        <f t="shared" si="6"/>
        <v>0</v>
      </c>
    </row>
    <row r="8" spans="1:67" x14ac:dyDescent="0.35">
      <c r="A8" s="25" t="s">
        <v>219</v>
      </c>
      <c r="B8" s="4" t="s">
        <v>3</v>
      </c>
      <c r="C8" s="19">
        <f>C2</f>
        <v>45352</v>
      </c>
      <c r="D8" s="20">
        <f>EDATE(C8,1)</f>
        <v>45383</v>
      </c>
      <c r="E8" s="20">
        <f>EDATE(D8,1)</f>
        <v>45413</v>
      </c>
      <c r="F8" s="20">
        <f>EDATE(E8,1)</f>
        <v>45444</v>
      </c>
      <c r="G8" s="20">
        <f t="shared" ref="G8:BJ8" si="7">EDATE(F8,1)</f>
        <v>45474</v>
      </c>
      <c r="H8" s="20">
        <f t="shared" si="7"/>
        <v>45505</v>
      </c>
      <c r="I8" s="20">
        <f t="shared" si="7"/>
        <v>45536</v>
      </c>
      <c r="J8" s="20">
        <f t="shared" si="7"/>
        <v>45566</v>
      </c>
      <c r="K8" s="20">
        <f t="shared" si="7"/>
        <v>45597</v>
      </c>
      <c r="L8" s="20">
        <f t="shared" si="7"/>
        <v>45627</v>
      </c>
      <c r="M8" s="20">
        <f t="shared" si="7"/>
        <v>45658</v>
      </c>
      <c r="N8" s="20">
        <f t="shared" si="7"/>
        <v>45689</v>
      </c>
      <c r="O8" s="21">
        <f t="shared" si="7"/>
        <v>45717</v>
      </c>
      <c r="P8" s="20">
        <f t="shared" si="7"/>
        <v>45748</v>
      </c>
      <c r="Q8" s="20">
        <f t="shared" si="7"/>
        <v>45778</v>
      </c>
      <c r="R8" s="20">
        <f t="shared" si="7"/>
        <v>45809</v>
      </c>
      <c r="S8" s="20">
        <f t="shared" si="7"/>
        <v>45839</v>
      </c>
      <c r="T8" s="20">
        <f t="shared" si="7"/>
        <v>45870</v>
      </c>
      <c r="U8" s="20">
        <f t="shared" si="7"/>
        <v>45901</v>
      </c>
      <c r="V8" s="20">
        <f t="shared" si="7"/>
        <v>45931</v>
      </c>
      <c r="W8" s="20">
        <f t="shared" si="7"/>
        <v>45962</v>
      </c>
      <c r="X8" s="20">
        <f t="shared" si="7"/>
        <v>45992</v>
      </c>
      <c r="Y8" s="20">
        <f t="shared" si="7"/>
        <v>46023</v>
      </c>
      <c r="Z8" s="20">
        <f t="shared" si="7"/>
        <v>46054</v>
      </c>
      <c r="AA8" s="21">
        <f t="shared" si="7"/>
        <v>46082</v>
      </c>
      <c r="AB8" s="20">
        <f t="shared" si="7"/>
        <v>46113</v>
      </c>
      <c r="AC8" s="20">
        <f t="shared" si="7"/>
        <v>46143</v>
      </c>
      <c r="AD8" s="20">
        <f t="shared" si="7"/>
        <v>46174</v>
      </c>
      <c r="AE8" s="20">
        <f t="shared" si="7"/>
        <v>46204</v>
      </c>
      <c r="AF8" s="20">
        <f t="shared" si="7"/>
        <v>46235</v>
      </c>
      <c r="AG8" s="20">
        <f t="shared" si="7"/>
        <v>46266</v>
      </c>
      <c r="AH8" s="20">
        <f t="shared" si="7"/>
        <v>46296</v>
      </c>
      <c r="AI8" s="20">
        <f t="shared" si="7"/>
        <v>46327</v>
      </c>
      <c r="AJ8" s="20">
        <f t="shared" si="7"/>
        <v>46357</v>
      </c>
      <c r="AK8" s="20">
        <f t="shared" si="7"/>
        <v>46388</v>
      </c>
      <c r="AL8" s="20">
        <f t="shared" si="7"/>
        <v>46419</v>
      </c>
      <c r="AM8" s="21">
        <f t="shared" si="7"/>
        <v>46447</v>
      </c>
      <c r="AN8" s="20">
        <f t="shared" si="7"/>
        <v>46478</v>
      </c>
      <c r="AO8" s="20">
        <f t="shared" si="7"/>
        <v>46508</v>
      </c>
      <c r="AP8" s="20">
        <f t="shared" si="7"/>
        <v>46539</v>
      </c>
      <c r="AQ8" s="20">
        <f t="shared" si="7"/>
        <v>46569</v>
      </c>
      <c r="AR8" s="20">
        <f t="shared" si="7"/>
        <v>46600</v>
      </c>
      <c r="AS8" s="20">
        <f t="shared" si="7"/>
        <v>46631</v>
      </c>
      <c r="AT8" s="20">
        <f t="shared" si="7"/>
        <v>46661</v>
      </c>
      <c r="AU8" s="20">
        <f t="shared" si="7"/>
        <v>46692</v>
      </c>
      <c r="AV8" s="20">
        <f t="shared" si="7"/>
        <v>46722</v>
      </c>
      <c r="AW8" s="20">
        <f t="shared" si="7"/>
        <v>46753</v>
      </c>
      <c r="AX8" s="21">
        <f t="shared" si="7"/>
        <v>46784</v>
      </c>
      <c r="AY8" s="20">
        <f t="shared" si="7"/>
        <v>46813</v>
      </c>
      <c r="AZ8" s="20">
        <f t="shared" si="7"/>
        <v>46844</v>
      </c>
      <c r="BA8" s="20">
        <f t="shared" si="7"/>
        <v>46874</v>
      </c>
      <c r="BB8" s="20">
        <f t="shared" si="7"/>
        <v>46905</v>
      </c>
      <c r="BC8" s="20">
        <f t="shared" si="7"/>
        <v>46935</v>
      </c>
      <c r="BD8" s="20">
        <f t="shared" si="7"/>
        <v>46966</v>
      </c>
      <c r="BE8" s="20">
        <f t="shared" si="7"/>
        <v>46997</v>
      </c>
      <c r="BF8" s="20">
        <f t="shared" si="7"/>
        <v>47027</v>
      </c>
      <c r="BG8" s="20">
        <f t="shared" si="7"/>
        <v>47058</v>
      </c>
      <c r="BH8" s="20">
        <f t="shared" si="7"/>
        <v>47088</v>
      </c>
      <c r="BI8" s="20">
        <f t="shared" si="7"/>
        <v>47119</v>
      </c>
      <c r="BJ8" s="21">
        <f t="shared" si="7"/>
        <v>47150</v>
      </c>
      <c r="BM8" s="138" t="str">
        <f>BM2</f>
        <v>FY24</v>
      </c>
      <c r="BN8" s="139" t="str">
        <f t="shared" ref="BN8:BO8" si="8">BN2</f>
        <v>FY25</v>
      </c>
      <c r="BO8" s="140" t="str">
        <f t="shared" si="8"/>
        <v>FY26</v>
      </c>
    </row>
    <row r="9" spans="1:67" x14ac:dyDescent="0.35">
      <c r="A9" s="15" t="str">
        <f>$A$8</f>
        <v>Recovery (Stress)</v>
      </c>
      <c r="B9" s="15" t="s">
        <v>188</v>
      </c>
      <c r="C9" s="16">
        <f>SUM(C10:C12)</f>
        <v>0</v>
      </c>
      <c r="D9" s="17">
        <f t="shared" ref="D9:BJ9" si="9">SUM(D10:D12)</f>
        <v>6.5699547349988983</v>
      </c>
      <c r="E9" s="17">
        <f t="shared" si="9"/>
        <v>7.7444647374391238</v>
      </c>
      <c r="F9" s="17">
        <f t="shared" si="9"/>
        <v>8.4426556278604448</v>
      </c>
      <c r="G9" s="17">
        <f t="shared" si="9"/>
        <v>7.0648273276505851</v>
      </c>
      <c r="H9" s="17">
        <f t="shared" si="9"/>
        <v>5.551186636261904</v>
      </c>
      <c r="I9" s="17">
        <f t="shared" si="9"/>
        <v>5.5447483817260226</v>
      </c>
      <c r="J9" s="17">
        <f t="shared" si="9"/>
        <v>7.1814031618008496</v>
      </c>
      <c r="K9" s="17">
        <f t="shared" si="9"/>
        <v>7.2632831533028348</v>
      </c>
      <c r="L9" s="17">
        <f t="shared" si="9"/>
        <v>7.3322447141575235</v>
      </c>
      <c r="M9" s="17">
        <f t="shared" si="9"/>
        <v>7.5330745060478677</v>
      </c>
      <c r="N9" s="17">
        <f t="shared" si="9"/>
        <v>9.7136744391543459</v>
      </c>
      <c r="O9" s="18">
        <f t="shared" si="9"/>
        <v>10.966289407474431</v>
      </c>
      <c r="P9" s="17">
        <f t="shared" si="9"/>
        <v>6.9191030459142819</v>
      </c>
      <c r="Q9" s="17">
        <f t="shared" si="9"/>
        <v>6.9466474099044717</v>
      </c>
      <c r="R9" s="17">
        <f t="shared" si="9"/>
        <v>7.0326920901302614</v>
      </c>
      <c r="S9" s="17">
        <f t="shared" si="9"/>
        <v>7.2575358429192285</v>
      </c>
      <c r="T9" s="17">
        <f t="shared" si="9"/>
        <v>7.7937717733213825</v>
      </c>
      <c r="U9" s="17">
        <f t="shared" si="9"/>
        <v>8.3543758546434645</v>
      </c>
      <c r="V9" s="17">
        <f t="shared" si="9"/>
        <v>11.751302594934231</v>
      </c>
      <c r="W9" s="17">
        <f t="shared" si="9"/>
        <v>11.897074059270839</v>
      </c>
      <c r="X9" s="17">
        <f t="shared" si="9"/>
        <v>11.9334562651052</v>
      </c>
      <c r="Y9" s="17">
        <f t="shared" si="9"/>
        <v>11.85331509751413</v>
      </c>
      <c r="Z9" s="17">
        <f t="shared" si="9"/>
        <v>11.817602658567008</v>
      </c>
      <c r="AA9" s="18">
        <f t="shared" si="9"/>
        <v>11.773802010058638</v>
      </c>
      <c r="AB9" s="17">
        <f t="shared" si="9"/>
        <v>8.4742669237692674</v>
      </c>
      <c r="AC9" s="17">
        <f t="shared" si="9"/>
        <v>8.5982774891342491</v>
      </c>
      <c r="AD9" s="17">
        <f t="shared" si="9"/>
        <v>8.765201870225436</v>
      </c>
      <c r="AE9" s="17">
        <f t="shared" si="9"/>
        <v>9.0216326960725564</v>
      </c>
      <c r="AF9" s="17">
        <f t="shared" si="9"/>
        <v>9.190345574991305</v>
      </c>
      <c r="AG9" s="17">
        <f t="shared" si="9"/>
        <v>9.3972569671776665</v>
      </c>
      <c r="AH9" s="17">
        <f t="shared" si="9"/>
        <v>13.067451524870179</v>
      </c>
      <c r="AI9" s="17">
        <f t="shared" si="9"/>
        <v>13.163769417431551</v>
      </c>
      <c r="AJ9" s="17">
        <f t="shared" si="9"/>
        <v>13.176973826948704</v>
      </c>
      <c r="AK9" s="17">
        <f t="shared" si="9"/>
        <v>13.649693017426296</v>
      </c>
      <c r="AL9" s="17">
        <f t="shared" si="9"/>
        <v>14.587486826084579</v>
      </c>
      <c r="AM9" s="18">
        <f t="shared" si="9"/>
        <v>14.537555438988861</v>
      </c>
      <c r="AN9" s="17">
        <f t="shared" si="9"/>
        <v>0</v>
      </c>
      <c r="AO9" s="17">
        <f t="shared" si="9"/>
        <v>0</v>
      </c>
      <c r="AP9" s="17">
        <f t="shared" si="9"/>
        <v>0</v>
      </c>
      <c r="AQ9" s="17">
        <f t="shared" si="9"/>
        <v>0</v>
      </c>
      <c r="AR9" s="17">
        <f t="shared" si="9"/>
        <v>0</v>
      </c>
      <c r="AS9" s="17">
        <f t="shared" si="9"/>
        <v>0</v>
      </c>
      <c r="AT9" s="17">
        <f t="shared" si="9"/>
        <v>0</v>
      </c>
      <c r="AU9" s="17">
        <f t="shared" si="9"/>
        <v>0</v>
      </c>
      <c r="AV9" s="17">
        <f t="shared" si="9"/>
        <v>0</v>
      </c>
      <c r="AW9" s="17">
        <f t="shared" si="9"/>
        <v>0</v>
      </c>
      <c r="AX9" s="18">
        <f t="shared" si="9"/>
        <v>0</v>
      </c>
      <c r="AY9" s="17">
        <f t="shared" si="9"/>
        <v>0</v>
      </c>
      <c r="AZ9" s="17">
        <f t="shared" si="9"/>
        <v>0</v>
      </c>
      <c r="BA9" s="17">
        <f t="shared" si="9"/>
        <v>0</v>
      </c>
      <c r="BB9" s="17">
        <f t="shared" si="9"/>
        <v>0</v>
      </c>
      <c r="BC9" s="17">
        <f t="shared" si="9"/>
        <v>0</v>
      </c>
      <c r="BD9" s="17">
        <f t="shared" si="9"/>
        <v>0</v>
      </c>
      <c r="BE9" s="17">
        <f t="shared" si="9"/>
        <v>0</v>
      </c>
      <c r="BF9" s="17">
        <f t="shared" si="9"/>
        <v>0</v>
      </c>
      <c r="BG9" s="17">
        <f t="shared" si="9"/>
        <v>0</v>
      </c>
      <c r="BH9" s="17">
        <f t="shared" si="9"/>
        <v>0</v>
      </c>
      <c r="BI9" s="17">
        <f t="shared" si="9"/>
        <v>0</v>
      </c>
      <c r="BJ9" s="18">
        <f t="shared" si="9"/>
        <v>0</v>
      </c>
      <c r="BM9" s="16">
        <f t="shared" ref="BM9:BO9" si="10">SUM(BM10:BM12)</f>
        <v>90.907806827874836</v>
      </c>
      <c r="BN9" s="17">
        <f t="shared" si="10"/>
        <v>115.33067870228314</v>
      </c>
      <c r="BO9" s="18">
        <f t="shared" si="10"/>
        <v>135.62991157312064</v>
      </c>
    </row>
    <row r="10" spans="1:67" x14ac:dyDescent="0.35">
      <c r="A10" s="1" t="str">
        <f t="shared" ref="A10:A12" si="11">$A$8</f>
        <v>Recovery (Stress)</v>
      </c>
      <c r="B10" s="1" t="s">
        <v>157</v>
      </c>
      <c r="C10" s="52">
        <f>'Calculation - NCL and ECL'!E28</f>
        <v>0</v>
      </c>
      <c r="D10" s="53">
        <f>'Calculation - NCL and ECL'!F28</f>
        <v>4.5369998570019856</v>
      </c>
      <c r="E10" s="53">
        <f>'Calculation - NCL and ECL'!G28</f>
        <v>5.2758892206191899</v>
      </c>
      <c r="F10" s="53">
        <f>'Calculation - NCL and ECL'!H28</f>
        <v>5.7267372524820619</v>
      </c>
      <c r="G10" s="53">
        <f>'Calculation - NCL and ECL'!I28</f>
        <v>4.8491775944112643</v>
      </c>
      <c r="H10" s="53">
        <f>'Calculation - NCL and ECL'!J28</f>
        <v>3.836753005110372</v>
      </c>
      <c r="I10" s="53">
        <f>'Calculation - NCL and ECL'!K28</f>
        <v>3.809965534802576</v>
      </c>
      <c r="J10" s="53">
        <f>'Calculation - NCL and ECL'!L28</f>
        <v>4.8547740103196411</v>
      </c>
      <c r="K10" s="53">
        <f>'Calculation - NCL and ECL'!M28</f>
        <v>4.8916480007357288</v>
      </c>
      <c r="L10" s="53">
        <f>'Calculation - NCL and ECL'!N28</f>
        <v>4.9118243210905845</v>
      </c>
      <c r="M10" s="53">
        <f>'Calculation - NCL and ECL'!O28</f>
        <v>4.9212543212490658</v>
      </c>
      <c r="N10" s="53">
        <f>'Calculation - NCL and ECL'!P28</f>
        <v>6.1614211628561835</v>
      </c>
      <c r="O10" s="54">
        <f>'Calculation - NCL and ECL'!Q28</f>
        <v>6.7629841219470412</v>
      </c>
      <c r="P10" s="53">
        <f>'Calculation - NCL and ECL'!R28</f>
        <v>4.1413355676827202</v>
      </c>
      <c r="Q10" s="53">
        <f>'Calculation - NCL and ECL'!S28</f>
        <v>4.1113520785579691</v>
      </c>
      <c r="R10" s="53">
        <f>'Calculation - NCL and ECL'!T28</f>
        <v>4.1149409046471437</v>
      </c>
      <c r="S10" s="53">
        <f>'Calculation - NCL and ECL'!U28</f>
        <v>4.1664687450456235</v>
      </c>
      <c r="T10" s="53">
        <f>'Calculation - NCL and ECL'!V28</f>
        <v>4.5270066719185911</v>
      </c>
      <c r="U10" s="53">
        <f>'Calculation - NCL and ECL'!W28</f>
        <v>4.9012678908109359</v>
      </c>
      <c r="V10" s="53">
        <f>'Calculation - NCL and ECL'!X28</f>
        <v>6.6364516447387301</v>
      </c>
      <c r="W10" s="53">
        <f>'Calculation - NCL and ECL'!Y28</f>
        <v>6.6777413868835591</v>
      </c>
      <c r="X10" s="53">
        <f>'Calculation - NCL and ECL'!Z28</f>
        <v>6.6845587975721061</v>
      </c>
      <c r="Y10" s="53">
        <f>'Calculation - NCL and ECL'!AA28</f>
        <v>6.6437378599343111</v>
      </c>
      <c r="Z10" s="53">
        <f>'Calculation - NCL and ECL'!AB28</f>
        <v>6.6259620815108393</v>
      </c>
      <c r="AA10" s="54">
        <f>'Calculation - NCL and ECL'!AC28</f>
        <v>6.5776709647662184</v>
      </c>
      <c r="AB10" s="53">
        <f>'Calculation - NCL and ECL'!AD28</f>
        <v>4.9755066765173925</v>
      </c>
      <c r="AC10" s="53">
        <f>'Calculation - NCL and ECL'!AE28</f>
        <v>5.1111155770871699</v>
      </c>
      <c r="AD10" s="53">
        <f>'Calculation - NCL and ECL'!AF28</f>
        <v>5.2720671717034291</v>
      </c>
      <c r="AE10" s="53">
        <f>'Calculation - NCL and ECL'!AG28</f>
        <v>5.4597987910849319</v>
      </c>
      <c r="AF10" s="53">
        <f>'Calculation - NCL and ECL'!AH28</f>
        <v>5.5407307412899716</v>
      </c>
      <c r="AG10" s="53">
        <f>'Calculation - NCL and ECL'!AI28</f>
        <v>5.6754883736885144</v>
      </c>
      <c r="AH10" s="53">
        <f>'Calculation - NCL and ECL'!AJ28</f>
        <v>7.8529737841997536</v>
      </c>
      <c r="AI10" s="53">
        <f>'Calculation - NCL and ECL'!AK28</f>
        <v>7.944185316294627</v>
      </c>
      <c r="AJ10" s="53">
        <f>'Calculation - NCL and ECL'!AL28</f>
        <v>7.9538360027088508</v>
      </c>
      <c r="AK10" s="53">
        <f>'Calculation - NCL and ECL'!AM28</f>
        <v>8.1801869702479557</v>
      </c>
      <c r="AL10" s="53">
        <f>'Calculation - NCL and ECL'!AN28</f>
        <v>9.1307196237244206</v>
      </c>
      <c r="AM10" s="54">
        <f>'Calculation - NCL and ECL'!AO28</f>
        <v>9.0975916366183665</v>
      </c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4"/>
      <c r="AY10" s="53"/>
      <c r="AZ10" s="53"/>
      <c r="BA10" s="53"/>
      <c r="BB10" s="53"/>
      <c r="BC10" s="53"/>
      <c r="BD10" s="53"/>
      <c r="BE10" s="53"/>
      <c r="BF10" s="53"/>
      <c r="BG10" s="53"/>
      <c r="BH10" s="53"/>
      <c r="BI10" s="53"/>
      <c r="BJ10" s="54"/>
      <c r="BM10" s="52">
        <f>SUM(D10:O10)</f>
        <v>60.539428402625695</v>
      </c>
      <c r="BN10" s="53">
        <f>SUM(P10:AA10)</f>
        <v>65.808494594068748</v>
      </c>
      <c r="BO10" s="54">
        <f>SUM(AB10:AM10)</f>
        <v>82.194200665165383</v>
      </c>
    </row>
    <row r="11" spans="1:67" x14ac:dyDescent="0.35">
      <c r="A11" s="2" t="str">
        <f t="shared" si="11"/>
        <v>Recovery (Stress)</v>
      </c>
      <c r="B11" s="2" t="s">
        <v>158</v>
      </c>
      <c r="C11" s="55">
        <f>'Calculation - NCL and ECL'!E29</f>
        <v>0</v>
      </c>
      <c r="D11" s="56">
        <f>'Calculation - NCL and ECL'!F29</f>
        <v>2.0329548779969131</v>
      </c>
      <c r="E11" s="56">
        <f>'Calculation - NCL and ECL'!G29</f>
        <v>2.4685755168199344</v>
      </c>
      <c r="F11" s="56">
        <f>'Calculation - NCL and ECL'!H29</f>
        <v>2.7159183753783833</v>
      </c>
      <c r="G11" s="56">
        <f>'Calculation - NCL and ECL'!I29</f>
        <v>2.2156497332393212</v>
      </c>
      <c r="H11" s="56">
        <f>'Calculation - NCL and ECL'!J29</f>
        <v>1.7144336311515322</v>
      </c>
      <c r="I11" s="56">
        <f>'Calculation - NCL and ECL'!K29</f>
        <v>1.7347828469234463</v>
      </c>
      <c r="J11" s="56">
        <f>'Calculation - NCL and ECL'!L29</f>
        <v>2.3266291514812085</v>
      </c>
      <c r="K11" s="56">
        <f>'Calculation - NCL and ECL'!M29</f>
        <v>2.371635152567106</v>
      </c>
      <c r="L11" s="56">
        <f>'Calculation - NCL and ECL'!N29</f>
        <v>2.420420393066939</v>
      </c>
      <c r="M11" s="56">
        <f>'Calculation - NCL and ECL'!O29</f>
        <v>2.6118201847988023</v>
      </c>
      <c r="N11" s="56">
        <f>'Calculation - NCL and ECL'!P29</f>
        <v>3.552253276298162</v>
      </c>
      <c r="O11" s="57">
        <f>'Calculation - NCL and ECL'!Q29</f>
        <v>4.2033052855273887</v>
      </c>
      <c r="P11" s="56">
        <f>'Calculation - NCL and ECL'!R29</f>
        <v>2.7777674782315618</v>
      </c>
      <c r="Q11" s="56">
        <f>'Calculation - NCL and ECL'!S29</f>
        <v>2.8352953313465021</v>
      </c>
      <c r="R11" s="56">
        <f>'Calculation - NCL and ECL'!T29</f>
        <v>2.9177511854831177</v>
      </c>
      <c r="S11" s="56">
        <f>'Calculation - NCL and ECL'!U29</f>
        <v>3.0910670978736046</v>
      </c>
      <c r="T11" s="56">
        <f>'Calculation - NCL and ECL'!V29</f>
        <v>3.2667651014027914</v>
      </c>
      <c r="U11" s="56">
        <f>'Calculation - NCL and ECL'!W29</f>
        <v>3.4531079638325282</v>
      </c>
      <c r="V11" s="56">
        <f>'Calculation - NCL and ECL'!X29</f>
        <v>5.1148509501955015</v>
      </c>
      <c r="W11" s="56">
        <f>'Calculation - NCL and ECL'!Y29</f>
        <v>5.2193326723872806</v>
      </c>
      <c r="X11" s="56">
        <f>'Calculation - NCL and ECL'!Z29</f>
        <v>5.2488974675330935</v>
      </c>
      <c r="Y11" s="56">
        <f>'Calculation - NCL and ECL'!AA29</f>
        <v>5.2095772375798193</v>
      </c>
      <c r="Z11" s="56">
        <f>'Calculation - NCL and ECL'!AB29</f>
        <v>5.1916405770561695</v>
      </c>
      <c r="AA11" s="57">
        <f>'Calculation - NCL and ECL'!AC29</f>
        <v>5.1961310452924199</v>
      </c>
      <c r="AB11" s="56">
        <f>'Calculation - NCL and ECL'!AD29</f>
        <v>3.4987602472518757</v>
      </c>
      <c r="AC11" s="56">
        <f>'Calculation - NCL and ECL'!AE29</f>
        <v>3.4871619120470796</v>
      </c>
      <c r="AD11" s="56">
        <f>'Calculation - NCL and ECL'!AF29</f>
        <v>3.4931346985220069</v>
      </c>
      <c r="AE11" s="56">
        <f>'Calculation - NCL and ECL'!AG29</f>
        <v>3.5618339049876249</v>
      </c>
      <c r="AF11" s="56">
        <f>'Calculation - NCL and ECL'!AH29</f>
        <v>3.6496148337013343</v>
      </c>
      <c r="AG11" s="56">
        <f>'Calculation - NCL and ECL'!AI29</f>
        <v>3.7217685934891516</v>
      </c>
      <c r="AH11" s="56">
        <f>'Calculation - NCL and ECL'!AJ29</f>
        <v>5.2144777406704268</v>
      </c>
      <c r="AI11" s="56">
        <f>'Calculation - NCL and ECL'!AK29</f>
        <v>5.2195841011369239</v>
      </c>
      <c r="AJ11" s="56">
        <f>'Calculation - NCL and ECL'!AL29</f>
        <v>5.2231378242398518</v>
      </c>
      <c r="AK11" s="56">
        <f>'Calculation - NCL and ECL'!AM29</f>
        <v>5.4695060471783403</v>
      </c>
      <c r="AL11" s="56">
        <f>'Calculation - NCL and ECL'!AN29</f>
        <v>5.456767202360159</v>
      </c>
      <c r="AM11" s="57">
        <f>'Calculation - NCL and ECL'!AO29</f>
        <v>5.4399638023704942</v>
      </c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7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7"/>
      <c r="BM11" s="55">
        <f t="shared" ref="BM11:BM12" si="12">SUM(D11:O11)</f>
        <v>30.368378425249141</v>
      </c>
      <c r="BN11" s="56">
        <f t="shared" ref="BN11:BN12" si="13">SUM(P11:AA11)</f>
        <v>49.52218410821439</v>
      </c>
      <c r="BO11" s="57">
        <f t="shared" ref="BO11:BO12" si="14">SUM(AB11:AM11)</f>
        <v>53.435710907955269</v>
      </c>
    </row>
    <row r="12" spans="1:67" x14ac:dyDescent="0.35">
      <c r="A12" s="3" t="str">
        <f t="shared" si="11"/>
        <v>Recovery (Stress)</v>
      </c>
      <c r="B12" s="3" t="s">
        <v>159</v>
      </c>
      <c r="C12" s="58">
        <f>'Calculation - NCL and ECL'!E30</f>
        <v>0</v>
      </c>
      <c r="D12" s="59">
        <f>'Calculation - NCL and ECL'!F30</f>
        <v>0</v>
      </c>
      <c r="E12" s="59">
        <f>'Calculation - NCL and ECL'!G30</f>
        <v>0</v>
      </c>
      <c r="F12" s="59">
        <f>'Calculation - NCL and ECL'!H30</f>
        <v>0</v>
      </c>
      <c r="G12" s="59">
        <f>'Calculation - NCL and ECL'!I30</f>
        <v>0</v>
      </c>
      <c r="H12" s="59">
        <f>'Calculation - NCL and ECL'!J30</f>
        <v>0</v>
      </c>
      <c r="I12" s="59">
        <f>'Calculation - NCL and ECL'!K30</f>
        <v>0</v>
      </c>
      <c r="J12" s="59">
        <f>'Calculation - NCL and ECL'!L30</f>
        <v>0</v>
      </c>
      <c r="K12" s="59">
        <f>'Calculation - NCL and ECL'!M30</f>
        <v>0</v>
      </c>
      <c r="L12" s="59">
        <f>'Calculation - NCL and ECL'!N30</f>
        <v>0</v>
      </c>
      <c r="M12" s="59">
        <f>'Calculation - NCL and ECL'!O30</f>
        <v>0</v>
      </c>
      <c r="N12" s="59">
        <f>'Calculation - NCL and ECL'!P30</f>
        <v>0</v>
      </c>
      <c r="O12" s="60">
        <f>'Calculation - NCL and ECL'!Q30</f>
        <v>0</v>
      </c>
      <c r="P12" s="59">
        <f>'Calculation - NCL and ECL'!R30</f>
        <v>0</v>
      </c>
      <c r="Q12" s="59">
        <f>'Calculation - NCL and ECL'!S30</f>
        <v>0</v>
      </c>
      <c r="R12" s="59">
        <f>'Calculation - NCL and ECL'!T30</f>
        <v>0</v>
      </c>
      <c r="S12" s="59">
        <f>'Calculation - NCL and ECL'!U30</f>
        <v>0</v>
      </c>
      <c r="T12" s="59">
        <f>'Calculation - NCL and ECL'!V30</f>
        <v>0</v>
      </c>
      <c r="U12" s="59">
        <f>'Calculation - NCL and ECL'!W30</f>
        <v>0</v>
      </c>
      <c r="V12" s="59">
        <f>'Calculation - NCL and ECL'!X30</f>
        <v>0</v>
      </c>
      <c r="W12" s="59">
        <f>'Calculation - NCL and ECL'!Y30</f>
        <v>0</v>
      </c>
      <c r="X12" s="59">
        <f>'Calculation - NCL and ECL'!Z30</f>
        <v>0</v>
      </c>
      <c r="Y12" s="59">
        <f>'Calculation - NCL and ECL'!AA30</f>
        <v>0</v>
      </c>
      <c r="Z12" s="59">
        <f>'Calculation - NCL and ECL'!AB30</f>
        <v>0</v>
      </c>
      <c r="AA12" s="60">
        <f>'Calculation - NCL and ECL'!AC30</f>
        <v>0</v>
      </c>
      <c r="AB12" s="59">
        <f>'Calculation - NCL and ECL'!AD30</f>
        <v>0</v>
      </c>
      <c r="AC12" s="59">
        <f>'Calculation - NCL and ECL'!AE30</f>
        <v>0</v>
      </c>
      <c r="AD12" s="59">
        <f>'Calculation - NCL and ECL'!AF30</f>
        <v>0</v>
      </c>
      <c r="AE12" s="59">
        <f>'Calculation - NCL and ECL'!AG30</f>
        <v>0</v>
      </c>
      <c r="AF12" s="59">
        <f>'Calculation - NCL and ECL'!AH30</f>
        <v>0</v>
      </c>
      <c r="AG12" s="59">
        <f>'Calculation - NCL and ECL'!AI30</f>
        <v>0</v>
      </c>
      <c r="AH12" s="59">
        <f>'Calculation - NCL and ECL'!AJ30</f>
        <v>0</v>
      </c>
      <c r="AI12" s="59">
        <f>'Calculation - NCL and ECL'!AK30</f>
        <v>0</v>
      </c>
      <c r="AJ12" s="59">
        <f>'Calculation - NCL and ECL'!AL30</f>
        <v>0</v>
      </c>
      <c r="AK12" s="59">
        <f>'Calculation - NCL and ECL'!AM30</f>
        <v>0</v>
      </c>
      <c r="AL12" s="59">
        <f>'Calculation - NCL and ECL'!AN30</f>
        <v>0</v>
      </c>
      <c r="AM12" s="60">
        <f>'Calculation - NCL and ECL'!AO30</f>
        <v>0</v>
      </c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60"/>
      <c r="AY12" s="59"/>
      <c r="AZ12" s="59"/>
      <c r="BA12" s="59"/>
      <c r="BB12" s="59"/>
      <c r="BC12" s="59"/>
      <c r="BD12" s="59"/>
      <c r="BE12" s="59"/>
      <c r="BF12" s="59"/>
      <c r="BG12" s="59"/>
      <c r="BH12" s="59"/>
      <c r="BI12" s="59"/>
      <c r="BJ12" s="60"/>
      <c r="BM12" s="58">
        <f t="shared" si="12"/>
        <v>0</v>
      </c>
      <c r="BN12" s="59">
        <f t="shared" si="13"/>
        <v>0</v>
      </c>
      <c r="BO12" s="60">
        <f t="shared" si="14"/>
        <v>0</v>
      </c>
    </row>
    <row r="14" spans="1:67" x14ac:dyDescent="0.35">
      <c r="A14" s="25" t="s">
        <v>220</v>
      </c>
      <c r="B14" s="4" t="s">
        <v>3</v>
      </c>
      <c r="C14" s="19">
        <f>C2</f>
        <v>45352</v>
      </c>
      <c r="D14" s="20">
        <f>EDATE(C14,1)</f>
        <v>45383</v>
      </c>
      <c r="E14" s="20">
        <f>EDATE(D14,1)</f>
        <v>45413</v>
      </c>
      <c r="F14" s="20">
        <f>EDATE(E14,1)</f>
        <v>45444</v>
      </c>
      <c r="G14" s="20">
        <f t="shared" ref="G14:BJ14" si="15">EDATE(F14,1)</f>
        <v>45474</v>
      </c>
      <c r="H14" s="20">
        <f t="shared" si="15"/>
        <v>45505</v>
      </c>
      <c r="I14" s="20">
        <f t="shared" si="15"/>
        <v>45536</v>
      </c>
      <c r="J14" s="20">
        <f t="shared" si="15"/>
        <v>45566</v>
      </c>
      <c r="K14" s="20">
        <f t="shared" si="15"/>
        <v>45597</v>
      </c>
      <c r="L14" s="20">
        <f t="shared" si="15"/>
        <v>45627</v>
      </c>
      <c r="M14" s="20">
        <f t="shared" si="15"/>
        <v>45658</v>
      </c>
      <c r="N14" s="20">
        <f t="shared" si="15"/>
        <v>45689</v>
      </c>
      <c r="O14" s="21">
        <f t="shared" si="15"/>
        <v>45717</v>
      </c>
      <c r="P14" s="20">
        <f t="shared" si="15"/>
        <v>45748</v>
      </c>
      <c r="Q14" s="20">
        <f t="shared" si="15"/>
        <v>45778</v>
      </c>
      <c r="R14" s="20">
        <f t="shared" si="15"/>
        <v>45809</v>
      </c>
      <c r="S14" s="20">
        <f t="shared" si="15"/>
        <v>45839</v>
      </c>
      <c r="T14" s="20">
        <f t="shared" si="15"/>
        <v>45870</v>
      </c>
      <c r="U14" s="20">
        <f t="shared" si="15"/>
        <v>45901</v>
      </c>
      <c r="V14" s="20">
        <f t="shared" si="15"/>
        <v>45931</v>
      </c>
      <c r="W14" s="20">
        <f t="shared" si="15"/>
        <v>45962</v>
      </c>
      <c r="X14" s="20">
        <f t="shared" si="15"/>
        <v>45992</v>
      </c>
      <c r="Y14" s="20">
        <f t="shared" si="15"/>
        <v>46023</v>
      </c>
      <c r="Z14" s="20">
        <f t="shared" si="15"/>
        <v>46054</v>
      </c>
      <c r="AA14" s="21">
        <f t="shared" si="15"/>
        <v>46082</v>
      </c>
      <c r="AB14" s="20">
        <f t="shared" si="15"/>
        <v>46113</v>
      </c>
      <c r="AC14" s="20">
        <f t="shared" si="15"/>
        <v>46143</v>
      </c>
      <c r="AD14" s="20">
        <f t="shared" si="15"/>
        <v>46174</v>
      </c>
      <c r="AE14" s="20">
        <f t="shared" si="15"/>
        <v>46204</v>
      </c>
      <c r="AF14" s="20">
        <f t="shared" si="15"/>
        <v>46235</v>
      </c>
      <c r="AG14" s="20">
        <f t="shared" si="15"/>
        <v>46266</v>
      </c>
      <c r="AH14" s="20">
        <f t="shared" si="15"/>
        <v>46296</v>
      </c>
      <c r="AI14" s="20">
        <f t="shared" si="15"/>
        <v>46327</v>
      </c>
      <c r="AJ14" s="20">
        <f t="shared" si="15"/>
        <v>46357</v>
      </c>
      <c r="AK14" s="20">
        <f t="shared" si="15"/>
        <v>46388</v>
      </c>
      <c r="AL14" s="20">
        <f t="shared" si="15"/>
        <v>46419</v>
      </c>
      <c r="AM14" s="21">
        <f t="shared" si="15"/>
        <v>46447</v>
      </c>
      <c r="AN14" s="20">
        <f t="shared" si="15"/>
        <v>46478</v>
      </c>
      <c r="AO14" s="20">
        <f t="shared" si="15"/>
        <v>46508</v>
      </c>
      <c r="AP14" s="20">
        <f t="shared" si="15"/>
        <v>46539</v>
      </c>
      <c r="AQ14" s="20">
        <f t="shared" si="15"/>
        <v>46569</v>
      </c>
      <c r="AR14" s="20">
        <f t="shared" si="15"/>
        <v>46600</v>
      </c>
      <c r="AS14" s="20">
        <f t="shared" si="15"/>
        <v>46631</v>
      </c>
      <c r="AT14" s="20">
        <f t="shared" si="15"/>
        <v>46661</v>
      </c>
      <c r="AU14" s="20">
        <f t="shared" si="15"/>
        <v>46692</v>
      </c>
      <c r="AV14" s="20">
        <f t="shared" si="15"/>
        <v>46722</v>
      </c>
      <c r="AW14" s="20">
        <f t="shared" si="15"/>
        <v>46753</v>
      </c>
      <c r="AX14" s="21">
        <f t="shared" si="15"/>
        <v>46784</v>
      </c>
      <c r="AY14" s="20">
        <f t="shared" si="15"/>
        <v>46813</v>
      </c>
      <c r="AZ14" s="20">
        <f t="shared" si="15"/>
        <v>46844</v>
      </c>
      <c r="BA14" s="20">
        <f t="shared" si="15"/>
        <v>46874</v>
      </c>
      <c r="BB14" s="20">
        <f t="shared" si="15"/>
        <v>46905</v>
      </c>
      <c r="BC14" s="20">
        <f t="shared" si="15"/>
        <v>46935</v>
      </c>
      <c r="BD14" s="20">
        <f t="shared" si="15"/>
        <v>46966</v>
      </c>
      <c r="BE14" s="20">
        <f t="shared" si="15"/>
        <v>46997</v>
      </c>
      <c r="BF14" s="20">
        <f t="shared" si="15"/>
        <v>47027</v>
      </c>
      <c r="BG14" s="20">
        <f t="shared" si="15"/>
        <v>47058</v>
      </c>
      <c r="BH14" s="20">
        <f t="shared" si="15"/>
        <v>47088</v>
      </c>
      <c r="BI14" s="20">
        <f t="shared" si="15"/>
        <v>47119</v>
      </c>
      <c r="BJ14" s="21">
        <f t="shared" si="15"/>
        <v>47150</v>
      </c>
      <c r="BM14" s="138" t="str">
        <f>BM8</f>
        <v>FY24</v>
      </c>
      <c r="BN14" s="139" t="str">
        <f t="shared" ref="BN14:BO14" si="16">BN8</f>
        <v>FY25</v>
      </c>
      <c r="BO14" s="140" t="str">
        <f t="shared" si="16"/>
        <v>FY26</v>
      </c>
    </row>
    <row r="15" spans="1:67" x14ac:dyDescent="0.35">
      <c r="A15" s="15" t="str">
        <f>A14</f>
        <v>Model ECL (Stress)</v>
      </c>
      <c r="B15" s="15" t="s">
        <v>188</v>
      </c>
      <c r="C15" s="16">
        <f>SUM(C16:C18)</f>
        <v>-3.4131771536513753</v>
      </c>
      <c r="D15" s="17">
        <f t="shared" ref="D15:BJ15" si="17">SUM(D16:D18)</f>
        <v>56.977990683246006</v>
      </c>
      <c r="E15" s="17">
        <f t="shared" si="17"/>
        <v>53.291541686092614</v>
      </c>
      <c r="F15" s="17">
        <f t="shared" si="17"/>
        <v>58.327149020274092</v>
      </c>
      <c r="G15" s="17">
        <f t="shared" si="17"/>
        <v>56.376010227828417</v>
      </c>
      <c r="H15" s="17">
        <f t="shared" si="17"/>
        <v>55.001484244529422</v>
      </c>
      <c r="I15" s="17">
        <f t="shared" si="17"/>
        <v>6.3742210701052358</v>
      </c>
      <c r="J15" s="17">
        <f t="shared" si="17"/>
        <v>58.421871627733509</v>
      </c>
      <c r="K15" s="17">
        <f t="shared" si="17"/>
        <v>65.51484461061753</v>
      </c>
      <c r="L15" s="17">
        <f t="shared" si="17"/>
        <v>-15.287973486364621</v>
      </c>
      <c r="M15" s="17">
        <f t="shared" si="17"/>
        <v>66.230723069752742</v>
      </c>
      <c r="N15" s="17">
        <f t="shared" si="17"/>
        <v>-21.293914288201421</v>
      </c>
      <c r="O15" s="18">
        <f t="shared" si="17"/>
        <v>28.701582118087408</v>
      </c>
      <c r="P15" s="17">
        <f t="shared" si="17"/>
        <v>66.527127341156245</v>
      </c>
      <c r="Q15" s="17">
        <f t="shared" si="17"/>
        <v>68.445537869402997</v>
      </c>
      <c r="R15" s="17">
        <f t="shared" si="17"/>
        <v>72.42288788011399</v>
      </c>
      <c r="S15" s="17">
        <f t="shared" si="17"/>
        <v>66.015194534729517</v>
      </c>
      <c r="T15" s="17">
        <f t="shared" si="17"/>
        <v>71.847819850772254</v>
      </c>
      <c r="U15" s="17">
        <f t="shared" si="17"/>
        <v>67.117774101830349</v>
      </c>
      <c r="V15" s="17">
        <f t="shared" si="17"/>
        <v>-34.265778636174737</v>
      </c>
      <c r="W15" s="17">
        <f t="shared" si="17"/>
        <v>-25.951607987196176</v>
      </c>
      <c r="X15" s="17">
        <f t="shared" si="17"/>
        <v>-116.09271354116238</v>
      </c>
      <c r="Y15" s="17">
        <f t="shared" si="17"/>
        <v>-0.43062357375135463</v>
      </c>
      <c r="Z15" s="17">
        <f t="shared" si="17"/>
        <v>-92.770337948556573</v>
      </c>
      <c r="AA15" s="18">
        <f t="shared" si="17"/>
        <v>10.212979132542593</v>
      </c>
      <c r="AB15" s="17">
        <f t="shared" si="17"/>
        <v>-27.143121435813335</v>
      </c>
      <c r="AC15" s="17">
        <f t="shared" si="17"/>
        <v>5.8481834789699576</v>
      </c>
      <c r="AD15" s="17">
        <f t="shared" si="17"/>
        <v>-3.6658783174666425</v>
      </c>
      <c r="AE15" s="17">
        <f t="shared" si="17"/>
        <v>0.1658761745317392</v>
      </c>
      <c r="AF15" s="17">
        <f t="shared" si="17"/>
        <v>15.906729749695934</v>
      </c>
      <c r="AG15" s="17">
        <f t="shared" si="17"/>
        <v>9.1759143327910948</v>
      </c>
      <c r="AH15" s="17">
        <f t="shared" si="17"/>
        <v>39.95027837835147</v>
      </c>
      <c r="AI15" s="17">
        <f t="shared" si="17"/>
        <v>49.11783982563162</v>
      </c>
      <c r="AJ15" s="17">
        <f t="shared" si="17"/>
        <v>-16.72157814678225</v>
      </c>
      <c r="AK15" s="17">
        <f t="shared" si="17"/>
        <v>52.473687481371371</v>
      </c>
      <c r="AL15" s="17">
        <f t="shared" si="17"/>
        <v>-22.315932937408817</v>
      </c>
      <c r="AM15" s="18">
        <f t="shared" si="17"/>
        <v>47.900708315444447</v>
      </c>
      <c r="AN15" s="17">
        <f t="shared" si="17"/>
        <v>0</v>
      </c>
      <c r="AO15" s="17">
        <f t="shared" si="17"/>
        <v>0</v>
      </c>
      <c r="AP15" s="17">
        <f t="shared" si="17"/>
        <v>0</v>
      </c>
      <c r="AQ15" s="17">
        <f t="shared" si="17"/>
        <v>0</v>
      </c>
      <c r="AR15" s="17">
        <f t="shared" si="17"/>
        <v>0</v>
      </c>
      <c r="AS15" s="17">
        <f t="shared" si="17"/>
        <v>0</v>
      </c>
      <c r="AT15" s="17">
        <f t="shared" si="17"/>
        <v>0</v>
      </c>
      <c r="AU15" s="17">
        <f t="shared" si="17"/>
        <v>0</v>
      </c>
      <c r="AV15" s="17">
        <f t="shared" si="17"/>
        <v>0</v>
      </c>
      <c r="AW15" s="17">
        <f t="shared" si="17"/>
        <v>0</v>
      </c>
      <c r="AX15" s="18">
        <f t="shared" si="17"/>
        <v>0</v>
      </c>
      <c r="AY15" s="17">
        <f t="shared" si="17"/>
        <v>0</v>
      </c>
      <c r="AZ15" s="17">
        <f t="shared" si="17"/>
        <v>0</v>
      </c>
      <c r="BA15" s="17">
        <f t="shared" si="17"/>
        <v>0</v>
      </c>
      <c r="BB15" s="17">
        <f t="shared" si="17"/>
        <v>0</v>
      </c>
      <c r="BC15" s="17">
        <f t="shared" si="17"/>
        <v>0</v>
      </c>
      <c r="BD15" s="17">
        <f t="shared" si="17"/>
        <v>0</v>
      </c>
      <c r="BE15" s="17">
        <f t="shared" si="17"/>
        <v>0</v>
      </c>
      <c r="BF15" s="17">
        <f t="shared" si="17"/>
        <v>0</v>
      </c>
      <c r="BG15" s="17">
        <f t="shared" si="17"/>
        <v>0</v>
      </c>
      <c r="BH15" s="17">
        <f t="shared" si="17"/>
        <v>0</v>
      </c>
      <c r="BI15" s="17">
        <f t="shared" si="17"/>
        <v>0</v>
      </c>
      <c r="BJ15" s="18">
        <f t="shared" si="17"/>
        <v>0</v>
      </c>
      <c r="BM15" s="16">
        <f t="shared" ref="BM15:BO15" si="18">SUM(BM16:BM18)</f>
        <v>468.63553058370093</v>
      </c>
      <c r="BN15" s="17">
        <f t="shared" si="18"/>
        <v>153.07825902370672</v>
      </c>
      <c r="BO15" s="18">
        <f t="shared" si="18"/>
        <v>150.69270689931659</v>
      </c>
    </row>
    <row r="16" spans="1:67" x14ac:dyDescent="0.35">
      <c r="A16" s="1" t="str">
        <f t="shared" ref="A16:A18" si="19">A15</f>
        <v>Model ECL (Stress)</v>
      </c>
      <c r="B16" s="1" t="s">
        <v>157</v>
      </c>
      <c r="C16" s="52">
        <f>'Calculation - NCL and ECL'!E22</f>
        <v>12.241770357643304</v>
      </c>
      <c r="D16" s="53">
        <f>'Calculation - NCL and ECL'!F22</f>
        <v>26.191163371904508</v>
      </c>
      <c r="E16" s="53">
        <f>'Calculation - NCL and ECL'!G22</f>
        <v>32.177182762506163</v>
      </c>
      <c r="F16" s="53">
        <f>'Calculation - NCL and ECL'!H22</f>
        <v>31.334479183725989</v>
      </c>
      <c r="G16" s="53">
        <f>'Calculation - NCL and ECL'!I22</f>
        <v>29.810835551439368</v>
      </c>
      <c r="H16" s="53">
        <f>'Calculation - NCL and ECL'!J22</f>
        <v>31.031066609567915</v>
      </c>
      <c r="I16" s="53">
        <f>'Calculation - NCL and ECL'!K22</f>
        <v>32.32856076918938</v>
      </c>
      <c r="J16" s="53">
        <f>'Calculation - NCL and ECL'!L22</f>
        <v>33.186033609601964</v>
      </c>
      <c r="K16" s="53">
        <f>'Calculation - NCL and ECL'!M22</f>
        <v>37.225314320371126</v>
      </c>
      <c r="L16" s="53">
        <f>'Calculation - NCL and ECL'!N22</f>
        <v>39.667636159572567</v>
      </c>
      <c r="M16" s="53">
        <f>'Calculation - NCL and ECL'!O22</f>
        <v>38.851180075296043</v>
      </c>
      <c r="N16" s="53">
        <f>'Calculation - NCL and ECL'!P22</f>
        <v>38.555764465859284</v>
      </c>
      <c r="O16" s="54">
        <f>'Calculation - NCL and ECL'!Q22</f>
        <v>10.06486408641922</v>
      </c>
      <c r="P16" s="53">
        <f>'Calculation - NCL and ECL'!R22</f>
        <v>39.001221697010806</v>
      </c>
      <c r="Q16" s="53">
        <f>'Calculation - NCL and ECL'!S22</f>
        <v>39.239379441199162</v>
      </c>
      <c r="R16" s="53">
        <f>'Calculation - NCL and ECL'!T22</f>
        <v>39.11417353822344</v>
      </c>
      <c r="S16" s="53">
        <f>'Calculation - NCL and ECL'!U22</f>
        <v>35.528035633286891</v>
      </c>
      <c r="T16" s="53">
        <f>'Calculation - NCL and ECL'!V22</f>
        <v>39.508898086253794</v>
      </c>
      <c r="U16" s="53">
        <f>'Calculation - NCL and ECL'!W22</f>
        <v>29.197371923610945</v>
      </c>
      <c r="V16" s="53">
        <f>'Calculation - NCL and ECL'!X22</f>
        <v>-22.473295441025357</v>
      </c>
      <c r="W16" s="53">
        <f>'Calculation - NCL and ECL'!Y22</f>
        <v>-20.714917550814789</v>
      </c>
      <c r="X16" s="53">
        <f>'Calculation - NCL and ECL'!Z22</f>
        <v>-12.620483216534012</v>
      </c>
      <c r="Y16" s="53">
        <f>'Calculation - NCL and ECL'!AA22</f>
        <v>-7.9134011433541218</v>
      </c>
      <c r="Z16" s="53">
        <f>'Calculation - NCL and ECL'!AB22</f>
        <v>-4.748591199755765</v>
      </c>
      <c r="AA16" s="54">
        <f>'Calculation - NCL and ECL'!AC22</f>
        <v>-8.3361500083078681</v>
      </c>
      <c r="AB16" s="53">
        <f>'Calculation - NCL and ECL'!AD22</f>
        <v>-24.212385900859772</v>
      </c>
      <c r="AC16" s="53">
        <f>'Calculation - NCL and ECL'!AE22</f>
        <v>4.1167385239862142</v>
      </c>
      <c r="AD16" s="53">
        <f>'Calculation - NCL and ECL'!AF22</f>
        <v>-11.466938157441064</v>
      </c>
      <c r="AE16" s="53">
        <f>'Calculation - NCL and ECL'!AG22</f>
        <v>-7.629549341202619</v>
      </c>
      <c r="AF16" s="53">
        <f>'Calculation - NCL and ECL'!AH22</f>
        <v>0.66078573413278718</v>
      </c>
      <c r="AG16" s="53">
        <f>'Calculation - NCL and ECL'!AI22</f>
        <v>9.7612587169783183</v>
      </c>
      <c r="AH16" s="53">
        <f>'Calculation - NCL and ECL'!AJ22</f>
        <v>13.243280341133413</v>
      </c>
      <c r="AI16" s="53">
        <f>'Calculation - NCL and ECL'!AK22</f>
        <v>20.205597403642514</v>
      </c>
      <c r="AJ16" s="53">
        <f>'Calculation - NCL and ECL'!AL22</f>
        <v>23.758561469652705</v>
      </c>
      <c r="AK16" s="53">
        <f>'Calculation - NCL and ECL'!AM22</f>
        <v>21.33889282649011</v>
      </c>
      <c r="AL16" s="53">
        <f>'Calculation - NCL and ECL'!AN22</f>
        <v>16.21403565897549</v>
      </c>
      <c r="AM16" s="54">
        <f>'Calculation - NCL and ECL'!AO22</f>
        <v>16.937630975563025</v>
      </c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4"/>
      <c r="AY16" s="53"/>
      <c r="AZ16" s="53"/>
      <c r="BA16" s="53"/>
      <c r="BB16" s="53"/>
      <c r="BC16" s="53"/>
      <c r="BD16" s="53"/>
      <c r="BE16" s="53"/>
      <c r="BF16" s="53"/>
      <c r="BG16" s="53"/>
      <c r="BH16" s="53"/>
      <c r="BI16" s="53"/>
      <c r="BJ16" s="54"/>
      <c r="BM16" s="52">
        <f>SUM(D16:O16)</f>
        <v>380.42408096545353</v>
      </c>
      <c r="BN16" s="53">
        <f>SUM(P16:AA16)</f>
        <v>144.78224175979312</v>
      </c>
      <c r="BO16" s="54">
        <f>SUM(AB16:AM16)</f>
        <v>82.927908251051122</v>
      </c>
    </row>
    <row r="17" spans="1:67" x14ac:dyDescent="0.35">
      <c r="A17" s="2" t="str">
        <f t="shared" si="19"/>
        <v>Model ECL (Stress)</v>
      </c>
      <c r="B17" s="2" t="s">
        <v>158</v>
      </c>
      <c r="C17" s="55">
        <f>'Calculation - NCL and ECL'!E23</f>
        <v>-17.918122777108408</v>
      </c>
      <c r="D17" s="56">
        <f>'Calculation - NCL and ECL'!F23</f>
        <v>31.278297903966347</v>
      </c>
      <c r="E17" s="56">
        <f>'Calculation - NCL and ECL'!G23</f>
        <v>23.893865979505108</v>
      </c>
      <c r="F17" s="56">
        <f>'Calculation - NCL and ECL'!H23</f>
        <v>29.560409097543015</v>
      </c>
      <c r="G17" s="56">
        <f>'Calculation - NCL and ECL'!I23</f>
        <v>28.87283482966609</v>
      </c>
      <c r="H17" s="56">
        <f>'Calculation - NCL and ECL'!J23</f>
        <v>26.075922494774545</v>
      </c>
      <c r="I17" s="56">
        <f>'Calculation - NCL and ECL'!K23</f>
        <v>-23.981502369305986</v>
      </c>
      <c r="J17" s="56">
        <f>'Calculation - NCL and ECL'!L23</f>
        <v>27.233429070578268</v>
      </c>
      <c r="K17" s="56">
        <f>'Calculation - NCL and ECL'!M23</f>
        <v>30.427120231826393</v>
      </c>
      <c r="L17" s="56">
        <f>'Calculation - NCL and ECL'!N23</f>
        <v>-53.026900666836355</v>
      </c>
      <c r="M17" s="56">
        <f>'Calculation - NCL and ECL'!O23</f>
        <v>29.338647800196668</v>
      </c>
      <c r="N17" s="56">
        <f>'Calculation - NCL and ECL'!P23</f>
        <v>-57.935264610828881</v>
      </c>
      <c r="O17" s="57">
        <f>'Calculation - NCL and ECL'!Q23</f>
        <v>20.149530349951306</v>
      </c>
      <c r="P17" s="56">
        <f>'Calculation - NCL and ECL'!R23</f>
        <v>30.167489046417927</v>
      </c>
      <c r="Q17" s="56">
        <f>'Calculation - NCL and ECL'!S23</f>
        <v>31.674063966626591</v>
      </c>
      <c r="R17" s="56">
        <f>'Calculation - NCL and ECL'!T23</f>
        <v>35.630939883965425</v>
      </c>
      <c r="S17" s="56">
        <f>'Calculation - NCL and ECL'!U23</f>
        <v>32.653184775145633</v>
      </c>
      <c r="T17" s="56">
        <f>'Calculation - NCL and ECL'!V23</f>
        <v>34.339841790967625</v>
      </c>
      <c r="U17" s="56">
        <f>'Calculation - NCL and ECL'!W23</f>
        <v>39.813010125406663</v>
      </c>
      <c r="V17" s="56">
        <f>'Calculation - NCL and ECL'!X23</f>
        <v>-10.484450138388524</v>
      </c>
      <c r="W17" s="56">
        <f>'Calculation - NCL and ECL'!Y23</f>
        <v>-4.411827502781307</v>
      </c>
      <c r="X17" s="56">
        <f>'Calculation - NCL and ECL'!Z23</f>
        <v>-103.23566752372494</v>
      </c>
      <c r="Y17" s="56">
        <f>'Calculation - NCL and ECL'!AA23</f>
        <v>7.1204441300524195</v>
      </c>
      <c r="Z17" s="56">
        <f>'Calculation - NCL and ECL'!AB23</f>
        <v>-88.898525386860001</v>
      </c>
      <c r="AA17" s="57">
        <f>'Calculation - NCL and ECL'!AC23</f>
        <v>16.319474885355135</v>
      </c>
      <c r="AB17" s="56">
        <f>'Calculation - NCL and ECL'!AD23</f>
        <v>-2.8117169165618634</v>
      </c>
      <c r="AC17" s="56">
        <f>'Calculation - NCL and ECL'!AE23</f>
        <v>1.320830507187452</v>
      </c>
      <c r="AD17" s="56">
        <f>'Calculation - NCL and ECL'!AF23</f>
        <v>6.6727967106069173</v>
      </c>
      <c r="AE17" s="56">
        <f>'Calculation - NCL and ECL'!AG23</f>
        <v>5.7212998142997549</v>
      </c>
      <c r="AF17" s="56">
        <f>'Calculation - NCL and ECL'!AH23</f>
        <v>12.173195473697888</v>
      </c>
      <c r="AG17" s="56">
        <f>'Calculation - NCL and ECL'!AI23</f>
        <v>-4.6268846045077225</v>
      </c>
      <c r="AH17" s="56">
        <f>'Calculation - NCL and ECL'!AJ23</f>
        <v>19.144852083956607</v>
      </c>
      <c r="AI17" s="56">
        <f>'Calculation - NCL and ECL'!AK23</f>
        <v>21.844913144617635</v>
      </c>
      <c r="AJ17" s="56">
        <f>'Calculation - NCL and ECL'!AL23</f>
        <v>-47.770047557601515</v>
      </c>
      <c r="AK17" s="56">
        <f>'Calculation - NCL and ECL'!AM23</f>
        <v>23.638839347536987</v>
      </c>
      <c r="AL17" s="56">
        <f>'Calculation - NCL and ECL'!AN23</f>
        <v>-45.876216260338765</v>
      </c>
      <c r="AM17" s="57">
        <f>'Calculation - NCL and ECL'!AO23</f>
        <v>21.035296913992511</v>
      </c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AX17" s="57"/>
      <c r="AY17" s="56"/>
      <c r="AZ17" s="56"/>
      <c r="BA17" s="56"/>
      <c r="BB17" s="56"/>
      <c r="BC17" s="56"/>
      <c r="BD17" s="56"/>
      <c r="BE17" s="56"/>
      <c r="BF17" s="56"/>
      <c r="BG17" s="56"/>
      <c r="BH17" s="56"/>
      <c r="BI17" s="56"/>
      <c r="BJ17" s="57"/>
      <c r="BM17" s="55">
        <f t="shared" ref="BM17:BM18" si="20">SUM(D17:O17)</f>
        <v>111.88639011103652</v>
      </c>
      <c r="BN17" s="56">
        <f t="shared" ref="BN17:BN18" si="21">SUM(P17:AA17)</f>
        <v>20.687978052182643</v>
      </c>
      <c r="BO17" s="57">
        <f t="shared" ref="BO17:BO18" si="22">SUM(AB17:AM17)</f>
        <v>10.467158656885886</v>
      </c>
    </row>
    <row r="18" spans="1:67" x14ac:dyDescent="0.35">
      <c r="A18" s="3" t="str">
        <f t="shared" si="19"/>
        <v>Model ECL (Stress)</v>
      </c>
      <c r="B18" s="3" t="s">
        <v>159</v>
      </c>
      <c r="C18" s="58">
        <f>'Calculation - NCL and ECL'!E24</f>
        <v>2.2631752658137287</v>
      </c>
      <c r="D18" s="59">
        <f>'Calculation - NCL and ECL'!F24</f>
        <v>-0.49147059262485016</v>
      </c>
      <c r="E18" s="59">
        <f>'Calculation - NCL and ECL'!G24</f>
        <v>-2.779507055918657</v>
      </c>
      <c r="F18" s="59">
        <f>'Calculation - NCL and ECL'!H24</f>
        <v>-2.5677392609949123</v>
      </c>
      <c r="G18" s="59">
        <f>'Calculation - NCL and ECL'!I24</f>
        <v>-2.3076601532770411</v>
      </c>
      <c r="H18" s="59">
        <f>'Calculation - NCL and ECL'!J24</f>
        <v>-2.1055048598130384</v>
      </c>
      <c r="I18" s="59">
        <f>'Calculation - NCL and ECL'!K24</f>
        <v>-1.9728373297781587</v>
      </c>
      <c r="J18" s="59">
        <f>'Calculation - NCL and ECL'!L24</f>
        <v>-1.9975910524467224</v>
      </c>
      <c r="K18" s="59">
        <f>'Calculation - NCL and ECL'!M24</f>
        <v>-2.1375899415799893</v>
      </c>
      <c r="L18" s="59">
        <f>'Calculation - NCL and ECL'!N24</f>
        <v>-1.9287089791008327</v>
      </c>
      <c r="M18" s="59">
        <f>'Calculation - NCL and ECL'!O24</f>
        <v>-1.959104805739976</v>
      </c>
      <c r="N18" s="59">
        <f>'Calculation - NCL and ECL'!P24</f>
        <v>-1.9144141432318236</v>
      </c>
      <c r="O18" s="60">
        <f>'Calculation - NCL and ECL'!Q24</f>
        <v>-1.5128123182831175</v>
      </c>
      <c r="P18" s="59">
        <f>'Calculation - NCL and ECL'!R24</f>
        <v>-2.6415834022724951</v>
      </c>
      <c r="Q18" s="59">
        <f>'Calculation - NCL and ECL'!S24</f>
        <v>-2.4679055384227553</v>
      </c>
      <c r="R18" s="59">
        <f>'Calculation - NCL and ECL'!T24</f>
        <v>-2.3222255420748752</v>
      </c>
      <c r="S18" s="59">
        <f>'Calculation - NCL and ECL'!U24</f>
        <v>-2.1660258737030063</v>
      </c>
      <c r="T18" s="59">
        <f>'Calculation - NCL and ECL'!V24</f>
        <v>-2.0009200264491582</v>
      </c>
      <c r="U18" s="59">
        <f>'Calculation - NCL and ECL'!W24</f>
        <v>-1.8926079471872512</v>
      </c>
      <c r="V18" s="59">
        <f>'Calculation - NCL and ECL'!X24</f>
        <v>-1.3080330567608556</v>
      </c>
      <c r="W18" s="59">
        <f>'Calculation - NCL and ECL'!Y24</f>
        <v>-0.82486293360008034</v>
      </c>
      <c r="X18" s="59">
        <f>'Calculation - NCL and ECL'!Z24</f>
        <v>-0.23656280090342818</v>
      </c>
      <c r="Y18" s="59">
        <f>'Calculation - NCL and ECL'!AA24</f>
        <v>0.36233343955034769</v>
      </c>
      <c r="Z18" s="59">
        <f>'Calculation - NCL and ECL'!AB24</f>
        <v>0.87677863805919998</v>
      </c>
      <c r="AA18" s="60">
        <f>'Calculation - NCL and ECL'!AC24</f>
        <v>2.2296542554953263</v>
      </c>
      <c r="AB18" s="59">
        <f>'Calculation - NCL and ECL'!AD24</f>
        <v>-0.11901861839169925</v>
      </c>
      <c r="AC18" s="59">
        <f>'Calculation - NCL and ECL'!AE24</f>
        <v>0.41061444779629142</v>
      </c>
      <c r="AD18" s="59">
        <f>'Calculation - NCL and ECL'!AF24</f>
        <v>1.1282631293675038</v>
      </c>
      <c r="AE18" s="59">
        <f>'Calculation - NCL and ECL'!AG24</f>
        <v>2.0741257014346033</v>
      </c>
      <c r="AF18" s="59">
        <f>'Calculation - NCL and ECL'!AH24</f>
        <v>3.0727485418652591</v>
      </c>
      <c r="AG18" s="59">
        <f>'Calculation - NCL and ECL'!AI24</f>
        <v>4.0415402203204991</v>
      </c>
      <c r="AH18" s="59">
        <f>'Calculation - NCL and ECL'!AJ24</f>
        <v>7.5621459532614494</v>
      </c>
      <c r="AI18" s="59">
        <f>'Calculation - NCL and ECL'!AK24</f>
        <v>7.0673292773714707</v>
      </c>
      <c r="AJ18" s="59">
        <f>'Calculation - NCL and ECL'!AL24</f>
        <v>7.289907941166561</v>
      </c>
      <c r="AK18" s="59">
        <f>'Calculation - NCL and ECL'!AM24</f>
        <v>7.4959553073442748</v>
      </c>
      <c r="AL18" s="59">
        <f>'Calculation - NCL and ECL'!AN24</f>
        <v>7.3462476639544576</v>
      </c>
      <c r="AM18" s="60">
        <f>'Calculation - NCL and ECL'!AO24</f>
        <v>9.927780425888912</v>
      </c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60"/>
      <c r="AY18" s="59"/>
      <c r="AZ18" s="59"/>
      <c r="BA18" s="59"/>
      <c r="BB18" s="59"/>
      <c r="BC18" s="59"/>
      <c r="BD18" s="59"/>
      <c r="BE18" s="59"/>
      <c r="BF18" s="59"/>
      <c r="BG18" s="59"/>
      <c r="BH18" s="59"/>
      <c r="BI18" s="59"/>
      <c r="BJ18" s="60"/>
      <c r="BM18" s="58">
        <f t="shared" si="20"/>
        <v>-23.674940492789119</v>
      </c>
      <c r="BN18" s="59">
        <f t="shared" si="21"/>
        <v>-12.391960788269031</v>
      </c>
      <c r="BO18" s="60">
        <f t="shared" si="22"/>
        <v>57.297639991379583</v>
      </c>
    </row>
    <row r="20" spans="1:67" x14ac:dyDescent="0.35">
      <c r="A20" s="25" t="s">
        <v>222</v>
      </c>
      <c r="B20" s="4" t="s">
        <v>3</v>
      </c>
      <c r="C20" s="19">
        <f>C14</f>
        <v>45352</v>
      </c>
      <c r="D20" s="20">
        <f>EDATE(C20,1)</f>
        <v>45383</v>
      </c>
      <c r="E20" s="20">
        <f>EDATE(D20,1)</f>
        <v>45413</v>
      </c>
      <c r="F20" s="20">
        <f>EDATE(E20,1)</f>
        <v>45444</v>
      </c>
      <c r="G20" s="20">
        <f t="shared" ref="G20:BJ20" si="23">EDATE(F20,1)</f>
        <v>45474</v>
      </c>
      <c r="H20" s="20">
        <f t="shared" si="23"/>
        <v>45505</v>
      </c>
      <c r="I20" s="20">
        <f t="shared" si="23"/>
        <v>45536</v>
      </c>
      <c r="J20" s="20">
        <f t="shared" si="23"/>
        <v>45566</v>
      </c>
      <c r="K20" s="20">
        <f t="shared" si="23"/>
        <v>45597</v>
      </c>
      <c r="L20" s="20">
        <f t="shared" si="23"/>
        <v>45627</v>
      </c>
      <c r="M20" s="20">
        <f t="shared" si="23"/>
        <v>45658</v>
      </c>
      <c r="N20" s="20">
        <f t="shared" si="23"/>
        <v>45689</v>
      </c>
      <c r="O20" s="21">
        <f t="shared" si="23"/>
        <v>45717</v>
      </c>
      <c r="P20" s="20">
        <f t="shared" si="23"/>
        <v>45748</v>
      </c>
      <c r="Q20" s="20">
        <f t="shared" si="23"/>
        <v>45778</v>
      </c>
      <c r="R20" s="20">
        <f t="shared" si="23"/>
        <v>45809</v>
      </c>
      <c r="S20" s="20">
        <f t="shared" si="23"/>
        <v>45839</v>
      </c>
      <c r="T20" s="20">
        <f t="shared" si="23"/>
        <v>45870</v>
      </c>
      <c r="U20" s="20">
        <f t="shared" si="23"/>
        <v>45901</v>
      </c>
      <c r="V20" s="20">
        <f t="shared" si="23"/>
        <v>45931</v>
      </c>
      <c r="W20" s="20">
        <f t="shared" si="23"/>
        <v>45962</v>
      </c>
      <c r="X20" s="20">
        <f t="shared" si="23"/>
        <v>45992</v>
      </c>
      <c r="Y20" s="20">
        <f t="shared" si="23"/>
        <v>46023</v>
      </c>
      <c r="Z20" s="20">
        <f t="shared" si="23"/>
        <v>46054</v>
      </c>
      <c r="AA20" s="21">
        <f t="shared" si="23"/>
        <v>46082</v>
      </c>
      <c r="AB20" s="20">
        <f t="shared" si="23"/>
        <v>46113</v>
      </c>
      <c r="AC20" s="20">
        <f t="shared" si="23"/>
        <v>46143</v>
      </c>
      <c r="AD20" s="20">
        <f t="shared" si="23"/>
        <v>46174</v>
      </c>
      <c r="AE20" s="20">
        <f t="shared" si="23"/>
        <v>46204</v>
      </c>
      <c r="AF20" s="20">
        <f t="shared" si="23"/>
        <v>46235</v>
      </c>
      <c r="AG20" s="20">
        <f t="shared" si="23"/>
        <v>46266</v>
      </c>
      <c r="AH20" s="20">
        <f t="shared" si="23"/>
        <v>46296</v>
      </c>
      <c r="AI20" s="20">
        <f t="shared" si="23"/>
        <v>46327</v>
      </c>
      <c r="AJ20" s="20">
        <f t="shared" si="23"/>
        <v>46357</v>
      </c>
      <c r="AK20" s="20">
        <f t="shared" si="23"/>
        <v>46388</v>
      </c>
      <c r="AL20" s="20">
        <f t="shared" si="23"/>
        <v>46419</v>
      </c>
      <c r="AM20" s="21">
        <f t="shared" si="23"/>
        <v>46447</v>
      </c>
      <c r="AN20" s="20">
        <f t="shared" si="23"/>
        <v>46478</v>
      </c>
      <c r="AO20" s="20">
        <f t="shared" si="23"/>
        <v>46508</v>
      </c>
      <c r="AP20" s="20">
        <f t="shared" si="23"/>
        <v>46539</v>
      </c>
      <c r="AQ20" s="20">
        <f t="shared" si="23"/>
        <v>46569</v>
      </c>
      <c r="AR20" s="20">
        <f t="shared" si="23"/>
        <v>46600</v>
      </c>
      <c r="AS20" s="20">
        <f t="shared" si="23"/>
        <v>46631</v>
      </c>
      <c r="AT20" s="20">
        <f t="shared" si="23"/>
        <v>46661</v>
      </c>
      <c r="AU20" s="20">
        <f t="shared" si="23"/>
        <v>46692</v>
      </c>
      <c r="AV20" s="20">
        <f t="shared" si="23"/>
        <v>46722</v>
      </c>
      <c r="AW20" s="20">
        <f t="shared" si="23"/>
        <v>46753</v>
      </c>
      <c r="AX20" s="21">
        <f t="shared" si="23"/>
        <v>46784</v>
      </c>
      <c r="AY20" s="20">
        <f t="shared" si="23"/>
        <v>46813</v>
      </c>
      <c r="AZ20" s="20">
        <f t="shared" si="23"/>
        <v>46844</v>
      </c>
      <c r="BA20" s="20">
        <f t="shared" si="23"/>
        <v>46874</v>
      </c>
      <c r="BB20" s="20">
        <f t="shared" si="23"/>
        <v>46905</v>
      </c>
      <c r="BC20" s="20">
        <f t="shared" si="23"/>
        <v>46935</v>
      </c>
      <c r="BD20" s="20">
        <f t="shared" si="23"/>
        <v>46966</v>
      </c>
      <c r="BE20" s="20">
        <f t="shared" si="23"/>
        <v>46997</v>
      </c>
      <c r="BF20" s="20">
        <f t="shared" si="23"/>
        <v>47027</v>
      </c>
      <c r="BG20" s="20">
        <f t="shared" si="23"/>
        <v>47058</v>
      </c>
      <c r="BH20" s="20">
        <f t="shared" si="23"/>
        <v>47088</v>
      </c>
      <c r="BI20" s="20">
        <f t="shared" si="23"/>
        <v>47119</v>
      </c>
      <c r="BJ20" s="21">
        <f t="shared" si="23"/>
        <v>47150</v>
      </c>
      <c r="BM20" s="138" t="str">
        <f>BM14</f>
        <v>FY24</v>
      </c>
      <c r="BN20" s="139" t="str">
        <f t="shared" ref="BN20:BO20" si="24">BN14</f>
        <v>FY25</v>
      </c>
      <c r="BO20" s="140" t="str">
        <f t="shared" si="24"/>
        <v>FY26</v>
      </c>
    </row>
    <row r="21" spans="1:67" x14ac:dyDescent="0.35">
      <c r="A21" s="15" t="str">
        <f>A20</f>
        <v>Overlay (Stress)</v>
      </c>
      <c r="B21" s="15" t="s">
        <v>188</v>
      </c>
      <c r="C21" s="16">
        <f>SUM(C22:C24)</f>
        <v>-4.3338134479214361</v>
      </c>
      <c r="D21" s="17">
        <f t="shared" ref="D21:BJ21" si="25">SUM(D22:D24)</f>
        <v>-5.1007068097047394</v>
      </c>
      <c r="E21" s="17">
        <f t="shared" si="25"/>
        <v>-1.5665816460425646</v>
      </c>
      <c r="F21" s="17">
        <f t="shared" si="25"/>
        <v>-1.4301741350821473</v>
      </c>
      <c r="G21" s="17">
        <f t="shared" si="25"/>
        <v>-0.65208372570906192</v>
      </c>
      <c r="H21" s="17">
        <f t="shared" si="25"/>
        <v>-2.7817298205992991</v>
      </c>
      <c r="I21" s="17">
        <f t="shared" si="25"/>
        <v>-2.3709063344906109</v>
      </c>
      <c r="J21" s="17">
        <f t="shared" si="25"/>
        <v>114.26703801754456</v>
      </c>
      <c r="K21" s="17">
        <f t="shared" si="25"/>
        <v>6.18700399943625</v>
      </c>
      <c r="L21" s="17">
        <f t="shared" si="25"/>
        <v>-3.5547570951538106</v>
      </c>
      <c r="M21" s="17">
        <f t="shared" si="25"/>
        <v>-1.9085420382372824</v>
      </c>
      <c r="N21" s="17">
        <f t="shared" si="25"/>
        <v>-1.3487492436066368</v>
      </c>
      <c r="O21" s="18">
        <f t="shared" si="25"/>
        <v>27.661939459135539</v>
      </c>
      <c r="P21" s="17">
        <f t="shared" si="25"/>
        <v>-17.613643018382625</v>
      </c>
      <c r="Q21" s="17">
        <f t="shared" si="25"/>
        <v>-1.3525290219944921</v>
      </c>
      <c r="R21" s="17">
        <f t="shared" si="25"/>
        <v>-0.22280835658880527</v>
      </c>
      <c r="S21" s="17">
        <f t="shared" si="25"/>
        <v>0.69372180722991317</v>
      </c>
      <c r="T21" s="17">
        <f t="shared" si="25"/>
        <v>2.6482164547382077</v>
      </c>
      <c r="U21" s="17">
        <f t="shared" si="25"/>
        <v>0.46662867778886152</v>
      </c>
      <c r="V21" s="17">
        <f t="shared" si="25"/>
        <v>0.76002079429461489</v>
      </c>
      <c r="W21" s="17">
        <f t="shared" si="25"/>
        <v>-0.28842656074028739</v>
      </c>
      <c r="X21" s="17">
        <f t="shared" si="25"/>
        <v>-9.6456407093459813</v>
      </c>
      <c r="Y21" s="17">
        <f t="shared" si="25"/>
        <v>2.9759841822001007</v>
      </c>
      <c r="Z21" s="17">
        <f t="shared" si="25"/>
        <v>-7.7169563313650436</v>
      </c>
      <c r="AA21" s="18">
        <f t="shared" si="25"/>
        <v>1.4251435439122595</v>
      </c>
      <c r="AB21" s="17">
        <f t="shared" si="25"/>
        <v>-5.8116165599988676</v>
      </c>
      <c r="AC21" s="17">
        <f t="shared" si="25"/>
        <v>-5.2409980739338806</v>
      </c>
      <c r="AD21" s="17">
        <f t="shared" si="25"/>
        <v>-6.4584796215648907</v>
      </c>
      <c r="AE21" s="17">
        <f t="shared" si="25"/>
        <v>-2.0721920953163284</v>
      </c>
      <c r="AF21" s="17">
        <f t="shared" si="25"/>
        <v>-5.5570370114918504</v>
      </c>
      <c r="AG21" s="17">
        <f t="shared" si="25"/>
        <v>-3.3452694512177739</v>
      </c>
      <c r="AH21" s="17">
        <f t="shared" si="25"/>
        <v>2.5670098074698005</v>
      </c>
      <c r="AI21" s="17">
        <f t="shared" si="25"/>
        <v>1.4708793096228403</v>
      </c>
      <c r="AJ21" s="17">
        <f t="shared" si="25"/>
        <v>-4.239961987731717</v>
      </c>
      <c r="AK21" s="17">
        <f t="shared" si="25"/>
        <v>2.1568222663840104</v>
      </c>
      <c r="AL21" s="17">
        <f t="shared" si="25"/>
        <v>-4.3222997743836427</v>
      </c>
      <c r="AM21" s="18">
        <f t="shared" si="25"/>
        <v>1.7553701354506046</v>
      </c>
      <c r="AN21" s="17">
        <f t="shared" si="25"/>
        <v>0</v>
      </c>
      <c r="AO21" s="17">
        <f t="shared" si="25"/>
        <v>0</v>
      </c>
      <c r="AP21" s="17">
        <f t="shared" si="25"/>
        <v>0</v>
      </c>
      <c r="AQ21" s="17">
        <f t="shared" si="25"/>
        <v>0</v>
      </c>
      <c r="AR21" s="17">
        <f t="shared" si="25"/>
        <v>0</v>
      </c>
      <c r="AS21" s="17">
        <f t="shared" si="25"/>
        <v>0</v>
      </c>
      <c r="AT21" s="17">
        <f t="shared" si="25"/>
        <v>0</v>
      </c>
      <c r="AU21" s="17">
        <f t="shared" si="25"/>
        <v>0</v>
      </c>
      <c r="AV21" s="17">
        <f t="shared" si="25"/>
        <v>0</v>
      </c>
      <c r="AW21" s="17">
        <f t="shared" si="25"/>
        <v>0</v>
      </c>
      <c r="AX21" s="18">
        <f t="shared" si="25"/>
        <v>0</v>
      </c>
      <c r="AY21" s="17">
        <f t="shared" si="25"/>
        <v>0</v>
      </c>
      <c r="AZ21" s="17">
        <f t="shared" si="25"/>
        <v>0</v>
      </c>
      <c r="BA21" s="17">
        <f t="shared" si="25"/>
        <v>0</v>
      </c>
      <c r="BB21" s="17">
        <f t="shared" si="25"/>
        <v>0</v>
      </c>
      <c r="BC21" s="17">
        <f t="shared" si="25"/>
        <v>0</v>
      </c>
      <c r="BD21" s="17">
        <f t="shared" si="25"/>
        <v>0</v>
      </c>
      <c r="BE21" s="17">
        <f t="shared" si="25"/>
        <v>0</v>
      </c>
      <c r="BF21" s="17">
        <f t="shared" si="25"/>
        <v>0</v>
      </c>
      <c r="BG21" s="17">
        <f t="shared" si="25"/>
        <v>0</v>
      </c>
      <c r="BH21" s="17">
        <f t="shared" si="25"/>
        <v>0</v>
      </c>
      <c r="BI21" s="17">
        <f t="shared" si="25"/>
        <v>0</v>
      </c>
      <c r="BJ21" s="18">
        <f t="shared" si="25"/>
        <v>0</v>
      </c>
      <c r="BM21" s="16">
        <f t="shared" ref="BM21:BO21" si="26">SUM(BM22:BM24)</f>
        <v>127.4017506274902</v>
      </c>
      <c r="BN21" s="17">
        <f t="shared" si="26"/>
        <v>-27.870288538253277</v>
      </c>
      <c r="BO21" s="18">
        <f t="shared" si="26"/>
        <v>-29.097773056711695</v>
      </c>
    </row>
    <row r="22" spans="1:67" x14ac:dyDescent="0.35">
      <c r="A22" s="1" t="str">
        <f t="shared" ref="A22:A24" si="27">A21</f>
        <v>Overlay (Stress)</v>
      </c>
      <c r="B22" s="1" t="s">
        <v>157</v>
      </c>
      <c r="C22" s="52">
        <f>'Calculation - NCL and ECL'!E37+'Calculation - NCL and ECL'!E40</f>
        <v>-1</v>
      </c>
      <c r="D22" s="53">
        <f>'Calculation - NCL and ECL'!F37+'Calculation - NCL and ECL'!F40</f>
        <v>-5.3353083101090846</v>
      </c>
      <c r="E22" s="53">
        <f>'Calculation - NCL and ECL'!G37+'Calculation - NCL and ECL'!G40</f>
        <v>-0.20400504605520098</v>
      </c>
      <c r="F22" s="53">
        <f>'Calculation - NCL and ECL'!H37+'Calculation - NCL and ECL'!H40</f>
        <v>-1.3312834690817468</v>
      </c>
      <c r="G22" s="53">
        <f>'Calculation - NCL and ECL'!I37+'Calculation - NCL and ECL'!I40</f>
        <v>-0.47259535437912348</v>
      </c>
      <c r="H22" s="53">
        <f>'Calculation - NCL and ECL'!J37+'Calculation - NCL and ECL'!J40</f>
        <v>-1.7460391579986521</v>
      </c>
      <c r="I22" s="53">
        <f>'Calculation - NCL and ECL'!K37+'Calculation - NCL and ECL'!K40</f>
        <v>-1.5158345552978503</v>
      </c>
      <c r="J22" s="53">
        <f>'Calculation - NCL and ECL'!L37+'Calculation - NCL and ECL'!L40</f>
        <v>68.771536145507866</v>
      </c>
      <c r="K22" s="53">
        <f>'Calculation - NCL and ECL'!M37+'Calculation - NCL and ECL'!M40</f>
        <v>3.3382957057200926</v>
      </c>
      <c r="L22" s="53">
        <f>'Calculation - NCL and ECL'!N37+'Calculation - NCL and ECL'!N40</f>
        <v>3.9335960201816818</v>
      </c>
      <c r="M22" s="53">
        <f>'Calculation - NCL and ECL'!O37+'Calculation - NCL and ECL'!O40</f>
        <v>3.2678462376864736</v>
      </c>
      <c r="N22" s="53">
        <f>'Calculation - NCL and ECL'!P37+'Calculation - NCL and ECL'!P40</f>
        <v>3.4979156416330461</v>
      </c>
      <c r="O22" s="54">
        <f>'Calculation - NCL and ECL'!Q37+'Calculation - NCL and ECL'!Q40</f>
        <v>16.956168085399142</v>
      </c>
      <c r="P22" s="53">
        <f>'Calculation - NCL and ECL'!R37+'Calculation - NCL and ECL'!R40</f>
        <v>-8.6774361663260038</v>
      </c>
      <c r="Q22" s="53">
        <f>'Calculation - NCL and ECL'!S37+'Calculation - NCL and ECL'!S40</f>
        <v>-0.81199954383248496</v>
      </c>
      <c r="R22" s="53">
        <f>'Calculation - NCL and ECL'!T37+'Calculation - NCL and ECL'!T40</f>
        <v>-0.32479208766795509</v>
      </c>
      <c r="S22" s="53">
        <f>'Calculation - NCL and ECL'!U37+'Calculation - NCL and ECL'!U40</f>
        <v>-1.2198079926649434</v>
      </c>
      <c r="T22" s="53">
        <f>'Calculation - NCL and ECL'!V37+'Calculation - NCL and ECL'!V40</f>
        <v>0.80738849889384312</v>
      </c>
      <c r="U22" s="53">
        <f>'Calculation - NCL and ECL'!W37+'Calculation - NCL and ECL'!W40</f>
        <v>0.53303396219360977</v>
      </c>
      <c r="V22" s="53">
        <f>'Calculation - NCL and ECL'!X37+'Calculation - NCL and ECL'!X40</f>
        <v>0.29101899026998979</v>
      </c>
      <c r="W22" s="53">
        <f>'Calculation - NCL and ECL'!Y37+'Calculation - NCL and ECL'!Y40</f>
        <v>-0.79761358911601121</v>
      </c>
      <c r="X22" s="53">
        <f>'Calculation - NCL and ECL'!Z37+'Calculation - NCL and ECL'!Z40</f>
        <v>0.59209737650337502</v>
      </c>
      <c r="Y22" s="53">
        <f>'Calculation - NCL and ECL'!AA37+'Calculation - NCL and ECL'!AA40</f>
        <v>1.5223111151175104</v>
      </c>
      <c r="Z22" s="53">
        <f>'Calculation - NCL and ECL'!AB37+'Calculation - NCL and ECL'!AB40</f>
        <v>1.0610472584089408</v>
      </c>
      <c r="AA22" s="54">
        <f>'Calculation - NCL and ECL'!AC37+'Calculation - NCL and ECL'!AC40</f>
        <v>-6.5859428888451532E-2</v>
      </c>
      <c r="AB22" s="53">
        <f>'Calculation - NCL and ECL'!AD37+'Calculation - NCL and ECL'!AD40</f>
        <v>-2.498984099985087</v>
      </c>
      <c r="AC22" s="53">
        <f>'Calculation - NCL and ECL'!AE37+'Calculation - NCL and ECL'!AE40</f>
        <v>-3.8582098762758932</v>
      </c>
      <c r="AD22" s="53">
        <f>'Calculation - NCL and ECL'!AF37+'Calculation - NCL and ECL'!AF40</f>
        <v>-5.5957243762308622</v>
      </c>
      <c r="AE22" s="53">
        <f>'Calculation - NCL and ECL'!AG37+'Calculation - NCL and ECL'!AG40</f>
        <v>-2.5260782302648472</v>
      </c>
      <c r="AF22" s="53">
        <f>'Calculation - NCL and ECL'!AH37+'Calculation - NCL and ECL'!AH40</f>
        <v>-5.4730967097411138</v>
      </c>
      <c r="AG22" s="53">
        <f>'Calculation - NCL and ECL'!AI37+'Calculation - NCL and ECL'!AI40</f>
        <v>-2.5169385839534399</v>
      </c>
      <c r="AH22" s="53">
        <f>'Calculation - NCL and ECL'!AJ37+'Calculation - NCL and ECL'!AJ40</f>
        <v>1.5790655702416156</v>
      </c>
      <c r="AI22" s="53">
        <f>'Calculation - NCL and ECL'!AK37+'Calculation - NCL and ECL'!AK40</f>
        <v>0.66765566494597373</v>
      </c>
      <c r="AJ22" s="53">
        <f>'Calculation - NCL and ECL'!AL37+'Calculation - NCL and ECL'!AL40</f>
        <v>1.6289208741075196</v>
      </c>
      <c r="AK22" s="53">
        <f>'Calculation - NCL and ECL'!AM37+'Calculation - NCL and ECL'!AM40</f>
        <v>-0.86839191158149021</v>
      </c>
      <c r="AL22" s="53">
        <f>'Calculation - NCL and ECL'!AN37+'Calculation - NCL and ECL'!AN40</f>
        <v>-0.10476573288645064</v>
      </c>
      <c r="AM22" s="54">
        <f>'Calculation - NCL and ECL'!AO37+'Calculation - NCL and ECL'!AO40</f>
        <v>0.69058364232202507</v>
      </c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4"/>
      <c r="AY22" s="53"/>
      <c r="AZ22" s="53"/>
      <c r="BA22" s="53"/>
      <c r="BB22" s="53"/>
      <c r="BC22" s="53"/>
      <c r="BD22" s="53"/>
      <c r="BE22" s="53"/>
      <c r="BF22" s="53"/>
      <c r="BG22" s="53"/>
      <c r="BH22" s="53"/>
      <c r="BI22" s="53"/>
      <c r="BJ22" s="54"/>
      <c r="BM22" s="52">
        <f>SUM(D22:O22)</f>
        <v>89.160291943206644</v>
      </c>
      <c r="BN22" s="53">
        <f>SUM(P22:AA22)</f>
        <v>-7.0906116071085812</v>
      </c>
      <c r="BO22" s="54">
        <f>SUM(AB22:AM22)</f>
        <v>-18.875963769302047</v>
      </c>
    </row>
    <row r="23" spans="1:67" x14ac:dyDescent="0.35">
      <c r="A23" s="2" t="str">
        <f t="shared" si="27"/>
        <v>Overlay (Stress)</v>
      </c>
      <c r="B23" s="2" t="s">
        <v>158</v>
      </c>
      <c r="C23" s="55">
        <f>'Calculation - NCL and ECL'!E38+'Calculation - NCL and ECL'!E41</f>
        <v>-3.3338134479214361</v>
      </c>
      <c r="D23" s="56">
        <f>'Calculation - NCL and ECL'!F38+'Calculation - NCL and ECL'!F41</f>
        <v>0.23460150040434513</v>
      </c>
      <c r="E23" s="56">
        <f>'Calculation - NCL and ECL'!G38+'Calculation - NCL and ECL'!G41</f>
        <v>-1.3625765999873636</v>
      </c>
      <c r="F23" s="56">
        <f>'Calculation - NCL and ECL'!H38+'Calculation - NCL and ECL'!H41</f>
        <v>-9.8890666000400529E-2</v>
      </c>
      <c r="G23" s="56">
        <f>'Calculation - NCL and ECL'!I38+'Calculation - NCL and ECL'!I41</f>
        <v>-0.17948837132993845</v>
      </c>
      <c r="H23" s="56">
        <f>'Calculation - NCL and ECL'!J38+'Calculation - NCL and ECL'!J41</f>
        <v>-1.035690662600647</v>
      </c>
      <c r="I23" s="56">
        <f>'Calculation - NCL and ECL'!K38+'Calculation - NCL and ECL'!K41</f>
        <v>-0.85507177919276067</v>
      </c>
      <c r="J23" s="56">
        <f>'Calculation - NCL and ECL'!L38+'Calculation - NCL and ECL'!L41</f>
        <v>45.495501872036698</v>
      </c>
      <c r="K23" s="56">
        <f>'Calculation - NCL and ECL'!M38+'Calculation - NCL and ECL'!M41</f>
        <v>2.8487082937161574</v>
      </c>
      <c r="L23" s="56">
        <f>'Calculation - NCL and ECL'!N38+'Calculation - NCL and ECL'!N41</f>
        <v>-7.4883531153354923</v>
      </c>
      <c r="M23" s="56">
        <f>'Calculation - NCL and ECL'!O38+'Calculation - NCL and ECL'!O41</f>
        <v>-5.1763882759237561</v>
      </c>
      <c r="N23" s="56">
        <f>'Calculation - NCL and ECL'!P38+'Calculation - NCL and ECL'!P41</f>
        <v>-4.846664885239683</v>
      </c>
      <c r="O23" s="57">
        <f>'Calculation - NCL and ECL'!Q38+'Calculation - NCL and ECL'!Q41</f>
        <v>10.705771373736397</v>
      </c>
      <c r="P23" s="56">
        <f>'Calculation - NCL and ECL'!R38+'Calculation - NCL and ECL'!R41</f>
        <v>-8.9362068520566211</v>
      </c>
      <c r="Q23" s="56">
        <f>'Calculation - NCL and ECL'!S38+'Calculation - NCL and ECL'!S41</f>
        <v>-0.54052947816200714</v>
      </c>
      <c r="R23" s="56">
        <f>'Calculation - NCL and ECL'!T38+'Calculation - NCL and ECL'!T41</f>
        <v>0.10198373107914982</v>
      </c>
      <c r="S23" s="56">
        <f>'Calculation - NCL and ECL'!U38+'Calculation - NCL and ECL'!U41</f>
        <v>1.9135297998948566</v>
      </c>
      <c r="T23" s="56">
        <f>'Calculation - NCL and ECL'!V38+'Calculation - NCL and ECL'!V41</f>
        <v>1.8408279558443645</v>
      </c>
      <c r="U23" s="56">
        <f>'Calculation - NCL and ECL'!W38+'Calculation - NCL and ECL'!W41</f>
        <v>-6.6405284404748244E-2</v>
      </c>
      <c r="V23" s="56">
        <f>'Calculation - NCL and ECL'!X38+'Calculation - NCL and ECL'!X41</f>
        <v>0.4690018040246251</v>
      </c>
      <c r="W23" s="56">
        <f>'Calculation - NCL and ECL'!Y38+'Calculation - NCL and ECL'!Y41</f>
        <v>0.50918702837572383</v>
      </c>
      <c r="X23" s="56">
        <f>'Calculation - NCL and ECL'!Z38+'Calculation - NCL and ECL'!Z41</f>
        <v>-10.237738085849356</v>
      </c>
      <c r="Y23" s="56">
        <f>'Calculation - NCL and ECL'!AA38+'Calculation - NCL and ECL'!AA41</f>
        <v>1.4536730670825904</v>
      </c>
      <c r="Z23" s="56">
        <f>'Calculation - NCL and ECL'!AB38+'Calculation - NCL and ECL'!AB41</f>
        <v>-8.7780035897739843</v>
      </c>
      <c r="AA23" s="57">
        <f>'Calculation - NCL and ECL'!AC38+'Calculation - NCL and ECL'!AC41</f>
        <v>1.491002972800711</v>
      </c>
      <c r="AB23" s="56">
        <f>'Calculation - NCL and ECL'!AD38+'Calculation - NCL and ECL'!AD41</f>
        <v>-3.3126324600137806</v>
      </c>
      <c r="AC23" s="56">
        <f>'Calculation - NCL and ECL'!AE38+'Calculation - NCL and ECL'!AE41</f>
        <v>-1.3827881976579874</v>
      </c>
      <c r="AD23" s="56">
        <f>'Calculation - NCL and ECL'!AF38+'Calculation - NCL and ECL'!AF41</f>
        <v>-0.86275524533402859</v>
      </c>
      <c r="AE23" s="56">
        <f>'Calculation - NCL and ECL'!AG38+'Calculation - NCL and ECL'!AG41</f>
        <v>0.45388613494851882</v>
      </c>
      <c r="AF23" s="56">
        <f>'Calculation - NCL and ECL'!AH38+'Calculation - NCL and ECL'!AH41</f>
        <v>-8.3940301750736968E-2</v>
      </c>
      <c r="AG23" s="56">
        <f>'Calculation - NCL and ECL'!AI38+'Calculation - NCL and ECL'!AI41</f>
        <v>-0.82833086726433391</v>
      </c>
      <c r="AH23" s="56">
        <f>'Calculation - NCL and ECL'!AJ38+'Calculation - NCL and ECL'!AJ41</f>
        <v>0.98794423722818481</v>
      </c>
      <c r="AI23" s="56">
        <f>'Calculation - NCL and ECL'!AK38+'Calculation - NCL and ECL'!AK41</f>
        <v>0.80322364467686658</v>
      </c>
      <c r="AJ23" s="56">
        <f>'Calculation - NCL and ECL'!AL38+'Calculation - NCL and ECL'!AL41</f>
        <v>-5.8688828618392366</v>
      </c>
      <c r="AK23" s="56">
        <f>'Calculation - NCL and ECL'!AM38+'Calculation - NCL and ECL'!AM41</f>
        <v>3.0252141779655006</v>
      </c>
      <c r="AL23" s="56">
        <f>'Calculation - NCL and ECL'!AN38+'Calculation - NCL and ECL'!AN41</f>
        <v>-4.217534041497192</v>
      </c>
      <c r="AM23" s="57">
        <f>'Calculation - NCL and ECL'!AO38+'Calculation - NCL and ECL'!AO41</f>
        <v>1.0647864931285795</v>
      </c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7"/>
      <c r="AY23" s="56"/>
      <c r="AZ23" s="56"/>
      <c r="BA23" s="56"/>
      <c r="BB23" s="56"/>
      <c r="BC23" s="56"/>
      <c r="BD23" s="56"/>
      <c r="BE23" s="56"/>
      <c r="BF23" s="56"/>
      <c r="BG23" s="56"/>
      <c r="BH23" s="56"/>
      <c r="BI23" s="56"/>
      <c r="BJ23" s="57"/>
      <c r="BM23" s="55">
        <f t="shared" ref="BM23:BM24" si="28">SUM(D23:O23)</f>
        <v>38.241458684283558</v>
      </c>
      <c r="BN23" s="56">
        <f t="shared" ref="BN23:BN24" si="29">SUM(P23:AA23)</f>
        <v>-20.779676931144696</v>
      </c>
      <c r="BO23" s="57">
        <f t="shared" ref="BO23:BO24" si="30">SUM(AB23:AM23)</f>
        <v>-10.221809287409647</v>
      </c>
    </row>
    <row r="24" spans="1:67" x14ac:dyDescent="0.35">
      <c r="A24" s="3" t="str">
        <f t="shared" si="27"/>
        <v>Overlay (Stress)</v>
      </c>
      <c r="B24" s="3" t="s">
        <v>159</v>
      </c>
      <c r="C24" s="58">
        <f>'Calculation - NCL and ECL'!E39+'Calculation - NCL and ECL'!E42</f>
        <v>0</v>
      </c>
      <c r="D24" s="59">
        <f>'Calculation - NCL and ECL'!F39+'Calculation - NCL and ECL'!F42</f>
        <v>0</v>
      </c>
      <c r="E24" s="59">
        <f>'Calculation - NCL and ECL'!G39+'Calculation - NCL and ECL'!G42</f>
        <v>0</v>
      </c>
      <c r="F24" s="59">
        <f>'Calculation - NCL and ECL'!H39+'Calculation - NCL and ECL'!H42</f>
        <v>0</v>
      </c>
      <c r="G24" s="59">
        <f>'Calculation - NCL and ECL'!I39+'Calculation - NCL and ECL'!I42</f>
        <v>0</v>
      </c>
      <c r="H24" s="59">
        <f>'Calculation - NCL and ECL'!J39+'Calculation - NCL and ECL'!J42</f>
        <v>0</v>
      </c>
      <c r="I24" s="59">
        <f>'Calculation - NCL and ECL'!K39+'Calculation - NCL and ECL'!K42</f>
        <v>0</v>
      </c>
      <c r="J24" s="59">
        <f>'Calculation - NCL and ECL'!L39+'Calculation - NCL and ECL'!L42</f>
        <v>0</v>
      </c>
      <c r="K24" s="59">
        <f>'Calculation - NCL and ECL'!M39+'Calculation - NCL and ECL'!M42</f>
        <v>0</v>
      </c>
      <c r="L24" s="59">
        <f>'Calculation - NCL and ECL'!N39+'Calculation - NCL and ECL'!N42</f>
        <v>0</v>
      </c>
      <c r="M24" s="59">
        <f>'Calculation - NCL and ECL'!O39+'Calculation - NCL and ECL'!O42</f>
        <v>0</v>
      </c>
      <c r="N24" s="59">
        <f>'Calculation - NCL and ECL'!P39+'Calculation - NCL and ECL'!P42</f>
        <v>0</v>
      </c>
      <c r="O24" s="60">
        <f>'Calculation - NCL and ECL'!Q39+'Calculation - NCL and ECL'!Q42</f>
        <v>0</v>
      </c>
      <c r="P24" s="59">
        <f>'Calculation - NCL and ECL'!R39+'Calculation - NCL and ECL'!R42</f>
        <v>0</v>
      </c>
      <c r="Q24" s="59">
        <f>'Calculation - NCL and ECL'!S39+'Calculation - NCL and ECL'!S42</f>
        <v>0</v>
      </c>
      <c r="R24" s="59">
        <f>'Calculation - NCL and ECL'!T39+'Calculation - NCL and ECL'!T42</f>
        <v>0</v>
      </c>
      <c r="S24" s="59">
        <f>'Calculation - NCL and ECL'!U39+'Calculation - NCL and ECL'!U42</f>
        <v>0</v>
      </c>
      <c r="T24" s="59">
        <f>'Calculation - NCL and ECL'!V39+'Calculation - NCL and ECL'!V42</f>
        <v>0</v>
      </c>
      <c r="U24" s="59">
        <f>'Calculation - NCL and ECL'!W39+'Calculation - NCL and ECL'!W42</f>
        <v>0</v>
      </c>
      <c r="V24" s="59">
        <f>'Calculation - NCL and ECL'!X39+'Calculation - NCL and ECL'!X42</f>
        <v>0</v>
      </c>
      <c r="W24" s="59">
        <f>'Calculation - NCL and ECL'!Y39+'Calculation - NCL and ECL'!Y42</f>
        <v>0</v>
      </c>
      <c r="X24" s="59">
        <f>'Calculation - NCL and ECL'!Z39+'Calculation - NCL and ECL'!Z42</f>
        <v>0</v>
      </c>
      <c r="Y24" s="59">
        <f>'Calculation - NCL and ECL'!AA39+'Calculation - NCL and ECL'!AA42</f>
        <v>0</v>
      </c>
      <c r="Z24" s="59">
        <f>'Calculation - NCL and ECL'!AB39+'Calculation - NCL and ECL'!AB42</f>
        <v>0</v>
      </c>
      <c r="AA24" s="60">
        <f>'Calculation - NCL and ECL'!AC39+'Calculation - NCL and ECL'!AC42</f>
        <v>0</v>
      </c>
      <c r="AB24" s="59">
        <f>'Calculation - NCL and ECL'!AD39+'Calculation - NCL and ECL'!AD42</f>
        <v>0</v>
      </c>
      <c r="AC24" s="59">
        <f>'Calculation - NCL and ECL'!AE39+'Calculation - NCL and ECL'!AE42</f>
        <v>0</v>
      </c>
      <c r="AD24" s="59">
        <f>'Calculation - NCL and ECL'!AF39+'Calculation - NCL and ECL'!AF42</f>
        <v>0</v>
      </c>
      <c r="AE24" s="59">
        <f>'Calculation - NCL and ECL'!AG39+'Calculation - NCL and ECL'!AG42</f>
        <v>0</v>
      </c>
      <c r="AF24" s="59">
        <f>'Calculation - NCL and ECL'!AH39+'Calculation - NCL and ECL'!AH42</f>
        <v>0</v>
      </c>
      <c r="AG24" s="59">
        <f>'Calculation - NCL and ECL'!AI39+'Calculation - NCL and ECL'!AI42</f>
        <v>0</v>
      </c>
      <c r="AH24" s="59">
        <f>'Calculation - NCL and ECL'!AJ39+'Calculation - NCL and ECL'!AJ42</f>
        <v>0</v>
      </c>
      <c r="AI24" s="59">
        <f>'Calculation - NCL and ECL'!AK39+'Calculation - NCL and ECL'!AK42</f>
        <v>0</v>
      </c>
      <c r="AJ24" s="59">
        <f>'Calculation - NCL and ECL'!AL39+'Calculation - NCL and ECL'!AL42</f>
        <v>0</v>
      </c>
      <c r="AK24" s="59">
        <f>'Calculation - NCL and ECL'!AM39+'Calculation - NCL and ECL'!AM42</f>
        <v>0</v>
      </c>
      <c r="AL24" s="59">
        <f>'Calculation - NCL and ECL'!AN39+'Calculation - NCL and ECL'!AN42</f>
        <v>0</v>
      </c>
      <c r="AM24" s="60">
        <f>'Calculation - NCL and ECL'!AO39+'Calculation - NCL and ECL'!AO42</f>
        <v>0</v>
      </c>
      <c r="AN24" s="59"/>
      <c r="AO24" s="59"/>
      <c r="AP24" s="59"/>
      <c r="AQ24" s="59"/>
      <c r="AR24" s="59"/>
      <c r="AS24" s="59"/>
      <c r="AT24" s="59"/>
      <c r="AU24" s="59"/>
      <c r="AV24" s="59"/>
      <c r="AW24" s="59"/>
      <c r="AX24" s="60"/>
      <c r="AY24" s="59"/>
      <c r="AZ24" s="59"/>
      <c r="BA24" s="59"/>
      <c r="BB24" s="59"/>
      <c r="BC24" s="59"/>
      <c r="BD24" s="59"/>
      <c r="BE24" s="59"/>
      <c r="BF24" s="59"/>
      <c r="BG24" s="59"/>
      <c r="BH24" s="59"/>
      <c r="BI24" s="59"/>
      <c r="BJ24" s="60"/>
      <c r="BM24" s="58">
        <f t="shared" si="28"/>
        <v>0</v>
      </c>
      <c r="BN24" s="59">
        <f t="shared" si="29"/>
        <v>0</v>
      </c>
      <c r="BO24" s="60">
        <f t="shared" si="30"/>
        <v>0</v>
      </c>
    </row>
    <row r="26" spans="1:67" x14ac:dyDescent="0.35">
      <c r="A26" s="25" t="s">
        <v>221</v>
      </c>
      <c r="B26" s="4" t="s">
        <v>3</v>
      </c>
      <c r="C26" s="19">
        <f>C20</f>
        <v>45352</v>
      </c>
      <c r="D26" s="20">
        <f>EDATE(C26,1)</f>
        <v>45383</v>
      </c>
      <c r="E26" s="20">
        <f>EDATE(D26,1)</f>
        <v>45413</v>
      </c>
      <c r="F26" s="20">
        <f>EDATE(E26,1)</f>
        <v>45444</v>
      </c>
      <c r="G26" s="20">
        <f t="shared" ref="G26" si="31">EDATE(F26,1)</f>
        <v>45474</v>
      </c>
      <c r="H26" s="20">
        <f t="shared" ref="H26" si="32">EDATE(G26,1)</f>
        <v>45505</v>
      </c>
      <c r="I26" s="20">
        <f t="shared" ref="I26" si="33">EDATE(H26,1)</f>
        <v>45536</v>
      </c>
      <c r="J26" s="20">
        <f t="shared" ref="J26" si="34">EDATE(I26,1)</f>
        <v>45566</v>
      </c>
      <c r="K26" s="20">
        <f t="shared" ref="K26" si="35">EDATE(J26,1)</f>
        <v>45597</v>
      </c>
      <c r="L26" s="20">
        <f t="shared" ref="L26" si="36">EDATE(K26,1)</f>
        <v>45627</v>
      </c>
      <c r="M26" s="20">
        <f t="shared" ref="M26" si="37">EDATE(L26,1)</f>
        <v>45658</v>
      </c>
      <c r="N26" s="20">
        <f t="shared" ref="N26" si="38">EDATE(M26,1)</f>
        <v>45689</v>
      </c>
      <c r="O26" s="21">
        <f t="shared" ref="O26" si="39">EDATE(N26,1)</f>
        <v>45717</v>
      </c>
      <c r="P26" s="20">
        <f t="shared" ref="P26" si="40">EDATE(O26,1)</f>
        <v>45748</v>
      </c>
      <c r="Q26" s="20">
        <f t="shared" ref="Q26" si="41">EDATE(P26,1)</f>
        <v>45778</v>
      </c>
      <c r="R26" s="20">
        <f t="shared" ref="R26" si="42">EDATE(Q26,1)</f>
        <v>45809</v>
      </c>
      <c r="S26" s="20">
        <f t="shared" ref="S26" si="43">EDATE(R26,1)</f>
        <v>45839</v>
      </c>
      <c r="T26" s="20">
        <f t="shared" ref="T26" si="44">EDATE(S26,1)</f>
        <v>45870</v>
      </c>
      <c r="U26" s="20">
        <f t="shared" ref="U26" si="45">EDATE(T26,1)</f>
        <v>45901</v>
      </c>
      <c r="V26" s="20">
        <f t="shared" ref="V26" si="46">EDATE(U26,1)</f>
        <v>45931</v>
      </c>
      <c r="W26" s="20">
        <f t="shared" ref="W26" si="47">EDATE(V26,1)</f>
        <v>45962</v>
      </c>
      <c r="X26" s="20">
        <f t="shared" ref="X26" si="48">EDATE(W26,1)</f>
        <v>45992</v>
      </c>
      <c r="Y26" s="20">
        <f t="shared" ref="Y26" si="49">EDATE(X26,1)</f>
        <v>46023</v>
      </c>
      <c r="Z26" s="20">
        <f t="shared" ref="Z26" si="50">EDATE(Y26,1)</f>
        <v>46054</v>
      </c>
      <c r="AA26" s="21">
        <f t="shared" ref="AA26" si="51">EDATE(Z26,1)</f>
        <v>46082</v>
      </c>
      <c r="AB26" s="20">
        <f t="shared" ref="AB26" si="52">EDATE(AA26,1)</f>
        <v>46113</v>
      </c>
      <c r="AC26" s="20">
        <f t="shared" ref="AC26" si="53">EDATE(AB26,1)</f>
        <v>46143</v>
      </c>
      <c r="AD26" s="20">
        <f t="shared" ref="AD26" si="54">EDATE(AC26,1)</f>
        <v>46174</v>
      </c>
      <c r="AE26" s="20">
        <f t="shared" ref="AE26" si="55">EDATE(AD26,1)</f>
        <v>46204</v>
      </c>
      <c r="AF26" s="20">
        <f t="shared" ref="AF26" si="56">EDATE(AE26,1)</f>
        <v>46235</v>
      </c>
      <c r="AG26" s="20">
        <f t="shared" ref="AG26" si="57">EDATE(AF26,1)</f>
        <v>46266</v>
      </c>
      <c r="AH26" s="20">
        <f t="shared" ref="AH26" si="58">EDATE(AG26,1)</f>
        <v>46296</v>
      </c>
      <c r="AI26" s="20">
        <f t="shared" ref="AI26" si="59">EDATE(AH26,1)</f>
        <v>46327</v>
      </c>
      <c r="AJ26" s="20">
        <f t="shared" ref="AJ26" si="60">EDATE(AI26,1)</f>
        <v>46357</v>
      </c>
      <c r="AK26" s="20">
        <f t="shared" ref="AK26" si="61">EDATE(AJ26,1)</f>
        <v>46388</v>
      </c>
      <c r="AL26" s="20">
        <f t="shared" ref="AL26" si="62">EDATE(AK26,1)</f>
        <v>46419</v>
      </c>
      <c r="AM26" s="21">
        <f t="shared" ref="AM26" si="63">EDATE(AL26,1)</f>
        <v>46447</v>
      </c>
      <c r="AN26" s="20">
        <f t="shared" ref="AN26" si="64">EDATE(AM26,1)</f>
        <v>46478</v>
      </c>
      <c r="AO26" s="20">
        <f t="shared" ref="AO26" si="65">EDATE(AN26,1)</f>
        <v>46508</v>
      </c>
      <c r="AP26" s="20">
        <f t="shared" ref="AP26" si="66">EDATE(AO26,1)</f>
        <v>46539</v>
      </c>
      <c r="AQ26" s="20">
        <f t="shared" ref="AQ26" si="67">EDATE(AP26,1)</f>
        <v>46569</v>
      </c>
      <c r="AR26" s="20">
        <f t="shared" ref="AR26" si="68">EDATE(AQ26,1)</f>
        <v>46600</v>
      </c>
      <c r="AS26" s="20">
        <f t="shared" ref="AS26" si="69">EDATE(AR26,1)</f>
        <v>46631</v>
      </c>
      <c r="AT26" s="20">
        <f t="shared" ref="AT26" si="70">EDATE(AS26,1)</f>
        <v>46661</v>
      </c>
      <c r="AU26" s="20">
        <f t="shared" ref="AU26" si="71">EDATE(AT26,1)</f>
        <v>46692</v>
      </c>
      <c r="AV26" s="20">
        <f t="shared" ref="AV26" si="72">EDATE(AU26,1)</f>
        <v>46722</v>
      </c>
      <c r="AW26" s="20">
        <f t="shared" ref="AW26" si="73">EDATE(AV26,1)</f>
        <v>46753</v>
      </c>
      <c r="AX26" s="21">
        <f t="shared" ref="AX26" si="74">EDATE(AW26,1)</f>
        <v>46784</v>
      </c>
      <c r="AY26" s="20">
        <f t="shared" ref="AY26" si="75">EDATE(AX26,1)</f>
        <v>46813</v>
      </c>
      <c r="AZ26" s="20">
        <f t="shared" ref="AZ26" si="76">EDATE(AY26,1)</f>
        <v>46844</v>
      </c>
      <c r="BA26" s="20">
        <f t="shared" ref="BA26" si="77">EDATE(AZ26,1)</f>
        <v>46874</v>
      </c>
      <c r="BB26" s="20">
        <f t="shared" ref="BB26" si="78">EDATE(BA26,1)</f>
        <v>46905</v>
      </c>
      <c r="BC26" s="20">
        <f t="shared" ref="BC26" si="79">EDATE(BB26,1)</f>
        <v>46935</v>
      </c>
      <c r="BD26" s="20">
        <f t="shared" ref="BD26" si="80">EDATE(BC26,1)</f>
        <v>46966</v>
      </c>
      <c r="BE26" s="20">
        <f t="shared" ref="BE26" si="81">EDATE(BD26,1)</f>
        <v>46997</v>
      </c>
      <c r="BF26" s="20">
        <f t="shared" ref="BF26" si="82">EDATE(BE26,1)</f>
        <v>47027</v>
      </c>
      <c r="BG26" s="20">
        <f t="shared" ref="BG26" si="83">EDATE(BF26,1)</f>
        <v>47058</v>
      </c>
      <c r="BH26" s="20">
        <f t="shared" ref="BH26" si="84">EDATE(BG26,1)</f>
        <v>47088</v>
      </c>
      <c r="BI26" s="20">
        <f t="shared" ref="BI26" si="85">EDATE(BH26,1)</f>
        <v>47119</v>
      </c>
      <c r="BJ26" s="21">
        <f t="shared" ref="BJ26" si="86">EDATE(BI26,1)</f>
        <v>47150</v>
      </c>
      <c r="BM26" s="138" t="str">
        <f>BM20</f>
        <v>FY24</v>
      </c>
      <c r="BN26" s="139" t="str">
        <f t="shared" ref="BN26:BO26" si="87">BN20</f>
        <v>FY25</v>
      </c>
      <c r="BO26" s="140" t="str">
        <f t="shared" si="87"/>
        <v>FY26</v>
      </c>
    </row>
    <row r="27" spans="1:67" x14ac:dyDescent="0.35">
      <c r="A27" s="15" t="str">
        <f>A26</f>
        <v>COC (Stress)</v>
      </c>
      <c r="B27" s="15" t="s">
        <v>188</v>
      </c>
      <c r="C27" s="16">
        <f>SUM(C28:C30)</f>
        <v>58.570620005290252</v>
      </c>
      <c r="D27" s="17">
        <f t="shared" ref="D27:BJ27" si="88">SUM(D28:D30)</f>
        <v>103.58735827587016</v>
      </c>
      <c r="E27" s="17">
        <f t="shared" si="88"/>
        <v>77.714578552179006</v>
      </c>
      <c r="F27" s="17">
        <f t="shared" si="88"/>
        <v>87.915105295583956</v>
      </c>
      <c r="G27" s="17">
        <f t="shared" si="88"/>
        <v>85.803166407600941</v>
      </c>
      <c r="H27" s="17">
        <f t="shared" si="88"/>
        <v>85.190606212472787</v>
      </c>
      <c r="I27" s="17">
        <f t="shared" si="88"/>
        <v>30.423038816514868</v>
      </c>
      <c r="J27" s="17">
        <f t="shared" si="88"/>
        <v>216.3221755086</v>
      </c>
      <c r="K27" s="17">
        <f t="shared" si="88"/>
        <v>98.546512826361095</v>
      </c>
      <c r="L27" s="17">
        <f t="shared" si="88"/>
        <v>39.517489900074033</v>
      </c>
      <c r="M27" s="17">
        <f t="shared" si="88"/>
        <v>135.06882782027304</v>
      </c>
      <c r="N27" s="17">
        <f t="shared" si="88"/>
        <v>6.3360015636382698</v>
      </c>
      <c r="O27" s="18">
        <f t="shared" si="88"/>
        <v>87.054341939492105</v>
      </c>
      <c r="P27" s="17">
        <f t="shared" si="88"/>
        <v>94.542747893300884</v>
      </c>
      <c r="Q27" s="17">
        <f t="shared" si="88"/>
        <v>125.27763528661846</v>
      </c>
      <c r="R27" s="17">
        <f t="shared" si="88"/>
        <v>155.40128754533589</v>
      </c>
      <c r="S27" s="17">
        <f t="shared" si="88"/>
        <v>186.86348616059652</v>
      </c>
      <c r="T27" s="17">
        <f t="shared" si="88"/>
        <v>128.75849150933436</v>
      </c>
      <c r="U27" s="17">
        <f t="shared" si="88"/>
        <v>127.48901834336169</v>
      </c>
      <c r="V27" s="17">
        <f t="shared" si="88"/>
        <v>-8.6828205136872256</v>
      </c>
      <c r="W27" s="17">
        <f t="shared" si="88"/>
        <v>16.569195966797135</v>
      </c>
      <c r="X27" s="17">
        <f t="shared" si="88"/>
        <v>-84.155068764412377</v>
      </c>
      <c r="Y27" s="17">
        <f t="shared" si="88"/>
        <v>46.080074547139638</v>
      </c>
      <c r="Z27" s="17">
        <f t="shared" si="88"/>
        <v>-63.480773665316285</v>
      </c>
      <c r="AA27" s="18">
        <f t="shared" si="88"/>
        <v>49.998059950086194</v>
      </c>
      <c r="AB27" s="17">
        <f t="shared" si="88"/>
        <v>88.655302283848528</v>
      </c>
      <c r="AC27" s="17">
        <f t="shared" si="88"/>
        <v>61.782873853640517</v>
      </c>
      <c r="AD27" s="17">
        <f t="shared" si="88"/>
        <v>67.896709820893619</v>
      </c>
      <c r="AE27" s="17">
        <f t="shared" si="88"/>
        <v>89.07220718088297</v>
      </c>
      <c r="AF27" s="17">
        <f t="shared" si="88"/>
        <v>92.348025669647996</v>
      </c>
      <c r="AG27" s="17">
        <f t="shared" si="88"/>
        <v>77.346740862803401</v>
      </c>
      <c r="AH27" s="17">
        <f t="shared" si="88"/>
        <v>91.324483832580583</v>
      </c>
      <c r="AI27" s="17">
        <f t="shared" si="88"/>
        <v>95.326968829836545</v>
      </c>
      <c r="AJ27" s="17">
        <f t="shared" si="88"/>
        <v>23.941828826754971</v>
      </c>
      <c r="AK27" s="17">
        <f t="shared" si="88"/>
        <v>102.46201336204689</v>
      </c>
      <c r="AL27" s="17">
        <f t="shared" si="88"/>
        <v>22.462934774100432</v>
      </c>
      <c r="AM27" s="18">
        <f t="shared" si="88"/>
        <v>102.73431670384271</v>
      </c>
      <c r="AN27" s="17">
        <f t="shared" si="88"/>
        <v>0</v>
      </c>
      <c r="AO27" s="17">
        <f t="shared" si="88"/>
        <v>0</v>
      </c>
      <c r="AP27" s="17">
        <f t="shared" si="88"/>
        <v>0</v>
      </c>
      <c r="AQ27" s="17">
        <f t="shared" si="88"/>
        <v>0</v>
      </c>
      <c r="AR27" s="17">
        <f t="shared" si="88"/>
        <v>0</v>
      </c>
      <c r="AS27" s="17">
        <f t="shared" si="88"/>
        <v>0</v>
      </c>
      <c r="AT27" s="17">
        <f t="shared" si="88"/>
        <v>0</v>
      </c>
      <c r="AU27" s="17">
        <f t="shared" si="88"/>
        <v>0</v>
      </c>
      <c r="AV27" s="17">
        <f t="shared" si="88"/>
        <v>0</v>
      </c>
      <c r="AW27" s="17">
        <f t="shared" si="88"/>
        <v>0</v>
      </c>
      <c r="AX27" s="18">
        <f t="shared" si="88"/>
        <v>0</v>
      </c>
      <c r="AY27" s="17">
        <f t="shared" si="88"/>
        <v>0</v>
      </c>
      <c r="AZ27" s="17">
        <f t="shared" si="88"/>
        <v>0</v>
      </c>
      <c r="BA27" s="17">
        <f t="shared" si="88"/>
        <v>0</v>
      </c>
      <c r="BB27" s="17">
        <f t="shared" si="88"/>
        <v>0</v>
      </c>
      <c r="BC27" s="17">
        <f t="shared" si="88"/>
        <v>0</v>
      </c>
      <c r="BD27" s="17">
        <f t="shared" si="88"/>
        <v>0</v>
      </c>
      <c r="BE27" s="17">
        <f t="shared" si="88"/>
        <v>0</v>
      </c>
      <c r="BF27" s="17">
        <f t="shared" si="88"/>
        <v>0</v>
      </c>
      <c r="BG27" s="17">
        <f t="shared" si="88"/>
        <v>0</v>
      </c>
      <c r="BH27" s="17">
        <f t="shared" si="88"/>
        <v>0</v>
      </c>
      <c r="BI27" s="17">
        <f t="shared" si="88"/>
        <v>0</v>
      </c>
      <c r="BJ27" s="18">
        <f t="shared" si="88"/>
        <v>0</v>
      </c>
      <c r="BM27" s="16">
        <f t="shared" ref="BM27:BO27" si="89">SUM(BM28:BM30)</f>
        <v>1053.4792031186603</v>
      </c>
      <c r="BN27" s="17">
        <f t="shared" si="89"/>
        <v>774.66133425915496</v>
      </c>
      <c r="BO27" s="18">
        <f t="shared" si="89"/>
        <v>915.35440600087941</v>
      </c>
    </row>
    <row r="28" spans="1:67" x14ac:dyDescent="0.35">
      <c r="A28" s="1" t="str">
        <f t="shared" ref="A28:A30" si="90">A27</f>
        <v>COC (Stress)</v>
      </c>
      <c r="B28" s="1" t="s">
        <v>157</v>
      </c>
      <c r="C28" s="52">
        <f>C4-C10+C16+C22</f>
        <v>38.825522275859853</v>
      </c>
      <c r="D28" s="53">
        <f t="shared" ref="D28:AM28" si="91">D4-D10+D16+D22</f>
        <v>57.683188594851416</v>
      </c>
      <c r="E28" s="53">
        <f t="shared" si="91"/>
        <v>43.310018005483293</v>
      </c>
      <c r="F28" s="53">
        <f t="shared" si="91"/>
        <v>47.009626434746117</v>
      </c>
      <c r="G28" s="53">
        <f t="shared" si="91"/>
        <v>42.304840771989632</v>
      </c>
      <c r="H28" s="53">
        <f t="shared" si="91"/>
        <v>47.426189164325905</v>
      </c>
      <c r="I28" s="53">
        <f t="shared" si="91"/>
        <v>42.82183178296448</v>
      </c>
      <c r="J28" s="53">
        <f t="shared" si="91"/>
        <v>127.07862446851101</v>
      </c>
      <c r="K28" s="53">
        <f t="shared" si="91"/>
        <v>54.878609105652309</v>
      </c>
      <c r="L28" s="53">
        <f t="shared" si="91"/>
        <v>57.043358572916283</v>
      </c>
      <c r="M28" s="53">
        <f t="shared" si="91"/>
        <v>58.047215819847324</v>
      </c>
      <c r="N28" s="53">
        <f t="shared" si="91"/>
        <v>56.121674349719854</v>
      </c>
      <c r="O28" s="54">
        <f t="shared" si="91"/>
        <v>42.563690446309245</v>
      </c>
      <c r="P28" s="53">
        <f t="shared" si="91"/>
        <v>54.334791217503465</v>
      </c>
      <c r="Q28" s="53">
        <f t="shared" si="91"/>
        <v>72.188184056529366</v>
      </c>
      <c r="R28" s="53">
        <f t="shared" si="91"/>
        <v>76.877152089952432</v>
      </c>
      <c r="S28" s="53">
        <f t="shared" si="91"/>
        <v>134.15637023684124</v>
      </c>
      <c r="T28" s="53">
        <f t="shared" si="91"/>
        <v>67.181197492658569</v>
      </c>
      <c r="U28" s="53">
        <f t="shared" si="91"/>
        <v>54.764852690226462</v>
      </c>
      <c r="V28" s="53">
        <f t="shared" si="91"/>
        <v>-4.2818356841718419</v>
      </c>
      <c r="W28" s="53">
        <f t="shared" si="91"/>
        <v>12.928912089533064</v>
      </c>
      <c r="X28" s="53">
        <f t="shared" si="91"/>
        <v>15.771344350860662</v>
      </c>
      <c r="Y28" s="53">
        <f t="shared" si="91"/>
        <v>24.659618853822764</v>
      </c>
      <c r="Z28" s="53">
        <f t="shared" si="91"/>
        <v>21.708433088733091</v>
      </c>
      <c r="AA28" s="54">
        <f t="shared" si="91"/>
        <v>21.649346806760839</v>
      </c>
      <c r="AB28" s="53">
        <f t="shared" si="91"/>
        <v>74.049287459842304</v>
      </c>
      <c r="AC28" s="53">
        <f t="shared" si="91"/>
        <v>39.892467481731558</v>
      </c>
      <c r="AD28" s="53">
        <f t="shared" si="91"/>
        <v>28.069448607642528</v>
      </c>
      <c r="AE28" s="53">
        <f t="shared" si="91"/>
        <v>54.537543430773383</v>
      </c>
      <c r="AF28" s="53">
        <f t="shared" si="91"/>
        <v>57.070208462883933</v>
      </c>
      <c r="AG28" s="53">
        <f t="shared" si="91"/>
        <v>57.610138499784433</v>
      </c>
      <c r="AH28" s="53">
        <f t="shared" si="91"/>
        <v>50.228337769922661</v>
      </c>
      <c r="AI28" s="53">
        <f t="shared" si="91"/>
        <v>50.56918867008082</v>
      </c>
      <c r="AJ28" s="53">
        <f t="shared" si="91"/>
        <v>56.881762355627174</v>
      </c>
      <c r="AK28" s="53">
        <f t="shared" si="91"/>
        <v>54.678806945494067</v>
      </c>
      <c r="AL28" s="53">
        <f t="shared" si="91"/>
        <v>50.718851188775602</v>
      </c>
      <c r="AM28" s="54">
        <f t="shared" si="91"/>
        <v>55.730375879233819</v>
      </c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4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4"/>
      <c r="BM28" s="52">
        <f>SUM(D28:O28)</f>
        <v>676.28886751731693</v>
      </c>
      <c r="BN28" s="53">
        <f>SUM(P28:AA28)</f>
        <v>551.9383672892501</v>
      </c>
      <c r="BO28" s="54">
        <f>SUM(AB28:AM28)</f>
        <v>630.03641675179244</v>
      </c>
    </row>
    <row r="29" spans="1:67" x14ac:dyDescent="0.35">
      <c r="A29" s="2" t="str">
        <f t="shared" si="90"/>
        <v>COC (Stress)</v>
      </c>
      <c r="B29" s="2" t="s">
        <v>158</v>
      </c>
      <c r="C29" s="55">
        <f t="shared" ref="C29:AM29" si="92">C5-C11+C17+C23</f>
        <v>17.481922463616669</v>
      </c>
      <c r="D29" s="56">
        <f t="shared" si="92"/>
        <v>46.395640273643593</v>
      </c>
      <c r="E29" s="56">
        <f t="shared" si="92"/>
        <v>37.18406760261437</v>
      </c>
      <c r="F29" s="56">
        <f t="shared" si="92"/>
        <v>43.473218121832744</v>
      </c>
      <c r="G29" s="56">
        <f t="shared" si="92"/>
        <v>45.80598578888835</v>
      </c>
      <c r="H29" s="56">
        <f t="shared" si="92"/>
        <v>39.86992190795992</v>
      </c>
      <c r="I29" s="56">
        <f t="shared" si="92"/>
        <v>-10.425955636671453</v>
      </c>
      <c r="J29" s="56">
        <f t="shared" si="92"/>
        <v>91.241142092535711</v>
      </c>
      <c r="K29" s="56">
        <f t="shared" si="92"/>
        <v>45.805493662288782</v>
      </c>
      <c r="L29" s="56">
        <f t="shared" si="92"/>
        <v>-15.597159693741418</v>
      </c>
      <c r="M29" s="56">
        <f t="shared" si="92"/>
        <v>78.980716806165674</v>
      </c>
      <c r="N29" s="56">
        <f t="shared" si="92"/>
        <v>-47.87125864284976</v>
      </c>
      <c r="O29" s="57">
        <f t="shared" si="92"/>
        <v>46.003463811465977</v>
      </c>
      <c r="P29" s="56">
        <f t="shared" si="92"/>
        <v>42.849540078069921</v>
      </c>
      <c r="Q29" s="56">
        <f t="shared" si="92"/>
        <v>55.557356768511845</v>
      </c>
      <c r="R29" s="56">
        <f t="shared" si="92"/>
        <v>80.846360997458333</v>
      </c>
      <c r="S29" s="56">
        <f t="shared" si="92"/>
        <v>54.873141797458288</v>
      </c>
      <c r="T29" s="56">
        <f t="shared" si="92"/>
        <v>63.578214043124959</v>
      </c>
      <c r="U29" s="56">
        <f t="shared" si="92"/>
        <v>74.616773600322489</v>
      </c>
      <c r="V29" s="56">
        <f t="shared" si="92"/>
        <v>-3.0929517727545282</v>
      </c>
      <c r="W29" s="56">
        <f t="shared" si="92"/>
        <v>4.4651468108641517</v>
      </c>
      <c r="X29" s="56">
        <f t="shared" si="92"/>
        <v>-99.689850314369608</v>
      </c>
      <c r="Y29" s="56">
        <f t="shared" si="92"/>
        <v>21.058122253766527</v>
      </c>
      <c r="Z29" s="56">
        <f t="shared" si="92"/>
        <v>-86.065985392108573</v>
      </c>
      <c r="AA29" s="57">
        <f t="shared" si="92"/>
        <v>26.119058887830025</v>
      </c>
      <c r="AB29" s="56">
        <f t="shared" si="92"/>
        <v>14.725033442397912</v>
      </c>
      <c r="AC29" s="56">
        <f t="shared" si="92"/>
        <v>21.479791924112668</v>
      </c>
      <c r="AD29" s="56">
        <f t="shared" si="92"/>
        <v>38.698998083883602</v>
      </c>
      <c r="AE29" s="56">
        <f t="shared" si="92"/>
        <v>32.460538048674991</v>
      </c>
      <c r="AF29" s="56">
        <f t="shared" si="92"/>
        <v>32.205068664898803</v>
      </c>
      <c r="AG29" s="56">
        <f t="shared" si="92"/>
        <v>15.695062142698461</v>
      </c>
      <c r="AH29" s="56">
        <f t="shared" si="92"/>
        <v>33.534000109396473</v>
      </c>
      <c r="AI29" s="56">
        <f t="shared" si="92"/>
        <v>37.690450882384248</v>
      </c>
      <c r="AJ29" s="56">
        <f t="shared" si="92"/>
        <v>-40.229841470038764</v>
      </c>
      <c r="AK29" s="56">
        <f t="shared" si="92"/>
        <v>40.28725110920854</v>
      </c>
      <c r="AL29" s="56">
        <f t="shared" si="92"/>
        <v>-35.602164078629627</v>
      </c>
      <c r="AM29" s="57">
        <f t="shared" si="92"/>
        <v>37.076160398719978</v>
      </c>
      <c r="AN29" s="56"/>
      <c r="AO29" s="56"/>
      <c r="AP29" s="56"/>
      <c r="AQ29" s="56"/>
      <c r="AR29" s="56"/>
      <c r="AS29" s="56"/>
      <c r="AT29" s="56"/>
      <c r="AU29" s="56"/>
      <c r="AV29" s="56"/>
      <c r="AW29" s="56"/>
      <c r="AX29" s="57"/>
      <c r="AY29" s="56"/>
      <c r="AZ29" s="56"/>
      <c r="BA29" s="56"/>
      <c r="BB29" s="56"/>
      <c r="BC29" s="56"/>
      <c r="BD29" s="56"/>
      <c r="BE29" s="56"/>
      <c r="BF29" s="56"/>
      <c r="BG29" s="56"/>
      <c r="BH29" s="56"/>
      <c r="BI29" s="56"/>
      <c r="BJ29" s="57"/>
      <c r="BM29" s="55">
        <f t="shared" ref="BM29:BM30" si="93">SUM(D29:O29)</f>
        <v>400.86527609413247</v>
      </c>
      <c r="BN29" s="56">
        <f t="shared" ref="BN29:BN30" si="94">SUM(P29:AA29)</f>
        <v>235.11492775817379</v>
      </c>
      <c r="BO29" s="57">
        <f t="shared" ref="BO29:BO30" si="95">SUM(AB29:AM29)</f>
        <v>228.02034925770732</v>
      </c>
    </row>
    <row r="30" spans="1:67" x14ac:dyDescent="0.35">
      <c r="A30" s="3" t="str">
        <f t="shared" si="90"/>
        <v>COC (Stress)</v>
      </c>
      <c r="B30" s="3" t="s">
        <v>159</v>
      </c>
      <c r="C30" s="58">
        <f t="shared" ref="C30:AM30" si="96">C6-C12+C18+C24</f>
        <v>2.2631752658137287</v>
      </c>
      <c r="D30" s="59">
        <f t="shared" si="96"/>
        <v>-0.49147059262485016</v>
      </c>
      <c r="E30" s="59">
        <f t="shared" si="96"/>
        <v>-2.779507055918657</v>
      </c>
      <c r="F30" s="59">
        <f t="shared" si="96"/>
        <v>-2.5677392609949123</v>
      </c>
      <c r="G30" s="59">
        <f t="shared" si="96"/>
        <v>-2.3076601532770411</v>
      </c>
      <c r="H30" s="59">
        <f t="shared" si="96"/>
        <v>-2.1055048598130384</v>
      </c>
      <c r="I30" s="59">
        <f t="shared" si="96"/>
        <v>-1.9728373297781587</v>
      </c>
      <c r="J30" s="59">
        <f t="shared" si="96"/>
        <v>-1.9975910524467224</v>
      </c>
      <c r="K30" s="59">
        <f t="shared" si="96"/>
        <v>-2.1375899415799893</v>
      </c>
      <c r="L30" s="59">
        <f t="shared" si="96"/>
        <v>-1.9287089791008327</v>
      </c>
      <c r="M30" s="59">
        <f t="shared" si="96"/>
        <v>-1.959104805739976</v>
      </c>
      <c r="N30" s="59">
        <f t="shared" si="96"/>
        <v>-1.9144141432318236</v>
      </c>
      <c r="O30" s="60">
        <f t="shared" si="96"/>
        <v>-1.5128123182831175</v>
      </c>
      <c r="P30" s="59">
        <f t="shared" si="96"/>
        <v>-2.6415834022724951</v>
      </c>
      <c r="Q30" s="59">
        <f t="shared" si="96"/>
        <v>-2.4679055384227553</v>
      </c>
      <c r="R30" s="59">
        <f t="shared" si="96"/>
        <v>-2.3222255420748752</v>
      </c>
      <c r="S30" s="59">
        <f t="shared" si="96"/>
        <v>-2.1660258737030063</v>
      </c>
      <c r="T30" s="59">
        <f t="shared" si="96"/>
        <v>-2.0009200264491582</v>
      </c>
      <c r="U30" s="59">
        <f t="shared" si="96"/>
        <v>-1.8926079471872512</v>
      </c>
      <c r="V30" s="59">
        <f t="shared" si="96"/>
        <v>-1.3080330567608556</v>
      </c>
      <c r="W30" s="59">
        <f t="shared" si="96"/>
        <v>-0.82486293360008034</v>
      </c>
      <c r="X30" s="59">
        <f t="shared" si="96"/>
        <v>-0.23656280090342818</v>
      </c>
      <c r="Y30" s="59">
        <f t="shared" si="96"/>
        <v>0.36233343955034769</v>
      </c>
      <c r="Z30" s="59">
        <f t="shared" si="96"/>
        <v>0.87677863805919998</v>
      </c>
      <c r="AA30" s="60">
        <f t="shared" si="96"/>
        <v>2.2296542554953263</v>
      </c>
      <c r="AB30" s="59">
        <f t="shared" si="96"/>
        <v>-0.11901861839169925</v>
      </c>
      <c r="AC30" s="59">
        <f t="shared" si="96"/>
        <v>0.41061444779629142</v>
      </c>
      <c r="AD30" s="59">
        <f t="shared" si="96"/>
        <v>1.1282631293675038</v>
      </c>
      <c r="AE30" s="59">
        <f t="shared" si="96"/>
        <v>2.0741257014346033</v>
      </c>
      <c r="AF30" s="59">
        <f t="shared" si="96"/>
        <v>3.0727485418652591</v>
      </c>
      <c r="AG30" s="59">
        <f t="shared" si="96"/>
        <v>4.0415402203204991</v>
      </c>
      <c r="AH30" s="59">
        <f t="shared" si="96"/>
        <v>7.5621459532614494</v>
      </c>
      <c r="AI30" s="59">
        <f t="shared" si="96"/>
        <v>7.0673292773714707</v>
      </c>
      <c r="AJ30" s="59">
        <f t="shared" si="96"/>
        <v>7.289907941166561</v>
      </c>
      <c r="AK30" s="59">
        <f t="shared" si="96"/>
        <v>7.4959553073442748</v>
      </c>
      <c r="AL30" s="59">
        <f t="shared" si="96"/>
        <v>7.3462476639544576</v>
      </c>
      <c r="AM30" s="60">
        <f t="shared" si="96"/>
        <v>9.927780425888912</v>
      </c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X30" s="60"/>
      <c r="AY30" s="59"/>
      <c r="AZ30" s="59"/>
      <c r="BA30" s="59"/>
      <c r="BB30" s="59"/>
      <c r="BC30" s="59"/>
      <c r="BD30" s="59"/>
      <c r="BE30" s="59"/>
      <c r="BF30" s="59"/>
      <c r="BG30" s="59"/>
      <c r="BH30" s="59"/>
      <c r="BI30" s="59"/>
      <c r="BJ30" s="60"/>
      <c r="BM30" s="58">
        <f t="shared" si="93"/>
        <v>-23.674940492789119</v>
      </c>
      <c r="BN30" s="59">
        <f t="shared" si="94"/>
        <v>-12.391960788269031</v>
      </c>
      <c r="BO30" s="60">
        <f t="shared" si="95"/>
        <v>57.297639991379583</v>
      </c>
    </row>
    <row r="32" spans="1:67" x14ac:dyDescent="0.35">
      <c r="A32" s="25" t="s">
        <v>223</v>
      </c>
      <c r="B32" s="4" t="s">
        <v>3</v>
      </c>
      <c r="C32" s="19">
        <f>C26</f>
        <v>45352</v>
      </c>
      <c r="D32" s="20">
        <f>EDATE(C32,1)</f>
        <v>45383</v>
      </c>
      <c r="E32" s="20">
        <f>EDATE(D32,1)</f>
        <v>45413</v>
      </c>
      <c r="F32" s="20">
        <f>EDATE(E32,1)</f>
        <v>45444</v>
      </c>
      <c r="G32" s="20">
        <f t="shared" ref="G32" si="97">EDATE(F32,1)</f>
        <v>45474</v>
      </c>
      <c r="H32" s="20">
        <f t="shared" ref="H32" si="98">EDATE(G32,1)</f>
        <v>45505</v>
      </c>
      <c r="I32" s="20">
        <f t="shared" ref="I32" si="99">EDATE(H32,1)</f>
        <v>45536</v>
      </c>
      <c r="J32" s="20">
        <f t="shared" ref="J32" si="100">EDATE(I32,1)</f>
        <v>45566</v>
      </c>
      <c r="K32" s="20">
        <f t="shared" ref="K32" si="101">EDATE(J32,1)</f>
        <v>45597</v>
      </c>
      <c r="L32" s="20">
        <f t="shared" ref="L32" si="102">EDATE(K32,1)</f>
        <v>45627</v>
      </c>
      <c r="M32" s="20">
        <f t="shared" ref="M32" si="103">EDATE(L32,1)</f>
        <v>45658</v>
      </c>
      <c r="N32" s="20">
        <f t="shared" ref="N32" si="104">EDATE(M32,1)</f>
        <v>45689</v>
      </c>
      <c r="O32" s="21">
        <f t="shared" ref="O32" si="105">EDATE(N32,1)</f>
        <v>45717</v>
      </c>
      <c r="P32" s="20">
        <f t="shared" ref="P32" si="106">EDATE(O32,1)</f>
        <v>45748</v>
      </c>
      <c r="Q32" s="20">
        <f t="shared" ref="Q32" si="107">EDATE(P32,1)</f>
        <v>45778</v>
      </c>
      <c r="R32" s="20">
        <f t="shared" ref="R32" si="108">EDATE(Q32,1)</f>
        <v>45809</v>
      </c>
      <c r="S32" s="20">
        <f t="shared" ref="S32" si="109">EDATE(R32,1)</f>
        <v>45839</v>
      </c>
      <c r="T32" s="20">
        <f t="shared" ref="T32" si="110">EDATE(S32,1)</f>
        <v>45870</v>
      </c>
      <c r="U32" s="20">
        <f t="shared" ref="U32" si="111">EDATE(T32,1)</f>
        <v>45901</v>
      </c>
      <c r="V32" s="20">
        <f t="shared" ref="V32" si="112">EDATE(U32,1)</f>
        <v>45931</v>
      </c>
      <c r="W32" s="20">
        <f t="shared" ref="W32" si="113">EDATE(V32,1)</f>
        <v>45962</v>
      </c>
      <c r="X32" s="20">
        <f t="shared" ref="X32" si="114">EDATE(W32,1)</f>
        <v>45992</v>
      </c>
      <c r="Y32" s="20">
        <f t="shared" ref="Y32" si="115">EDATE(X32,1)</f>
        <v>46023</v>
      </c>
      <c r="Z32" s="20">
        <f t="shared" ref="Z32" si="116">EDATE(Y32,1)</f>
        <v>46054</v>
      </c>
      <c r="AA32" s="21">
        <f t="shared" ref="AA32" si="117">EDATE(Z32,1)</f>
        <v>46082</v>
      </c>
      <c r="AB32" s="20">
        <f t="shared" ref="AB32" si="118">EDATE(AA32,1)</f>
        <v>46113</v>
      </c>
      <c r="AC32" s="20">
        <f t="shared" ref="AC32" si="119">EDATE(AB32,1)</f>
        <v>46143</v>
      </c>
      <c r="AD32" s="20">
        <f t="shared" ref="AD32" si="120">EDATE(AC32,1)</f>
        <v>46174</v>
      </c>
      <c r="AE32" s="20">
        <f t="shared" ref="AE32" si="121">EDATE(AD32,1)</f>
        <v>46204</v>
      </c>
      <c r="AF32" s="20">
        <f t="shared" ref="AF32" si="122">EDATE(AE32,1)</f>
        <v>46235</v>
      </c>
      <c r="AG32" s="20">
        <f t="shared" ref="AG32" si="123">EDATE(AF32,1)</f>
        <v>46266</v>
      </c>
      <c r="AH32" s="20">
        <f t="shared" ref="AH32" si="124">EDATE(AG32,1)</f>
        <v>46296</v>
      </c>
      <c r="AI32" s="20">
        <f t="shared" ref="AI32" si="125">EDATE(AH32,1)</f>
        <v>46327</v>
      </c>
      <c r="AJ32" s="20">
        <f t="shared" ref="AJ32" si="126">EDATE(AI32,1)</f>
        <v>46357</v>
      </c>
      <c r="AK32" s="20">
        <f t="shared" ref="AK32" si="127">EDATE(AJ32,1)</f>
        <v>46388</v>
      </c>
      <c r="AL32" s="20">
        <f t="shared" ref="AL32" si="128">EDATE(AK32,1)</f>
        <v>46419</v>
      </c>
      <c r="AM32" s="21">
        <f t="shared" ref="AM32" si="129">EDATE(AL32,1)</f>
        <v>46447</v>
      </c>
      <c r="AN32" s="20">
        <f t="shared" ref="AN32" si="130">EDATE(AM32,1)</f>
        <v>46478</v>
      </c>
      <c r="AO32" s="20">
        <f t="shared" ref="AO32" si="131">EDATE(AN32,1)</f>
        <v>46508</v>
      </c>
      <c r="AP32" s="20">
        <f t="shared" ref="AP32" si="132">EDATE(AO32,1)</f>
        <v>46539</v>
      </c>
      <c r="AQ32" s="20">
        <f t="shared" ref="AQ32" si="133">EDATE(AP32,1)</f>
        <v>46569</v>
      </c>
      <c r="AR32" s="20">
        <f t="shared" ref="AR32" si="134">EDATE(AQ32,1)</f>
        <v>46600</v>
      </c>
      <c r="AS32" s="20">
        <f t="shared" ref="AS32" si="135">EDATE(AR32,1)</f>
        <v>46631</v>
      </c>
      <c r="AT32" s="20">
        <f t="shared" ref="AT32" si="136">EDATE(AS32,1)</f>
        <v>46661</v>
      </c>
      <c r="AU32" s="20">
        <f t="shared" ref="AU32" si="137">EDATE(AT32,1)</f>
        <v>46692</v>
      </c>
      <c r="AV32" s="20">
        <f t="shared" ref="AV32" si="138">EDATE(AU32,1)</f>
        <v>46722</v>
      </c>
      <c r="AW32" s="20">
        <f t="shared" ref="AW32" si="139">EDATE(AV32,1)</f>
        <v>46753</v>
      </c>
      <c r="AX32" s="21">
        <f t="shared" ref="AX32" si="140">EDATE(AW32,1)</f>
        <v>46784</v>
      </c>
      <c r="AY32" s="20">
        <f t="shared" ref="AY32" si="141">EDATE(AX32,1)</f>
        <v>46813</v>
      </c>
      <c r="AZ32" s="20">
        <f t="shared" ref="AZ32" si="142">EDATE(AY32,1)</f>
        <v>46844</v>
      </c>
      <c r="BA32" s="20">
        <f t="shared" ref="BA32" si="143">EDATE(AZ32,1)</f>
        <v>46874</v>
      </c>
      <c r="BB32" s="20">
        <f t="shared" ref="BB32" si="144">EDATE(BA32,1)</f>
        <v>46905</v>
      </c>
      <c r="BC32" s="20">
        <f t="shared" ref="BC32" si="145">EDATE(BB32,1)</f>
        <v>46935</v>
      </c>
      <c r="BD32" s="20">
        <f t="shared" ref="BD32" si="146">EDATE(BC32,1)</f>
        <v>46966</v>
      </c>
      <c r="BE32" s="20">
        <f t="shared" ref="BE32" si="147">EDATE(BD32,1)</f>
        <v>46997</v>
      </c>
      <c r="BF32" s="20">
        <f t="shared" ref="BF32" si="148">EDATE(BE32,1)</f>
        <v>47027</v>
      </c>
      <c r="BG32" s="20">
        <f t="shared" ref="BG32" si="149">EDATE(BF32,1)</f>
        <v>47058</v>
      </c>
      <c r="BH32" s="20">
        <f t="shared" ref="BH32" si="150">EDATE(BG32,1)</f>
        <v>47088</v>
      </c>
      <c r="BI32" s="20">
        <f t="shared" ref="BI32" si="151">EDATE(BH32,1)</f>
        <v>47119</v>
      </c>
      <c r="BJ32" s="21">
        <f t="shared" ref="BJ32" si="152">EDATE(BI32,1)</f>
        <v>47150</v>
      </c>
      <c r="BM32" s="138" t="str">
        <f>BM26</f>
        <v>FY24</v>
      </c>
      <c r="BN32" s="139" t="str">
        <f t="shared" ref="BN32:BO32" si="153">BN26</f>
        <v>FY25</v>
      </c>
      <c r="BO32" s="140" t="str">
        <f t="shared" si="153"/>
        <v>FY26</v>
      </c>
    </row>
    <row r="33" spans="1:67" x14ac:dyDescent="0.35">
      <c r="A33" s="15" t="str">
        <f>A32</f>
        <v>ECL BS (Stress)</v>
      </c>
      <c r="B33" s="15" t="s">
        <v>188</v>
      </c>
      <c r="C33" s="16">
        <f>SUM(C34:C36)</f>
        <v>1668.6021856084249</v>
      </c>
      <c r="D33" s="17">
        <f t="shared" ref="D33:BJ33" si="154">SUM(D34:D36)</f>
        <v>1720.4794694819661</v>
      </c>
      <c r="E33" s="17">
        <f t="shared" si="154"/>
        <v>1772.2044295220162</v>
      </c>
      <c r="F33" s="17">
        <f t="shared" si="154"/>
        <v>1829.1014044072083</v>
      </c>
      <c r="G33" s="17">
        <f t="shared" si="154"/>
        <v>1884.8253309093275</v>
      </c>
      <c r="H33" s="17">
        <f t="shared" si="154"/>
        <v>1937.0450853332577</v>
      </c>
      <c r="I33" s="17">
        <f t="shared" si="154"/>
        <v>1941.0484000688723</v>
      </c>
      <c r="J33" s="17">
        <f t="shared" si="154"/>
        <v>2113.7373097141508</v>
      </c>
      <c r="K33" s="17">
        <f t="shared" si="154"/>
        <v>2185.4391583242041</v>
      </c>
      <c r="L33" s="17">
        <f t="shared" si="154"/>
        <v>2166.596427742686</v>
      </c>
      <c r="M33" s="17">
        <f t="shared" si="154"/>
        <v>2230.9186087742014</v>
      </c>
      <c r="N33" s="17">
        <f t="shared" si="154"/>
        <v>2208.2759452423929</v>
      </c>
      <c r="O33" s="18">
        <f t="shared" si="154"/>
        <v>2264.6394668196158</v>
      </c>
      <c r="P33" s="17">
        <f t="shared" si="154"/>
        <v>2313.5529511423897</v>
      </c>
      <c r="Q33" s="17">
        <f t="shared" si="154"/>
        <v>2380.6459599897985</v>
      </c>
      <c r="R33" s="17">
        <f t="shared" si="154"/>
        <v>2452.8460395133234</v>
      </c>
      <c r="S33" s="17">
        <f t="shared" si="154"/>
        <v>2519.554955855283</v>
      </c>
      <c r="T33" s="17">
        <f t="shared" si="154"/>
        <v>2594.0509921607932</v>
      </c>
      <c r="U33" s="17">
        <f t="shared" si="154"/>
        <v>2661.6353949404124</v>
      </c>
      <c r="V33" s="17">
        <f t="shared" si="154"/>
        <v>2628.1296370985324</v>
      </c>
      <c r="W33" s="17">
        <f t="shared" si="154"/>
        <v>2601.889602550596</v>
      </c>
      <c r="X33" s="17">
        <f t="shared" si="154"/>
        <v>2476.1512483000879</v>
      </c>
      <c r="Y33" s="17">
        <f t="shared" si="154"/>
        <v>2478.6966089085363</v>
      </c>
      <c r="Z33" s="17">
        <f t="shared" si="154"/>
        <v>2378.2093146286147</v>
      </c>
      <c r="AA33" s="18">
        <f t="shared" si="154"/>
        <v>2389.8474373050694</v>
      </c>
      <c r="AB33" s="17">
        <f t="shared" si="154"/>
        <v>2356.8926993092573</v>
      </c>
      <c r="AC33" s="17">
        <f t="shared" si="154"/>
        <v>2357.4998847142933</v>
      </c>
      <c r="AD33" s="17">
        <f t="shared" si="154"/>
        <v>2347.3755267752622</v>
      </c>
      <c r="AE33" s="17">
        <f t="shared" si="154"/>
        <v>2345.4692108544778</v>
      </c>
      <c r="AF33" s="17">
        <f t="shared" si="154"/>
        <v>2355.8189035926812</v>
      </c>
      <c r="AG33" s="17">
        <f t="shared" si="154"/>
        <v>2361.6495484742545</v>
      </c>
      <c r="AH33" s="17">
        <f t="shared" si="154"/>
        <v>2404.1668366600766</v>
      </c>
      <c r="AI33" s="17">
        <f t="shared" si="154"/>
        <v>2454.7555557953306</v>
      </c>
      <c r="AJ33" s="17">
        <f t="shared" si="154"/>
        <v>2433.7940156608165</v>
      </c>
      <c r="AK33" s="17">
        <f t="shared" si="154"/>
        <v>2488.4245254085718</v>
      </c>
      <c r="AL33" s="17">
        <f t="shared" si="154"/>
        <v>2461.7862926967791</v>
      </c>
      <c r="AM33" s="18">
        <f t="shared" si="154"/>
        <v>2511.4423711476743</v>
      </c>
      <c r="AN33" s="17">
        <f t="shared" si="154"/>
        <v>0</v>
      </c>
      <c r="AO33" s="17">
        <f t="shared" si="154"/>
        <v>0</v>
      </c>
      <c r="AP33" s="17">
        <f t="shared" si="154"/>
        <v>0</v>
      </c>
      <c r="AQ33" s="17">
        <f t="shared" si="154"/>
        <v>0</v>
      </c>
      <c r="AR33" s="17">
        <f t="shared" si="154"/>
        <v>0</v>
      </c>
      <c r="AS33" s="17">
        <f t="shared" si="154"/>
        <v>0</v>
      </c>
      <c r="AT33" s="17">
        <f t="shared" si="154"/>
        <v>0</v>
      </c>
      <c r="AU33" s="17">
        <f t="shared" si="154"/>
        <v>0</v>
      </c>
      <c r="AV33" s="17">
        <f t="shared" si="154"/>
        <v>0</v>
      </c>
      <c r="AW33" s="17">
        <f t="shared" si="154"/>
        <v>0</v>
      </c>
      <c r="AX33" s="18">
        <f t="shared" si="154"/>
        <v>0</v>
      </c>
      <c r="AY33" s="17">
        <f t="shared" si="154"/>
        <v>0</v>
      </c>
      <c r="AZ33" s="17">
        <f t="shared" si="154"/>
        <v>0</v>
      </c>
      <c r="BA33" s="17">
        <f t="shared" si="154"/>
        <v>0</v>
      </c>
      <c r="BB33" s="17">
        <f t="shared" si="154"/>
        <v>0</v>
      </c>
      <c r="BC33" s="17">
        <f t="shared" si="154"/>
        <v>0</v>
      </c>
      <c r="BD33" s="17">
        <f t="shared" si="154"/>
        <v>0</v>
      </c>
      <c r="BE33" s="17">
        <f t="shared" si="154"/>
        <v>0</v>
      </c>
      <c r="BF33" s="17">
        <f t="shared" si="154"/>
        <v>0</v>
      </c>
      <c r="BG33" s="17">
        <f t="shared" si="154"/>
        <v>0</v>
      </c>
      <c r="BH33" s="17">
        <f t="shared" si="154"/>
        <v>0</v>
      </c>
      <c r="BI33" s="17">
        <f t="shared" si="154"/>
        <v>0</v>
      </c>
      <c r="BJ33" s="18">
        <f t="shared" si="154"/>
        <v>0</v>
      </c>
      <c r="BM33" s="16">
        <f t="shared" ref="BM33:BO33" si="155">SUM(BM34:BM36)</f>
        <v>2264.6394668196158</v>
      </c>
      <c r="BN33" s="17">
        <f t="shared" si="155"/>
        <v>2389.8474373050694</v>
      </c>
      <c r="BO33" s="18">
        <f t="shared" si="155"/>
        <v>2511.4423711476743</v>
      </c>
    </row>
    <row r="34" spans="1:67" x14ac:dyDescent="0.35">
      <c r="A34" s="1" t="str">
        <f t="shared" ref="A34:A36" si="156">A33</f>
        <v>ECL BS (Stress)</v>
      </c>
      <c r="B34" s="1" t="s">
        <v>157</v>
      </c>
      <c r="C34" s="52">
        <f>'ECL BS'!C17+'ECL BS'!C23+'ECL BS'!C29</f>
        <v>1021.0777680644372</v>
      </c>
      <c r="D34" s="53">
        <f>'ECL BS'!D17+'ECL BS'!D23+'ECL BS'!D29</f>
        <v>1041.9336231262328</v>
      </c>
      <c r="E34" s="53">
        <f>'ECL BS'!E17+'ECL BS'!E23+'ECL BS'!E29</f>
        <v>1073.9068008426837</v>
      </c>
      <c r="F34" s="53">
        <f>'ECL BS'!F17+'ECL BS'!F23+'ECL BS'!F29</f>
        <v>1103.9099965573278</v>
      </c>
      <c r="G34" s="53">
        <f>'ECL BS'!G17+'ECL BS'!G23+'ECL BS'!G29</f>
        <v>1133.248236754388</v>
      </c>
      <c r="H34" s="53">
        <f>'ECL BS'!H17+'ECL BS'!H23+'ECL BS'!H29</f>
        <v>1162.5332642059573</v>
      </c>
      <c r="I34" s="53">
        <f>'ECL BS'!I17+'ECL BS'!I23+'ECL BS'!I29</f>
        <v>1193.3459904198489</v>
      </c>
      <c r="J34" s="53">
        <f>'ECL BS'!J17+'ECL BS'!J23+'ECL BS'!J29</f>
        <v>1295.3035601749589</v>
      </c>
      <c r="K34" s="53">
        <f>'ECL BS'!K17+'ECL BS'!K23+'ECL BS'!K29</f>
        <v>1335.8671702010499</v>
      </c>
      <c r="L34" s="53">
        <f>'ECL BS'!L17+'ECL BS'!L23+'ECL BS'!L29</f>
        <v>1379.4684023808043</v>
      </c>
      <c r="M34" s="53">
        <f>'ECL BS'!M17+'ECL BS'!M23+'ECL BS'!M29</f>
        <v>1421.5874286937867</v>
      </c>
      <c r="N34" s="53">
        <f>'ECL BS'!N17+'ECL BS'!N23+'ECL BS'!N29</f>
        <v>1463.641108801279</v>
      </c>
      <c r="O34" s="54">
        <f>'ECL BS'!O17+'ECL BS'!O23+'ECL BS'!O29</f>
        <v>1490.6621409730974</v>
      </c>
      <c r="P34" s="53">
        <f>'ECL BS'!P17+'ECL BS'!P23+'ECL BS'!P29</f>
        <v>1520.9859265037821</v>
      </c>
      <c r="Q34" s="53">
        <f>'ECL BS'!Q17+'ECL BS'!Q23+'ECL BS'!Q29</f>
        <v>1559.4133064011489</v>
      </c>
      <c r="R34" s="53">
        <f>'ECL BS'!R17+'ECL BS'!R23+'ECL BS'!R29</f>
        <v>1598.2026878517042</v>
      </c>
      <c r="S34" s="53">
        <f>'ECL BS'!S17+'ECL BS'!S23+'ECL BS'!S29</f>
        <v>1632.5109154923264</v>
      </c>
      <c r="T34" s="53">
        <f>'ECL BS'!T17+'ECL BS'!T23+'ECL BS'!T29</f>
        <v>1672.8272020774739</v>
      </c>
      <c r="U34" s="53">
        <f>'ECL BS'!U17+'ECL BS'!U23+'ECL BS'!U29</f>
        <v>1702.5576079632785</v>
      </c>
      <c r="V34" s="53">
        <f>'ECL BS'!V17+'ECL BS'!V23+'ECL BS'!V29</f>
        <v>1680.3753315125232</v>
      </c>
      <c r="W34" s="53">
        <f>'ECL BS'!W17+'ECL BS'!W23+'ECL BS'!W29</f>
        <v>1658.8628003725923</v>
      </c>
      <c r="X34" s="53">
        <f>'ECL BS'!X17+'ECL BS'!X23+'ECL BS'!X29</f>
        <v>1646.8344145325616</v>
      </c>
      <c r="Y34" s="53">
        <f>'ECL BS'!Y17+'ECL BS'!Y23+'ECL BS'!Y29</f>
        <v>1640.4433245043251</v>
      </c>
      <c r="Z34" s="53">
        <f>'ECL BS'!Z17+'ECL BS'!Z23+'ECL BS'!Z29</f>
        <v>1636.7557805629783</v>
      </c>
      <c r="AA34" s="54">
        <f>'ECL BS'!AA17+'ECL BS'!AA23+'ECL BS'!AA29</f>
        <v>1628.3537711257818</v>
      </c>
      <c r="AB34" s="53">
        <f>'ECL BS'!AB17+'ECL BS'!AB23+'ECL BS'!AB29</f>
        <v>1601.6424011249369</v>
      </c>
      <c r="AC34" s="53">
        <f>'ECL BS'!AC17+'ECL BS'!AC23+'ECL BS'!AC29</f>
        <v>1601.9009297726475</v>
      </c>
      <c r="AD34" s="53">
        <f>'ECL BS'!AD17+'ECL BS'!AD23+'ECL BS'!AD29</f>
        <v>1584.8382672389755</v>
      </c>
      <c r="AE34" s="53">
        <f>'ECL BS'!AE17+'ECL BS'!AE23+'ECL BS'!AE29</f>
        <v>1574.6826396675081</v>
      </c>
      <c r="AF34" s="53">
        <f>'ECL BS'!AF17+'ECL BS'!AF23+'ECL BS'!AF29</f>
        <v>1569.8703286918997</v>
      </c>
      <c r="AG34" s="53">
        <f>'ECL BS'!AG17+'ECL BS'!AG23+'ECL BS'!AG29</f>
        <v>1577.1146488249244</v>
      </c>
      <c r="AH34" s="53">
        <f>'ECL BS'!AH17+'ECL BS'!AH23+'ECL BS'!AH29</f>
        <v>1591.9369947362998</v>
      </c>
      <c r="AI34" s="53">
        <f>'ECL BS'!AI17+'ECL BS'!AI23+'ECL BS'!AI29</f>
        <v>1612.8102478048881</v>
      </c>
      <c r="AJ34" s="53">
        <f>'ECL BS'!AJ17+'ECL BS'!AJ23+'ECL BS'!AJ29</f>
        <v>1638.1977301486481</v>
      </c>
      <c r="AK34" s="53">
        <f>'ECL BS'!AK17+'ECL BS'!AK23+'ECL BS'!AK29</f>
        <v>1658.6682310635567</v>
      </c>
      <c r="AL34" s="53">
        <f>'ECL BS'!AL17+'ECL BS'!AL23+'ECL BS'!AL29</f>
        <v>1674.7775009896459</v>
      </c>
      <c r="AM34" s="54">
        <f>'ECL BS'!AM17+'ECL BS'!AM23+'ECL BS'!AM29</f>
        <v>1692.405715607531</v>
      </c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4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4"/>
      <c r="BM34" s="52">
        <f>O34</f>
        <v>1490.6621409730974</v>
      </c>
      <c r="BN34" s="53">
        <f>AA34</f>
        <v>1628.3537711257818</v>
      </c>
      <c r="BO34" s="54">
        <f>AM34</f>
        <v>1692.405715607531</v>
      </c>
    </row>
    <row r="35" spans="1:67" x14ac:dyDescent="0.35">
      <c r="A35" s="2" t="str">
        <f t="shared" si="156"/>
        <v>ECL BS (Stress)</v>
      </c>
      <c r="B35" s="2" t="s">
        <v>158</v>
      </c>
      <c r="C35" s="55">
        <f>'ECL BS'!C18+'ECL BS'!C24+'ECL BS'!C30</f>
        <v>564.43112846464487</v>
      </c>
      <c r="D35" s="56">
        <f>'ECL BS'!D18+'ECL BS'!D24+'ECL BS'!D30</f>
        <v>595.94402786901549</v>
      </c>
      <c r="E35" s="56">
        <f>'ECL BS'!E18+'ECL BS'!E24+'ECL BS'!E30</f>
        <v>618.4753172485332</v>
      </c>
      <c r="F35" s="56">
        <f>'ECL BS'!F18+'ECL BS'!F24+'ECL BS'!F30</f>
        <v>647.93683568007589</v>
      </c>
      <c r="G35" s="56">
        <f>'ECL BS'!G18+'ECL BS'!G24+'ECL BS'!G30</f>
        <v>676.63018213841201</v>
      </c>
      <c r="H35" s="56">
        <f>'ECL BS'!H18+'ECL BS'!H24+'ECL BS'!H30</f>
        <v>701.67041397058597</v>
      </c>
      <c r="I35" s="56">
        <f>'ECL BS'!I18+'ECL BS'!I24+'ECL BS'!I30</f>
        <v>676.83383982208716</v>
      </c>
      <c r="J35" s="56">
        <f>'ECL BS'!J18+'ECL BS'!J24+'ECL BS'!J30</f>
        <v>749.56277076470212</v>
      </c>
      <c r="K35" s="56">
        <f>'ECL BS'!K18+'ECL BS'!K24+'ECL BS'!K30</f>
        <v>782.8385992902447</v>
      </c>
      <c r="L35" s="56">
        <f>'ECL BS'!L18+'ECL BS'!L24+'ECL BS'!L30</f>
        <v>722.32334550807286</v>
      </c>
      <c r="M35" s="56">
        <f>'ECL BS'!M18+'ECL BS'!M24+'ECL BS'!M30</f>
        <v>746.4856050323458</v>
      </c>
      <c r="N35" s="56">
        <f>'ECL BS'!N18+'ECL BS'!N24+'ECL BS'!N30</f>
        <v>683.70367553627727</v>
      </c>
      <c r="O35" s="57">
        <f>'ECL BS'!O18+'ECL BS'!O24+'ECL BS'!O30</f>
        <v>714.55897725996488</v>
      </c>
      <c r="P35" s="56">
        <f>'ECL BS'!P18+'ECL BS'!P24+'ECL BS'!P30</f>
        <v>735.79025945432625</v>
      </c>
      <c r="Q35" s="56">
        <f>'ECL BS'!Q18+'ECL BS'!Q24+'ECL BS'!Q30</f>
        <v>766.92379394279078</v>
      </c>
      <c r="R35" s="56">
        <f>'ECL BS'!R18+'ECL BS'!R24+'ECL BS'!R30</f>
        <v>802.65671755783535</v>
      </c>
      <c r="S35" s="56">
        <f>'ECL BS'!S18+'ECL BS'!S24+'ECL BS'!S30</f>
        <v>837.22343213287581</v>
      </c>
      <c r="T35" s="56">
        <f>'ECL BS'!T18+'ECL BS'!T24+'ECL BS'!T30</f>
        <v>873.40410187968791</v>
      </c>
      <c r="U35" s="56">
        <f>'ECL BS'!U18+'ECL BS'!U24+'ECL BS'!U30</f>
        <v>913.15070672068964</v>
      </c>
      <c r="V35" s="56">
        <f>'ECL BS'!V18+'ECL BS'!V24+'ECL BS'!V30</f>
        <v>903.13525838632586</v>
      </c>
      <c r="W35" s="56">
        <f>'ECL BS'!W18+'ECL BS'!W24+'ECL BS'!W30</f>
        <v>899.23261791192022</v>
      </c>
      <c r="X35" s="56">
        <f>'ECL BS'!X18+'ECL BS'!X24+'ECL BS'!X30</f>
        <v>785.75921230234599</v>
      </c>
      <c r="Y35" s="56">
        <f>'ECL BS'!Y18+'ECL BS'!Y24+'ECL BS'!Y30</f>
        <v>794.3333294994809</v>
      </c>
      <c r="Z35" s="56">
        <f>'ECL BS'!Z18+'ECL BS'!Z24+'ECL BS'!Z30</f>
        <v>696.65680052284699</v>
      </c>
      <c r="AA35" s="57">
        <f>'ECL BS'!AA18+'ECL BS'!AA24+'ECL BS'!AA30</f>
        <v>714.46727838100287</v>
      </c>
      <c r="AB35" s="56">
        <f>'ECL BS'!AB18+'ECL BS'!AB24+'ECL BS'!AB30</f>
        <v>708.34292900442711</v>
      </c>
      <c r="AC35" s="56">
        <f>'ECL BS'!AC18+'ECL BS'!AC24+'ECL BS'!AC30</f>
        <v>708.28097131395657</v>
      </c>
      <c r="AD35" s="56">
        <f>'ECL BS'!AD18+'ECL BS'!AD24+'ECL BS'!AD30</f>
        <v>714.09101277922957</v>
      </c>
      <c r="AE35" s="56">
        <f>'ECL BS'!AE18+'ECL BS'!AE24+'ECL BS'!AE30</f>
        <v>720.26619872847789</v>
      </c>
      <c r="AF35" s="56">
        <f>'ECL BS'!AF18+'ECL BS'!AF24+'ECL BS'!AF30</f>
        <v>732.35545390042489</v>
      </c>
      <c r="AG35" s="56">
        <f>'ECL BS'!AG18+'ECL BS'!AG24+'ECL BS'!AG30</f>
        <v>726.90023842865287</v>
      </c>
      <c r="AH35" s="56">
        <f>'ECL BS'!AH18+'ECL BS'!AH24+'ECL BS'!AH30</f>
        <v>747.03303474983773</v>
      </c>
      <c r="AI35" s="56">
        <f>'ECL BS'!AI18+'ECL BS'!AI24+'ECL BS'!AI30</f>
        <v>769.68117153913227</v>
      </c>
      <c r="AJ35" s="56">
        <f>'ECL BS'!AJ18+'ECL BS'!AJ24+'ECL BS'!AJ30</f>
        <v>716.04224111969143</v>
      </c>
      <c r="AK35" s="56">
        <f>'ECL BS'!AK18+'ECL BS'!AK24+'ECL BS'!AK30</f>
        <v>742.70629464519391</v>
      </c>
      <c r="AL35" s="56">
        <f>'ECL BS'!AL18+'ECL BS'!AL24+'ECL BS'!AL30</f>
        <v>692.61254434335797</v>
      </c>
      <c r="AM35" s="57">
        <f>'ECL BS'!AM18+'ECL BS'!AM24+'ECL BS'!AM30</f>
        <v>714.7126277504791</v>
      </c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7"/>
      <c r="AY35" s="56"/>
      <c r="AZ35" s="56"/>
      <c r="BA35" s="56"/>
      <c r="BB35" s="56"/>
      <c r="BC35" s="56"/>
      <c r="BD35" s="56"/>
      <c r="BE35" s="56"/>
      <c r="BF35" s="56"/>
      <c r="BG35" s="56"/>
      <c r="BH35" s="56"/>
      <c r="BI35" s="56"/>
      <c r="BJ35" s="57"/>
      <c r="BM35" s="55">
        <f t="shared" ref="BM35:BM36" si="157">O35</f>
        <v>714.55897725996488</v>
      </c>
      <c r="BN35" s="56">
        <f t="shared" ref="BN35:BN36" si="158">AA35</f>
        <v>714.46727838100287</v>
      </c>
      <c r="BO35" s="57">
        <f t="shared" ref="BO35:BO36" si="159">AM35</f>
        <v>714.7126277504791</v>
      </c>
    </row>
    <row r="36" spans="1:67" x14ac:dyDescent="0.35">
      <c r="A36" s="3" t="str">
        <f t="shared" si="156"/>
        <v>ECL BS (Stress)</v>
      </c>
      <c r="B36" s="3" t="s">
        <v>159</v>
      </c>
      <c r="C36" s="58">
        <f>'ECL BS'!C19+'ECL BS'!C25+'ECL BS'!C31</f>
        <v>83.093289079342952</v>
      </c>
      <c r="D36" s="59">
        <f>'ECL BS'!D19+'ECL BS'!D25+'ECL BS'!D31</f>
        <v>82.601818486718102</v>
      </c>
      <c r="E36" s="59">
        <f>'ECL BS'!E19+'ECL BS'!E25+'ECL BS'!E31</f>
        <v>79.822311430799445</v>
      </c>
      <c r="F36" s="59">
        <f>'ECL BS'!F19+'ECL BS'!F25+'ECL BS'!F31</f>
        <v>77.254572169804533</v>
      </c>
      <c r="G36" s="59">
        <f>'ECL BS'!G19+'ECL BS'!G25+'ECL BS'!G31</f>
        <v>74.946912016527492</v>
      </c>
      <c r="H36" s="59">
        <f>'ECL BS'!H19+'ECL BS'!H25+'ECL BS'!H31</f>
        <v>72.841407156714453</v>
      </c>
      <c r="I36" s="59">
        <f>'ECL BS'!I19+'ECL BS'!I25+'ECL BS'!I31</f>
        <v>70.868569826936294</v>
      </c>
      <c r="J36" s="59">
        <f>'ECL BS'!J19+'ECL BS'!J25+'ECL BS'!J31</f>
        <v>68.870978774489572</v>
      </c>
      <c r="K36" s="59">
        <f>'ECL BS'!K19+'ECL BS'!K25+'ECL BS'!K31</f>
        <v>66.733388832909583</v>
      </c>
      <c r="L36" s="59">
        <f>'ECL BS'!L19+'ECL BS'!L25+'ECL BS'!L31</f>
        <v>64.80467985380875</v>
      </c>
      <c r="M36" s="59">
        <f>'ECL BS'!M19+'ECL BS'!M25+'ECL BS'!M31</f>
        <v>62.845575048068774</v>
      </c>
      <c r="N36" s="59">
        <f>'ECL BS'!N19+'ECL BS'!N25+'ECL BS'!N31</f>
        <v>60.93116090483695</v>
      </c>
      <c r="O36" s="60">
        <f>'ECL BS'!O19+'ECL BS'!O25+'ECL BS'!O31</f>
        <v>59.418348586553833</v>
      </c>
      <c r="P36" s="59">
        <f>'ECL BS'!P19+'ECL BS'!P25+'ECL BS'!P31</f>
        <v>56.776765184281338</v>
      </c>
      <c r="Q36" s="59">
        <f>'ECL BS'!Q19+'ECL BS'!Q25+'ECL BS'!Q31</f>
        <v>54.308859645858583</v>
      </c>
      <c r="R36" s="59">
        <f>'ECL BS'!R19+'ECL BS'!R25+'ECL BS'!R31</f>
        <v>51.986634103783707</v>
      </c>
      <c r="S36" s="59">
        <f>'ECL BS'!S19+'ECL BS'!S25+'ECL BS'!S31</f>
        <v>49.820608230080701</v>
      </c>
      <c r="T36" s="59">
        <f>'ECL BS'!T19+'ECL BS'!T25+'ECL BS'!T31</f>
        <v>47.819688203631543</v>
      </c>
      <c r="U36" s="59">
        <f>'ECL BS'!U19+'ECL BS'!U25+'ECL BS'!U31</f>
        <v>45.927080256444292</v>
      </c>
      <c r="V36" s="59">
        <f>'ECL BS'!V19+'ECL BS'!V25+'ECL BS'!V31</f>
        <v>44.619047199683436</v>
      </c>
      <c r="W36" s="59">
        <f>'ECL BS'!W19+'ECL BS'!W25+'ECL BS'!W31</f>
        <v>43.794184266083356</v>
      </c>
      <c r="X36" s="59">
        <f>'ECL BS'!X19+'ECL BS'!X25+'ECL BS'!X31</f>
        <v>43.557621465179928</v>
      </c>
      <c r="Y36" s="59">
        <f>'ECL BS'!Y19+'ECL BS'!Y25+'ECL BS'!Y31</f>
        <v>43.919954904730275</v>
      </c>
      <c r="Z36" s="59">
        <f>'ECL BS'!Z19+'ECL BS'!Z25+'ECL BS'!Z31</f>
        <v>44.796733542789475</v>
      </c>
      <c r="AA36" s="60">
        <f>'ECL BS'!AA19+'ECL BS'!AA25+'ECL BS'!AA31</f>
        <v>47.026387798284802</v>
      </c>
      <c r="AB36" s="59">
        <f>'ECL BS'!AB19+'ECL BS'!AB25+'ECL BS'!AB31</f>
        <v>46.907369179893102</v>
      </c>
      <c r="AC36" s="59">
        <f>'ECL BS'!AC19+'ECL BS'!AC25+'ECL BS'!AC31</f>
        <v>47.317983627689394</v>
      </c>
      <c r="AD36" s="59">
        <f>'ECL BS'!AD19+'ECL BS'!AD25+'ECL BS'!AD31</f>
        <v>48.446246757056898</v>
      </c>
      <c r="AE36" s="59">
        <f>'ECL BS'!AE19+'ECL BS'!AE25+'ECL BS'!AE31</f>
        <v>50.520372458491501</v>
      </c>
      <c r="AF36" s="59">
        <f>'ECL BS'!AF19+'ECL BS'!AF25+'ECL BS'!AF31</f>
        <v>53.59312100035676</v>
      </c>
      <c r="AG36" s="59">
        <f>'ECL BS'!AG19+'ECL BS'!AG25+'ECL BS'!AG31</f>
        <v>57.634661220677259</v>
      </c>
      <c r="AH36" s="59">
        <f>'ECL BS'!AH19+'ECL BS'!AH25+'ECL BS'!AH31</f>
        <v>65.196807173938709</v>
      </c>
      <c r="AI36" s="59">
        <f>'ECL BS'!AI19+'ECL BS'!AI25+'ECL BS'!AI31</f>
        <v>72.264136451310179</v>
      </c>
      <c r="AJ36" s="59">
        <f>'ECL BS'!AJ19+'ECL BS'!AJ25+'ECL BS'!AJ31</f>
        <v>79.55404439247674</v>
      </c>
      <c r="AK36" s="59">
        <f>'ECL BS'!AK19+'ECL BS'!AK25+'ECL BS'!AK31</f>
        <v>87.049999699821015</v>
      </c>
      <c r="AL36" s="59">
        <f>'ECL BS'!AL19+'ECL BS'!AL25+'ECL BS'!AL31</f>
        <v>94.396247363775473</v>
      </c>
      <c r="AM36" s="60">
        <f>'ECL BS'!AM19+'ECL BS'!AM25+'ECL BS'!AM31</f>
        <v>104.32402778966438</v>
      </c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60"/>
      <c r="AY36" s="59"/>
      <c r="AZ36" s="59"/>
      <c r="BA36" s="59"/>
      <c r="BB36" s="59"/>
      <c r="BC36" s="59"/>
      <c r="BD36" s="59"/>
      <c r="BE36" s="59"/>
      <c r="BF36" s="59"/>
      <c r="BG36" s="59"/>
      <c r="BH36" s="59"/>
      <c r="BI36" s="59"/>
      <c r="BJ36" s="60"/>
      <c r="BM36" s="58">
        <f t="shared" si="157"/>
        <v>59.418348586553833</v>
      </c>
      <c r="BN36" s="59">
        <f t="shared" si="158"/>
        <v>47.026387798284802</v>
      </c>
      <c r="BO36" s="60">
        <f t="shared" si="159"/>
        <v>104.32402778966438</v>
      </c>
    </row>
    <row r="38" spans="1:67" x14ac:dyDescent="0.35">
      <c r="A38" s="25" t="s">
        <v>224</v>
      </c>
      <c r="B38" s="4" t="s">
        <v>3</v>
      </c>
      <c r="C38" s="19">
        <f>C32</f>
        <v>45352</v>
      </c>
      <c r="D38" s="20">
        <f>EDATE(C38,1)</f>
        <v>45383</v>
      </c>
      <c r="E38" s="20">
        <f>EDATE(D38,1)</f>
        <v>45413</v>
      </c>
      <c r="F38" s="20">
        <f>EDATE(E38,1)</f>
        <v>45444</v>
      </c>
      <c r="G38" s="20">
        <f t="shared" ref="G38" si="160">EDATE(F38,1)</f>
        <v>45474</v>
      </c>
      <c r="H38" s="20">
        <f t="shared" ref="H38" si="161">EDATE(G38,1)</f>
        <v>45505</v>
      </c>
      <c r="I38" s="20">
        <f t="shared" ref="I38" si="162">EDATE(H38,1)</f>
        <v>45536</v>
      </c>
      <c r="J38" s="20">
        <f t="shared" ref="J38" si="163">EDATE(I38,1)</f>
        <v>45566</v>
      </c>
      <c r="K38" s="20">
        <f t="shared" ref="K38" si="164">EDATE(J38,1)</f>
        <v>45597</v>
      </c>
      <c r="L38" s="20">
        <f t="shared" ref="L38" si="165">EDATE(K38,1)</f>
        <v>45627</v>
      </c>
      <c r="M38" s="20">
        <f t="shared" ref="M38" si="166">EDATE(L38,1)</f>
        <v>45658</v>
      </c>
      <c r="N38" s="20">
        <f t="shared" ref="N38" si="167">EDATE(M38,1)</f>
        <v>45689</v>
      </c>
      <c r="O38" s="21">
        <f t="shared" ref="O38" si="168">EDATE(N38,1)</f>
        <v>45717</v>
      </c>
      <c r="P38" s="20">
        <f t="shared" ref="P38" si="169">EDATE(O38,1)</f>
        <v>45748</v>
      </c>
      <c r="Q38" s="20">
        <f t="shared" ref="Q38" si="170">EDATE(P38,1)</f>
        <v>45778</v>
      </c>
      <c r="R38" s="20">
        <f t="shared" ref="R38" si="171">EDATE(Q38,1)</f>
        <v>45809</v>
      </c>
      <c r="S38" s="20">
        <f t="shared" ref="S38" si="172">EDATE(R38,1)</f>
        <v>45839</v>
      </c>
      <c r="T38" s="20">
        <f t="shared" ref="T38" si="173">EDATE(S38,1)</f>
        <v>45870</v>
      </c>
      <c r="U38" s="20">
        <f t="shared" ref="U38" si="174">EDATE(T38,1)</f>
        <v>45901</v>
      </c>
      <c r="V38" s="20">
        <f t="shared" ref="V38" si="175">EDATE(U38,1)</f>
        <v>45931</v>
      </c>
      <c r="W38" s="20">
        <f t="shared" ref="W38" si="176">EDATE(V38,1)</f>
        <v>45962</v>
      </c>
      <c r="X38" s="20">
        <f t="shared" ref="X38" si="177">EDATE(W38,1)</f>
        <v>45992</v>
      </c>
      <c r="Y38" s="20">
        <f t="shared" ref="Y38" si="178">EDATE(X38,1)</f>
        <v>46023</v>
      </c>
      <c r="Z38" s="20">
        <f t="shared" ref="Z38" si="179">EDATE(Y38,1)</f>
        <v>46054</v>
      </c>
      <c r="AA38" s="21">
        <f t="shared" ref="AA38" si="180">EDATE(Z38,1)</f>
        <v>46082</v>
      </c>
      <c r="AB38" s="20">
        <f t="shared" ref="AB38" si="181">EDATE(AA38,1)</f>
        <v>46113</v>
      </c>
      <c r="AC38" s="20">
        <f t="shared" ref="AC38" si="182">EDATE(AB38,1)</f>
        <v>46143</v>
      </c>
      <c r="AD38" s="20">
        <f t="shared" ref="AD38" si="183">EDATE(AC38,1)</f>
        <v>46174</v>
      </c>
      <c r="AE38" s="20">
        <f t="shared" ref="AE38" si="184">EDATE(AD38,1)</f>
        <v>46204</v>
      </c>
      <c r="AF38" s="20">
        <f t="shared" ref="AF38" si="185">EDATE(AE38,1)</f>
        <v>46235</v>
      </c>
      <c r="AG38" s="20">
        <f t="shared" ref="AG38" si="186">EDATE(AF38,1)</f>
        <v>46266</v>
      </c>
      <c r="AH38" s="20">
        <f t="shared" ref="AH38" si="187">EDATE(AG38,1)</f>
        <v>46296</v>
      </c>
      <c r="AI38" s="20">
        <f t="shared" ref="AI38" si="188">EDATE(AH38,1)</f>
        <v>46327</v>
      </c>
      <c r="AJ38" s="20">
        <f t="shared" ref="AJ38" si="189">EDATE(AI38,1)</f>
        <v>46357</v>
      </c>
      <c r="AK38" s="20">
        <f t="shared" ref="AK38" si="190">EDATE(AJ38,1)</f>
        <v>46388</v>
      </c>
      <c r="AL38" s="20">
        <f t="shared" ref="AL38" si="191">EDATE(AK38,1)</f>
        <v>46419</v>
      </c>
      <c r="AM38" s="21">
        <f t="shared" ref="AM38" si="192">EDATE(AL38,1)</f>
        <v>46447</v>
      </c>
      <c r="AN38" s="20">
        <f t="shared" ref="AN38" si="193">EDATE(AM38,1)</f>
        <v>46478</v>
      </c>
      <c r="AO38" s="20">
        <f t="shared" ref="AO38" si="194">EDATE(AN38,1)</f>
        <v>46508</v>
      </c>
      <c r="AP38" s="20">
        <f t="shared" ref="AP38" si="195">EDATE(AO38,1)</f>
        <v>46539</v>
      </c>
      <c r="AQ38" s="20">
        <f t="shared" ref="AQ38" si="196">EDATE(AP38,1)</f>
        <v>46569</v>
      </c>
      <c r="AR38" s="20">
        <f t="shared" ref="AR38" si="197">EDATE(AQ38,1)</f>
        <v>46600</v>
      </c>
      <c r="AS38" s="20">
        <f t="shared" ref="AS38" si="198">EDATE(AR38,1)</f>
        <v>46631</v>
      </c>
      <c r="AT38" s="20">
        <f t="shared" ref="AT38" si="199">EDATE(AS38,1)</f>
        <v>46661</v>
      </c>
      <c r="AU38" s="20">
        <f t="shared" ref="AU38" si="200">EDATE(AT38,1)</f>
        <v>46692</v>
      </c>
      <c r="AV38" s="20">
        <f t="shared" ref="AV38" si="201">EDATE(AU38,1)</f>
        <v>46722</v>
      </c>
      <c r="AW38" s="20">
        <f t="shared" ref="AW38" si="202">EDATE(AV38,1)</f>
        <v>46753</v>
      </c>
      <c r="AX38" s="21">
        <f t="shared" ref="AX38" si="203">EDATE(AW38,1)</f>
        <v>46784</v>
      </c>
      <c r="AY38" s="20">
        <f t="shared" ref="AY38" si="204">EDATE(AX38,1)</f>
        <v>46813</v>
      </c>
      <c r="AZ38" s="20">
        <f t="shared" ref="AZ38" si="205">EDATE(AY38,1)</f>
        <v>46844</v>
      </c>
      <c r="BA38" s="20">
        <f t="shared" ref="BA38" si="206">EDATE(AZ38,1)</f>
        <v>46874</v>
      </c>
      <c r="BB38" s="20">
        <f t="shared" ref="BB38" si="207">EDATE(BA38,1)</f>
        <v>46905</v>
      </c>
      <c r="BC38" s="20">
        <f t="shared" ref="BC38" si="208">EDATE(BB38,1)</f>
        <v>46935</v>
      </c>
      <c r="BD38" s="20">
        <f t="shared" ref="BD38" si="209">EDATE(BC38,1)</f>
        <v>46966</v>
      </c>
      <c r="BE38" s="20">
        <f t="shared" ref="BE38" si="210">EDATE(BD38,1)</f>
        <v>46997</v>
      </c>
      <c r="BF38" s="20">
        <f t="shared" ref="BF38" si="211">EDATE(BE38,1)</f>
        <v>47027</v>
      </c>
      <c r="BG38" s="20">
        <f t="shared" ref="BG38" si="212">EDATE(BF38,1)</f>
        <v>47058</v>
      </c>
      <c r="BH38" s="20">
        <f t="shared" ref="BH38" si="213">EDATE(BG38,1)</f>
        <v>47088</v>
      </c>
      <c r="BI38" s="20">
        <f t="shared" ref="BI38" si="214">EDATE(BH38,1)</f>
        <v>47119</v>
      </c>
      <c r="BJ38" s="21">
        <f t="shared" ref="BJ38" si="215">EDATE(BI38,1)</f>
        <v>47150</v>
      </c>
      <c r="BM38" s="138" t="str">
        <f>BM32</f>
        <v>FY24</v>
      </c>
      <c r="BN38" s="139" t="str">
        <f t="shared" ref="BN38:BO38" si="216">BN32</f>
        <v>FY25</v>
      </c>
      <c r="BO38" s="140" t="str">
        <f t="shared" si="216"/>
        <v>FY26</v>
      </c>
    </row>
    <row r="39" spans="1:67" x14ac:dyDescent="0.35">
      <c r="A39" s="15" t="str">
        <f>A38</f>
        <v>ENR (Stress)</v>
      </c>
      <c r="B39" s="15" t="s">
        <v>188</v>
      </c>
      <c r="C39" s="16">
        <f>SUM(C40:C42)</f>
        <v>78777.342131280544</v>
      </c>
      <c r="D39" s="17">
        <f t="shared" ref="D39:BJ39" si="217">SUM(D40:D42)</f>
        <v>80016.050043232797</v>
      </c>
      <c r="E39" s="17">
        <f t="shared" si="217"/>
        <v>81263.959009826198</v>
      </c>
      <c r="F39" s="17">
        <f t="shared" si="217"/>
        <v>82589.78357198408</v>
      </c>
      <c r="G39" s="17">
        <f t="shared" si="217"/>
        <v>83962.455350761607</v>
      </c>
      <c r="H39" s="17">
        <f t="shared" si="217"/>
        <v>85453.724900637651</v>
      </c>
      <c r="I39" s="17">
        <f t="shared" si="217"/>
        <v>85079.435358671311</v>
      </c>
      <c r="J39" s="17">
        <f t="shared" si="217"/>
        <v>86182.148539971022</v>
      </c>
      <c r="K39" s="17">
        <f t="shared" si="217"/>
        <v>87483.280324471794</v>
      </c>
      <c r="L39" s="17">
        <f t="shared" si="217"/>
        <v>85939.885393086661</v>
      </c>
      <c r="M39" s="17">
        <f t="shared" si="217"/>
        <v>87239.487760655684</v>
      </c>
      <c r="N39" s="17">
        <f t="shared" si="217"/>
        <v>85542.744828219744</v>
      </c>
      <c r="O39" s="18">
        <f t="shared" si="217"/>
        <v>86930.596306118183</v>
      </c>
      <c r="P39" s="17">
        <f t="shared" si="217"/>
        <v>86751.674017619443</v>
      </c>
      <c r="Q39" s="17">
        <f t="shared" si="217"/>
        <v>86713.617819288891</v>
      </c>
      <c r="R39" s="17">
        <f t="shared" si="217"/>
        <v>86738.642831559628</v>
      </c>
      <c r="S39" s="17">
        <f t="shared" si="217"/>
        <v>86782.905976470633</v>
      </c>
      <c r="T39" s="17">
        <f t="shared" si="217"/>
        <v>87014.985556171625</v>
      </c>
      <c r="U39" s="17">
        <f t="shared" si="217"/>
        <v>87350.357154268277</v>
      </c>
      <c r="V39" s="17">
        <f t="shared" si="217"/>
        <v>87925.187995563843</v>
      </c>
      <c r="W39" s="17">
        <f t="shared" si="217"/>
        <v>89071.925731649171</v>
      </c>
      <c r="X39" s="17">
        <f t="shared" si="217"/>
        <v>87843.430497387701</v>
      </c>
      <c r="Y39" s="17">
        <f t="shared" si="217"/>
        <v>90003.838492025345</v>
      </c>
      <c r="Z39" s="17">
        <f t="shared" si="217"/>
        <v>89533.170908576241</v>
      </c>
      <c r="AA39" s="18">
        <f t="shared" si="217"/>
        <v>92702.224404406297</v>
      </c>
      <c r="AB39" s="17">
        <f t="shared" si="217"/>
        <v>93598.662624740944</v>
      </c>
      <c r="AC39" s="17">
        <f t="shared" si="217"/>
        <v>96314.780279848681</v>
      </c>
      <c r="AD39" s="17">
        <f t="shared" si="217"/>
        <v>98516.775287188881</v>
      </c>
      <c r="AE39" s="17">
        <f t="shared" si="217"/>
        <v>101351.54531652611</v>
      </c>
      <c r="AF39" s="17">
        <f t="shared" si="217"/>
        <v>105056.73446543215</v>
      </c>
      <c r="AG39" s="17">
        <f t="shared" si="217"/>
        <v>108771.34877147095</v>
      </c>
      <c r="AH39" s="17">
        <f t="shared" si="217"/>
        <v>114192.29430369302</v>
      </c>
      <c r="AI39" s="17">
        <f t="shared" si="217"/>
        <v>120401.39954255585</v>
      </c>
      <c r="AJ39" s="17">
        <f t="shared" si="217"/>
        <v>124322.1871888747</v>
      </c>
      <c r="AK39" s="17">
        <f t="shared" si="217"/>
        <v>131396.21453839427</v>
      </c>
      <c r="AL39" s="17">
        <f t="shared" si="217"/>
        <v>135433.07813092545</v>
      </c>
      <c r="AM39" s="18">
        <f t="shared" si="217"/>
        <v>143181.25825214997</v>
      </c>
      <c r="AN39" s="17">
        <f t="shared" si="217"/>
        <v>0</v>
      </c>
      <c r="AO39" s="17">
        <f t="shared" si="217"/>
        <v>0</v>
      </c>
      <c r="AP39" s="17">
        <f t="shared" si="217"/>
        <v>0</v>
      </c>
      <c r="AQ39" s="17">
        <f t="shared" si="217"/>
        <v>0</v>
      </c>
      <c r="AR39" s="17">
        <f t="shared" si="217"/>
        <v>0</v>
      </c>
      <c r="AS39" s="17">
        <f t="shared" si="217"/>
        <v>0</v>
      </c>
      <c r="AT39" s="17">
        <f t="shared" si="217"/>
        <v>0</v>
      </c>
      <c r="AU39" s="17">
        <f t="shared" si="217"/>
        <v>0</v>
      </c>
      <c r="AV39" s="17">
        <f t="shared" si="217"/>
        <v>0</v>
      </c>
      <c r="AW39" s="17">
        <f t="shared" si="217"/>
        <v>0</v>
      </c>
      <c r="AX39" s="18">
        <f t="shared" si="217"/>
        <v>0</v>
      </c>
      <c r="AY39" s="17">
        <f t="shared" si="217"/>
        <v>0</v>
      </c>
      <c r="AZ39" s="17">
        <f t="shared" si="217"/>
        <v>0</v>
      </c>
      <c r="BA39" s="17">
        <f t="shared" si="217"/>
        <v>0</v>
      </c>
      <c r="BB39" s="17">
        <f t="shared" si="217"/>
        <v>0</v>
      </c>
      <c r="BC39" s="17">
        <f t="shared" si="217"/>
        <v>0</v>
      </c>
      <c r="BD39" s="17">
        <f t="shared" si="217"/>
        <v>0</v>
      </c>
      <c r="BE39" s="17">
        <f t="shared" si="217"/>
        <v>0</v>
      </c>
      <c r="BF39" s="17">
        <f t="shared" si="217"/>
        <v>0</v>
      </c>
      <c r="BG39" s="17">
        <f t="shared" si="217"/>
        <v>0</v>
      </c>
      <c r="BH39" s="17">
        <f t="shared" si="217"/>
        <v>0</v>
      </c>
      <c r="BI39" s="17">
        <f t="shared" si="217"/>
        <v>0</v>
      </c>
      <c r="BJ39" s="18">
        <f t="shared" si="217"/>
        <v>0</v>
      </c>
      <c r="BM39" s="16">
        <f t="shared" ref="BM39:BO39" si="218">SUM(BM40:BM42)</f>
        <v>86930.596306118183</v>
      </c>
      <c r="BN39" s="17">
        <f t="shared" si="218"/>
        <v>92702.224404406297</v>
      </c>
      <c r="BO39" s="18">
        <f t="shared" si="218"/>
        <v>143181.25825214997</v>
      </c>
    </row>
    <row r="40" spans="1:67" x14ac:dyDescent="0.35">
      <c r="A40" s="1" t="str">
        <f t="shared" ref="A40:A42" si="219">A39</f>
        <v>ENR (Stress)</v>
      </c>
      <c r="B40" s="1" t="s">
        <v>157</v>
      </c>
      <c r="C40" s="52">
        <f>'Input - ENR'!C16</f>
        <v>52026.135628996468</v>
      </c>
      <c r="D40" s="53">
        <f>'Input - ENR'!D16</f>
        <v>52427.211097569161</v>
      </c>
      <c r="E40" s="53">
        <f>'Input - ENR'!E16</f>
        <v>53343.307673366362</v>
      </c>
      <c r="F40" s="53">
        <f>'Input - ENR'!F16</f>
        <v>54301.81667421083</v>
      </c>
      <c r="G40" s="53">
        <f>'Input - ENR'!G16</f>
        <v>55283.254270096098</v>
      </c>
      <c r="H40" s="53">
        <f>'Input - ENR'!H16</f>
        <v>56336.702190980432</v>
      </c>
      <c r="I40" s="53">
        <f>'Input - ENR'!I16</f>
        <v>57443.134278176265</v>
      </c>
      <c r="J40" s="53">
        <f>'Input - ENR'!J16</f>
        <v>58210.55423906826</v>
      </c>
      <c r="K40" s="53">
        <f>'Input - ENR'!K16</f>
        <v>59131.160581001037</v>
      </c>
      <c r="L40" s="53">
        <f>'Input - ENR'!L16</f>
        <v>60122.724558764086</v>
      </c>
      <c r="M40" s="53">
        <f>'Input - ENR'!M16</f>
        <v>61015.999349979138</v>
      </c>
      <c r="N40" s="53">
        <f>'Input - ENR'!N16</f>
        <v>61838.960070355817</v>
      </c>
      <c r="O40" s="54">
        <f>'Input - ENR'!O16</f>
        <v>62701.129695051794</v>
      </c>
      <c r="P40" s="53">
        <f>'Input - ENR'!P16</f>
        <v>62564.230550715438</v>
      </c>
      <c r="Q40" s="53">
        <f>'Input - ENR'!Q16</f>
        <v>62518.003881036697</v>
      </c>
      <c r="R40" s="53">
        <f>'Input - ENR'!R16</f>
        <v>62522.019221988347</v>
      </c>
      <c r="S40" s="53">
        <f>'Input - ENR'!S16</f>
        <v>62491.529299995971</v>
      </c>
      <c r="T40" s="53">
        <f>'Input - ENR'!T16</f>
        <v>62611.95665346583</v>
      </c>
      <c r="U40" s="53">
        <f>'Input - ENR'!U16</f>
        <v>62801.46685567747</v>
      </c>
      <c r="V40" s="53">
        <f>'Input - ENR'!V16</f>
        <v>63115.001871814638</v>
      </c>
      <c r="W40" s="53">
        <f>'Input - ENR'!W16</f>
        <v>63787.09058600905</v>
      </c>
      <c r="X40" s="53">
        <f>'Input - ENR'!X16</f>
        <v>64815.475941581346</v>
      </c>
      <c r="Y40" s="53">
        <f>'Input - ENR'!Y16</f>
        <v>66080.11003656208</v>
      </c>
      <c r="Z40" s="53">
        <f>'Input - ENR'!Z16</f>
        <v>67522.259323623308</v>
      </c>
      <c r="AA40" s="54">
        <f>'Input - ENR'!AA16</f>
        <v>69324.803944108251</v>
      </c>
      <c r="AB40" s="53">
        <f>'Input - ENR'!AB16</f>
        <v>69673.986483885848</v>
      </c>
      <c r="AC40" s="53">
        <f>'Input - ENR'!AC16</f>
        <v>71614.017675599462</v>
      </c>
      <c r="AD40" s="53">
        <f>'Input - ENR'!AD16</f>
        <v>72828.433794119221</v>
      </c>
      <c r="AE40" s="53">
        <f>'Input - ENR'!AE16</f>
        <v>74412.297274199504</v>
      </c>
      <c r="AF40" s="53">
        <f>'Input - ENR'!AF16</f>
        <v>76547.79473735363</v>
      </c>
      <c r="AG40" s="53">
        <f>'Input - ENR'!AG16</f>
        <v>79319.166105275508</v>
      </c>
      <c r="AH40" s="53">
        <f>'Input - ENR'!AH16</f>
        <v>82346.272548490742</v>
      </c>
      <c r="AI40" s="53">
        <f>'Input - ENR'!AI16</f>
        <v>85966.850881092425</v>
      </c>
      <c r="AJ40" s="53">
        <f>'Input - ENR'!AJ16</f>
        <v>90024.638585567343</v>
      </c>
      <c r="AK40" s="53">
        <f>'Input - ENR'!AK16</f>
        <v>94172.900422237857</v>
      </c>
      <c r="AL40" s="53">
        <f>'Input - ENR'!AL16</f>
        <v>98264.280535458543</v>
      </c>
      <c r="AM40" s="54">
        <f>'Input - ENR'!AM16</f>
        <v>102687.7404967867</v>
      </c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4"/>
      <c r="AY40" s="53"/>
      <c r="AZ40" s="53"/>
      <c r="BA40" s="53"/>
      <c r="BB40" s="53"/>
      <c r="BC40" s="53"/>
      <c r="BD40" s="53"/>
      <c r="BE40" s="53"/>
      <c r="BF40" s="53"/>
      <c r="BG40" s="53"/>
      <c r="BH40" s="53"/>
      <c r="BI40" s="53"/>
      <c r="BJ40" s="54"/>
      <c r="BM40" s="52">
        <f>O40</f>
        <v>62701.129695051794</v>
      </c>
      <c r="BN40" s="53">
        <f>AA40</f>
        <v>69324.803944108251</v>
      </c>
      <c r="BO40" s="54">
        <f>AM40</f>
        <v>102687.7404967867</v>
      </c>
    </row>
    <row r="41" spans="1:67" x14ac:dyDescent="0.35">
      <c r="A41" s="2" t="str">
        <f t="shared" si="219"/>
        <v>ENR (Stress)</v>
      </c>
      <c r="B41" s="2" t="s">
        <v>158</v>
      </c>
      <c r="C41" s="55">
        <f>'Input - ENR'!C17</f>
        <v>19204.151739359146</v>
      </c>
      <c r="D41" s="56">
        <f>'Input - ENR'!D17</f>
        <v>20089.603841116816</v>
      </c>
      <c r="E41" s="56">
        <f>'Input - ENR'!E17</f>
        <v>20678.004038967825</v>
      </c>
      <c r="F41" s="56">
        <f>'Input - ENR'!F17</f>
        <v>21279.429785606124</v>
      </c>
      <c r="G41" s="56">
        <f>'Input - ENR'!G17</f>
        <v>21876.990005781758</v>
      </c>
      <c r="H41" s="56">
        <f>'Input - ENR'!H17</f>
        <v>22499.637773574093</v>
      </c>
      <c r="I41" s="56">
        <f>'Input - ENR'!I17</f>
        <v>21190.74807073547</v>
      </c>
      <c r="J41" s="56">
        <f>'Input - ENR'!J17</f>
        <v>21699.963470665683</v>
      </c>
      <c r="K41" s="56">
        <f>'Input - ENR'!K17</f>
        <v>22269.642113538059</v>
      </c>
      <c r="L41" s="56">
        <f>'Input - ENR'!L17</f>
        <v>19904.289315869606</v>
      </c>
      <c r="M41" s="56">
        <f>'Input - ENR'!M17</f>
        <v>20483.331194851879</v>
      </c>
      <c r="N41" s="56">
        <f>'Input - ENR'!N17</f>
        <v>18133.375433198205</v>
      </c>
      <c r="O41" s="57">
        <f>'Input - ENR'!O17</f>
        <v>18786.779263864355</v>
      </c>
      <c r="P41" s="56">
        <f>'Input - ENR'!P17</f>
        <v>18997.1510143956</v>
      </c>
      <c r="Q41" s="56">
        <f>'Input - ENR'!Q17</f>
        <v>19239.466353564312</v>
      </c>
      <c r="R41" s="56">
        <f>'Input - ENR'!R17</f>
        <v>19479.292850746329</v>
      </c>
      <c r="S41" s="56">
        <f>'Input - ENR'!S17</f>
        <v>19756.185708359066</v>
      </c>
      <c r="T41" s="56">
        <f>'Input - ENR'!T17</f>
        <v>20052.9133269417</v>
      </c>
      <c r="U41" s="56">
        <f>'Input - ENR'!U17</f>
        <v>20373.131562739232</v>
      </c>
      <c r="V41" s="56">
        <f>'Input - ENR'!V17</f>
        <v>20753.254002126072</v>
      </c>
      <c r="W41" s="56">
        <f>'Input - ENR'!W17</f>
        <v>21301.765466864206</v>
      </c>
      <c r="X41" s="56">
        <f>'Input - ENR'!X17</f>
        <v>19062.670669208772</v>
      </c>
      <c r="Y41" s="56">
        <f>'Input - ENR'!Y17</f>
        <v>19919.088188471454</v>
      </c>
      <c r="Z41" s="56">
        <f>'Input - ENR'!Z17</f>
        <v>17918.109002383266</v>
      </c>
      <c r="AA41" s="57">
        <f>'Input - ENR'!AA17</f>
        <v>19064.450525721099</v>
      </c>
      <c r="AB41" s="56">
        <f>'Input - ENR'!AB17</f>
        <v>19625.877617859427</v>
      </c>
      <c r="AC41" s="56">
        <f>'Input - ENR'!AC17</f>
        <v>20364.692096150891</v>
      </c>
      <c r="AD41" s="56">
        <f>'Input - ENR'!AD17</f>
        <v>21245.725875119268</v>
      </c>
      <c r="AE41" s="56">
        <f>'Input - ENR'!AE17</f>
        <v>22298.596122434672</v>
      </c>
      <c r="AF41" s="56">
        <f>'Input - ENR'!AF17</f>
        <v>23573.635719040012</v>
      </c>
      <c r="AG41" s="56">
        <f>'Input - ENR'!AG17</f>
        <v>24128.815278255872</v>
      </c>
      <c r="AH41" s="56">
        <f>'Input - ENR'!AH17</f>
        <v>25797.845075483609</v>
      </c>
      <c r="AI41" s="56">
        <f>'Input - ENR'!AI17</f>
        <v>27708.108679322497</v>
      </c>
      <c r="AJ41" s="56">
        <f>'Input - ENR'!AJ17</f>
        <v>26869.735539128724</v>
      </c>
      <c r="AK41" s="56">
        <f>'Input - ENR'!AK17</f>
        <v>29072.50226009059</v>
      </c>
      <c r="AL41" s="56">
        <f>'Input - ENR'!AL17</f>
        <v>28308.083336390115</v>
      </c>
      <c r="AM41" s="57">
        <f>'Input - ENR'!AM17</f>
        <v>30668.489788218794</v>
      </c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7"/>
      <c r="AY41" s="56"/>
      <c r="AZ41" s="56"/>
      <c r="BA41" s="56"/>
      <c r="BB41" s="56"/>
      <c r="BC41" s="56"/>
      <c r="BD41" s="56"/>
      <c r="BE41" s="56"/>
      <c r="BF41" s="56"/>
      <c r="BG41" s="56"/>
      <c r="BH41" s="56"/>
      <c r="BI41" s="56"/>
      <c r="BJ41" s="57"/>
      <c r="BM41" s="55">
        <f t="shared" ref="BM41:BM42" si="220">O41</f>
        <v>18786.779263864355</v>
      </c>
      <c r="BN41" s="56">
        <f t="shared" ref="BN41:BN42" si="221">AA41</f>
        <v>19064.450525721099</v>
      </c>
      <c r="BO41" s="57">
        <f t="shared" ref="BO41:BO42" si="222">AM41</f>
        <v>30668.489788218794</v>
      </c>
    </row>
    <row r="42" spans="1:67" x14ac:dyDescent="0.35">
      <c r="A42" s="3" t="str">
        <f t="shared" si="219"/>
        <v>ENR (Stress)</v>
      </c>
      <c r="B42" s="3" t="s">
        <v>159</v>
      </c>
      <c r="C42" s="58">
        <f>'Input - ENR'!C18</f>
        <v>7547.0547629249413</v>
      </c>
      <c r="D42" s="59">
        <f>'Input - ENR'!D18</f>
        <v>7499.2351045468185</v>
      </c>
      <c r="E42" s="59">
        <f>'Input - ENR'!E18</f>
        <v>7242.6472974920052</v>
      </c>
      <c r="F42" s="59">
        <f>'Input - ENR'!F18</f>
        <v>7008.5371121671214</v>
      </c>
      <c r="G42" s="59">
        <f>'Input - ENR'!G18</f>
        <v>6802.2110748837422</v>
      </c>
      <c r="H42" s="59">
        <f>'Input - ENR'!H18</f>
        <v>6617.3849360831255</v>
      </c>
      <c r="I42" s="59">
        <f>'Input - ENR'!I18</f>
        <v>6445.553009759582</v>
      </c>
      <c r="J42" s="59">
        <f>'Input - ENR'!J18</f>
        <v>6271.6308302370808</v>
      </c>
      <c r="K42" s="59">
        <f>'Input - ENR'!K18</f>
        <v>6082.4776299326941</v>
      </c>
      <c r="L42" s="59">
        <f>'Input - ENR'!L18</f>
        <v>5912.8715184529738</v>
      </c>
      <c r="M42" s="59">
        <f>'Input - ENR'!M18</f>
        <v>5740.1572158246772</v>
      </c>
      <c r="N42" s="59">
        <f>'Input - ENR'!N18</f>
        <v>5570.4093246657094</v>
      </c>
      <c r="O42" s="60">
        <f>'Input - ENR'!O18</f>
        <v>5442.6873472020416</v>
      </c>
      <c r="P42" s="59">
        <f>'Input - ENR'!P18</f>
        <v>5190.2924525084072</v>
      </c>
      <c r="Q42" s="59">
        <f>'Input - ENR'!Q18</f>
        <v>4956.1475846878875</v>
      </c>
      <c r="R42" s="59">
        <f>'Input - ENR'!R18</f>
        <v>4737.3307588249563</v>
      </c>
      <c r="S42" s="59">
        <f>'Input - ENR'!S18</f>
        <v>4535.1909681156012</v>
      </c>
      <c r="T42" s="59">
        <f>'Input - ENR'!T18</f>
        <v>4350.1155757640936</v>
      </c>
      <c r="U42" s="59">
        <f>'Input - ENR'!U18</f>
        <v>4175.7587358515757</v>
      </c>
      <c r="V42" s="59">
        <f>'Input - ENR'!V18</f>
        <v>4056.9321216231278</v>
      </c>
      <c r="W42" s="59">
        <f>'Input - ENR'!W18</f>
        <v>3983.0696787759271</v>
      </c>
      <c r="X42" s="59">
        <f>'Input - ENR'!X18</f>
        <v>3965.2838865975741</v>
      </c>
      <c r="Y42" s="59">
        <f>'Input - ENR'!Y18</f>
        <v>4004.6402669918225</v>
      </c>
      <c r="Z42" s="59">
        <f>'Input - ENR'!Z18</f>
        <v>4092.8025825696668</v>
      </c>
      <c r="AA42" s="60">
        <f>'Input - ENR'!AA18</f>
        <v>4312.9699345769468</v>
      </c>
      <c r="AB42" s="59">
        <f>'Input - ENR'!AB18</f>
        <v>4298.7985229956621</v>
      </c>
      <c r="AC42" s="59">
        <f>'Input - ENR'!AC18</f>
        <v>4336.0705080983262</v>
      </c>
      <c r="AD42" s="59">
        <f>'Input - ENR'!AD18</f>
        <v>4442.6156179503905</v>
      </c>
      <c r="AE42" s="59">
        <f>'Input - ENR'!AE18</f>
        <v>4640.6519198919486</v>
      </c>
      <c r="AF42" s="59">
        <f>'Input - ENR'!AF18</f>
        <v>4935.3040090385084</v>
      </c>
      <c r="AG42" s="59">
        <f>'Input - ENR'!AG18</f>
        <v>5323.3673879395601</v>
      </c>
      <c r="AH42" s="59">
        <f>'Input - ENR'!AH18</f>
        <v>6048.1766797186792</v>
      </c>
      <c r="AI42" s="59">
        <f>'Input - ENR'!AI18</f>
        <v>6726.4399821409334</v>
      </c>
      <c r="AJ42" s="59">
        <f>'Input - ENR'!AJ18</f>
        <v>7427.8130641786338</v>
      </c>
      <c r="AK42" s="59">
        <f>'Input - ENR'!AK18</f>
        <v>8150.8118560658158</v>
      </c>
      <c r="AL42" s="59">
        <f>'Input - ENR'!AL18</f>
        <v>8860.7142590767799</v>
      </c>
      <c r="AM42" s="60">
        <f>'Input - ENR'!AM18</f>
        <v>9825.0279671444823</v>
      </c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60"/>
      <c r="AY42" s="59"/>
      <c r="AZ42" s="59"/>
      <c r="BA42" s="59"/>
      <c r="BB42" s="59"/>
      <c r="BC42" s="59"/>
      <c r="BD42" s="59"/>
      <c r="BE42" s="59"/>
      <c r="BF42" s="59"/>
      <c r="BG42" s="59"/>
      <c r="BH42" s="59"/>
      <c r="BI42" s="59"/>
      <c r="BJ42" s="60"/>
      <c r="BM42" s="58">
        <f t="shared" si="220"/>
        <v>5442.6873472020416</v>
      </c>
      <c r="BN42" s="59">
        <f t="shared" si="221"/>
        <v>4312.9699345769468</v>
      </c>
      <c r="BO42" s="60">
        <f t="shared" si="222"/>
        <v>9825.0279671444823</v>
      </c>
    </row>
    <row r="44" spans="1:67" x14ac:dyDescent="0.35">
      <c r="A44" s="25" t="s">
        <v>225</v>
      </c>
      <c r="B44" s="4" t="s">
        <v>3</v>
      </c>
      <c r="C44" s="19">
        <f>C38</f>
        <v>45352</v>
      </c>
      <c r="D44" s="20">
        <f>EDATE(C44,1)</f>
        <v>45383</v>
      </c>
      <c r="E44" s="20">
        <f>EDATE(D44,1)</f>
        <v>45413</v>
      </c>
      <c r="F44" s="20">
        <f>EDATE(E44,1)</f>
        <v>45444</v>
      </c>
      <c r="G44" s="20">
        <f t="shared" ref="G44" si="223">EDATE(F44,1)</f>
        <v>45474</v>
      </c>
      <c r="H44" s="20">
        <f t="shared" ref="H44" si="224">EDATE(G44,1)</f>
        <v>45505</v>
      </c>
      <c r="I44" s="20">
        <f t="shared" ref="I44" si="225">EDATE(H44,1)</f>
        <v>45536</v>
      </c>
      <c r="J44" s="20">
        <f t="shared" ref="J44" si="226">EDATE(I44,1)</f>
        <v>45566</v>
      </c>
      <c r="K44" s="20">
        <f t="shared" ref="K44" si="227">EDATE(J44,1)</f>
        <v>45597</v>
      </c>
      <c r="L44" s="20">
        <f t="shared" ref="L44" si="228">EDATE(K44,1)</f>
        <v>45627</v>
      </c>
      <c r="M44" s="20">
        <f t="shared" ref="M44" si="229">EDATE(L44,1)</f>
        <v>45658</v>
      </c>
      <c r="N44" s="20">
        <f t="shared" ref="N44" si="230">EDATE(M44,1)</f>
        <v>45689</v>
      </c>
      <c r="O44" s="21">
        <f t="shared" ref="O44" si="231">EDATE(N44,1)</f>
        <v>45717</v>
      </c>
      <c r="P44" s="20">
        <f t="shared" ref="P44" si="232">EDATE(O44,1)</f>
        <v>45748</v>
      </c>
      <c r="Q44" s="20">
        <f t="shared" ref="Q44" si="233">EDATE(P44,1)</f>
        <v>45778</v>
      </c>
      <c r="R44" s="20">
        <f t="shared" ref="R44" si="234">EDATE(Q44,1)</f>
        <v>45809</v>
      </c>
      <c r="S44" s="20">
        <f t="shared" ref="S44" si="235">EDATE(R44,1)</f>
        <v>45839</v>
      </c>
      <c r="T44" s="20">
        <f t="shared" ref="T44" si="236">EDATE(S44,1)</f>
        <v>45870</v>
      </c>
      <c r="U44" s="20">
        <f t="shared" ref="U44" si="237">EDATE(T44,1)</f>
        <v>45901</v>
      </c>
      <c r="V44" s="20">
        <f t="shared" ref="V44" si="238">EDATE(U44,1)</f>
        <v>45931</v>
      </c>
      <c r="W44" s="20">
        <f t="shared" ref="W44" si="239">EDATE(V44,1)</f>
        <v>45962</v>
      </c>
      <c r="X44" s="20">
        <f t="shared" ref="X44" si="240">EDATE(W44,1)</f>
        <v>45992</v>
      </c>
      <c r="Y44" s="20">
        <f t="shared" ref="Y44" si="241">EDATE(X44,1)</f>
        <v>46023</v>
      </c>
      <c r="Z44" s="20">
        <f t="shared" ref="Z44" si="242">EDATE(Y44,1)</f>
        <v>46054</v>
      </c>
      <c r="AA44" s="21">
        <f t="shared" ref="AA44" si="243">EDATE(Z44,1)</f>
        <v>46082</v>
      </c>
      <c r="AB44" s="20">
        <f t="shared" ref="AB44" si="244">EDATE(AA44,1)</f>
        <v>46113</v>
      </c>
      <c r="AC44" s="20">
        <f t="shared" ref="AC44" si="245">EDATE(AB44,1)</f>
        <v>46143</v>
      </c>
      <c r="AD44" s="20">
        <f t="shared" ref="AD44" si="246">EDATE(AC44,1)</f>
        <v>46174</v>
      </c>
      <c r="AE44" s="20">
        <f t="shared" ref="AE44" si="247">EDATE(AD44,1)</f>
        <v>46204</v>
      </c>
      <c r="AF44" s="20">
        <f t="shared" ref="AF44" si="248">EDATE(AE44,1)</f>
        <v>46235</v>
      </c>
      <c r="AG44" s="20">
        <f t="shared" ref="AG44" si="249">EDATE(AF44,1)</f>
        <v>46266</v>
      </c>
      <c r="AH44" s="20">
        <f t="shared" ref="AH44" si="250">EDATE(AG44,1)</f>
        <v>46296</v>
      </c>
      <c r="AI44" s="20">
        <f t="shared" ref="AI44" si="251">EDATE(AH44,1)</f>
        <v>46327</v>
      </c>
      <c r="AJ44" s="20">
        <f t="shared" ref="AJ44" si="252">EDATE(AI44,1)</f>
        <v>46357</v>
      </c>
      <c r="AK44" s="20">
        <f t="shared" ref="AK44" si="253">EDATE(AJ44,1)</f>
        <v>46388</v>
      </c>
      <c r="AL44" s="20">
        <f t="shared" ref="AL44" si="254">EDATE(AK44,1)</f>
        <v>46419</v>
      </c>
      <c r="AM44" s="21">
        <f t="shared" ref="AM44" si="255">EDATE(AL44,1)</f>
        <v>46447</v>
      </c>
      <c r="AN44" s="20">
        <f t="shared" ref="AN44" si="256">EDATE(AM44,1)</f>
        <v>46478</v>
      </c>
      <c r="AO44" s="20">
        <f t="shared" ref="AO44" si="257">EDATE(AN44,1)</f>
        <v>46508</v>
      </c>
      <c r="AP44" s="20">
        <f t="shared" ref="AP44" si="258">EDATE(AO44,1)</f>
        <v>46539</v>
      </c>
      <c r="AQ44" s="20">
        <f t="shared" ref="AQ44" si="259">EDATE(AP44,1)</f>
        <v>46569</v>
      </c>
      <c r="AR44" s="20">
        <f t="shared" ref="AR44" si="260">EDATE(AQ44,1)</f>
        <v>46600</v>
      </c>
      <c r="AS44" s="20">
        <f t="shared" ref="AS44" si="261">EDATE(AR44,1)</f>
        <v>46631</v>
      </c>
      <c r="AT44" s="20">
        <f t="shared" ref="AT44" si="262">EDATE(AS44,1)</f>
        <v>46661</v>
      </c>
      <c r="AU44" s="20">
        <f t="shared" ref="AU44" si="263">EDATE(AT44,1)</f>
        <v>46692</v>
      </c>
      <c r="AV44" s="20">
        <f t="shared" ref="AV44" si="264">EDATE(AU44,1)</f>
        <v>46722</v>
      </c>
      <c r="AW44" s="20">
        <f t="shared" ref="AW44" si="265">EDATE(AV44,1)</f>
        <v>46753</v>
      </c>
      <c r="AX44" s="21">
        <f t="shared" ref="AX44" si="266">EDATE(AW44,1)</f>
        <v>46784</v>
      </c>
      <c r="AY44" s="20">
        <f t="shared" ref="AY44" si="267">EDATE(AX44,1)</f>
        <v>46813</v>
      </c>
      <c r="AZ44" s="20">
        <f t="shared" ref="AZ44" si="268">EDATE(AY44,1)</f>
        <v>46844</v>
      </c>
      <c r="BA44" s="20">
        <f t="shared" ref="BA44" si="269">EDATE(AZ44,1)</f>
        <v>46874</v>
      </c>
      <c r="BB44" s="20">
        <f t="shared" ref="BB44" si="270">EDATE(BA44,1)</f>
        <v>46905</v>
      </c>
      <c r="BC44" s="20">
        <f t="shared" ref="BC44" si="271">EDATE(BB44,1)</f>
        <v>46935</v>
      </c>
      <c r="BD44" s="20">
        <f t="shared" ref="BD44" si="272">EDATE(BC44,1)</f>
        <v>46966</v>
      </c>
      <c r="BE44" s="20">
        <f t="shared" ref="BE44" si="273">EDATE(BD44,1)</f>
        <v>46997</v>
      </c>
      <c r="BF44" s="20">
        <f t="shared" ref="BF44" si="274">EDATE(BE44,1)</f>
        <v>47027</v>
      </c>
      <c r="BG44" s="20">
        <f t="shared" ref="BG44" si="275">EDATE(BF44,1)</f>
        <v>47058</v>
      </c>
      <c r="BH44" s="20">
        <f t="shared" ref="BH44" si="276">EDATE(BG44,1)</f>
        <v>47088</v>
      </c>
      <c r="BI44" s="20">
        <f t="shared" ref="BI44" si="277">EDATE(BH44,1)</f>
        <v>47119</v>
      </c>
      <c r="BJ44" s="21">
        <f t="shared" ref="BJ44" si="278">EDATE(BI44,1)</f>
        <v>47150</v>
      </c>
      <c r="BM44" s="138" t="str">
        <f>BM38</f>
        <v>FY24</v>
      </c>
      <c r="BN44" s="139" t="str">
        <f t="shared" ref="BN44:BO44" si="279">BN38</f>
        <v>FY25</v>
      </c>
      <c r="BO44" s="140" t="str">
        <f t="shared" si="279"/>
        <v>FY26</v>
      </c>
    </row>
    <row r="45" spans="1:67" x14ac:dyDescent="0.35">
      <c r="A45" s="15" t="str">
        <f>A44</f>
        <v>ANR (Stress)</v>
      </c>
      <c r="B45" s="15" t="s">
        <v>188</v>
      </c>
      <c r="C45" s="16">
        <f>SUM(C46:C48)</f>
        <v>86554.433167344076</v>
      </c>
      <c r="D45" s="17">
        <f t="shared" ref="D45:BJ45" si="280">SUM(D46:D48)</f>
        <v>88358.89376520236</v>
      </c>
      <c r="E45" s="17">
        <f t="shared" si="280"/>
        <v>89259.100052698181</v>
      </c>
      <c r="F45" s="17">
        <f t="shared" si="280"/>
        <v>90235.884158908928</v>
      </c>
      <c r="G45" s="17">
        <f t="shared" si="280"/>
        <v>91333.290525502947</v>
      </c>
      <c r="H45" s="17">
        <f t="shared" si="280"/>
        <v>92447.994700167357</v>
      </c>
      <c r="I45" s="17">
        <f t="shared" si="280"/>
        <v>93762.195586022775</v>
      </c>
      <c r="J45" s="17">
        <f t="shared" si="280"/>
        <v>94797.179677145861</v>
      </c>
      <c r="K45" s="17">
        <f t="shared" si="280"/>
        <v>95736.914735340484</v>
      </c>
      <c r="L45" s="17">
        <f t="shared" si="280"/>
        <v>96803.463120539105</v>
      </c>
      <c r="M45" s="17">
        <f t="shared" si="280"/>
        <v>97831.693246509763</v>
      </c>
      <c r="N45" s="17">
        <f t="shared" si="280"/>
        <v>98753.063968043731</v>
      </c>
      <c r="O45" s="18">
        <f t="shared" si="280"/>
        <v>99697.245562154596</v>
      </c>
      <c r="P45" s="17">
        <f t="shared" si="280"/>
        <v>99918.712607422713</v>
      </c>
      <c r="Q45" s="17">
        <f t="shared" si="280"/>
        <v>99452.062315364048</v>
      </c>
      <c r="R45" s="17">
        <f t="shared" si="280"/>
        <v>99093.465821682767</v>
      </c>
      <c r="S45" s="17">
        <f t="shared" si="280"/>
        <v>98784.395007808809</v>
      </c>
      <c r="T45" s="17">
        <f t="shared" si="280"/>
        <v>98585.164386582081</v>
      </c>
      <c r="U45" s="17">
        <f t="shared" si="280"/>
        <v>98537.364992431758</v>
      </c>
      <c r="V45" s="17">
        <f t="shared" si="280"/>
        <v>98665.290439904595</v>
      </c>
      <c r="W45" s="17">
        <f t="shared" si="280"/>
        <v>99198.750836984473</v>
      </c>
      <c r="X45" s="17">
        <f t="shared" si="280"/>
        <v>100290.0155187151</v>
      </c>
      <c r="Y45" s="17">
        <f t="shared" si="280"/>
        <v>101849.55702124294</v>
      </c>
      <c r="Z45" s="17">
        <f t="shared" si="280"/>
        <v>103752.34597289731</v>
      </c>
      <c r="AA45" s="18">
        <f t="shared" si="280"/>
        <v>106121.05044307483</v>
      </c>
      <c r="AB45" s="17">
        <f t="shared" si="280"/>
        <v>107699.20298032426</v>
      </c>
      <c r="AC45" s="17">
        <f t="shared" si="280"/>
        <v>109068.11180186375</v>
      </c>
      <c r="AD45" s="17">
        <f t="shared" si="280"/>
        <v>111087.24842568079</v>
      </c>
      <c r="AE45" s="17">
        <f t="shared" si="280"/>
        <v>113172.14913301216</v>
      </c>
      <c r="AF45" s="17">
        <f t="shared" si="280"/>
        <v>116002.7633478262</v>
      </c>
      <c r="AG45" s="17">
        <f t="shared" si="280"/>
        <v>119751.74959768417</v>
      </c>
      <c r="AH45" s="17">
        <f t="shared" si="280"/>
        <v>124333.89766397033</v>
      </c>
      <c r="AI45" s="17">
        <f t="shared" si="280"/>
        <v>129655.41925866911</v>
      </c>
      <c r="AJ45" s="17">
        <f t="shared" si="280"/>
        <v>135687.66301557893</v>
      </c>
      <c r="AK45" s="17">
        <f t="shared" si="280"/>
        <v>142117.67448280094</v>
      </c>
      <c r="AL45" s="17">
        <f t="shared" si="280"/>
        <v>148578.3992792092</v>
      </c>
      <c r="AM45" s="18">
        <f t="shared" si="280"/>
        <v>155340.60478255022</v>
      </c>
      <c r="AN45" s="17">
        <f t="shared" si="280"/>
        <v>0</v>
      </c>
      <c r="AO45" s="17">
        <f t="shared" si="280"/>
        <v>0</v>
      </c>
      <c r="AP45" s="17">
        <f t="shared" si="280"/>
        <v>0</v>
      </c>
      <c r="AQ45" s="17">
        <f t="shared" si="280"/>
        <v>0</v>
      </c>
      <c r="AR45" s="17">
        <f t="shared" si="280"/>
        <v>0</v>
      </c>
      <c r="AS45" s="17">
        <f t="shared" si="280"/>
        <v>0</v>
      </c>
      <c r="AT45" s="17">
        <f t="shared" si="280"/>
        <v>0</v>
      </c>
      <c r="AU45" s="17">
        <f t="shared" si="280"/>
        <v>0</v>
      </c>
      <c r="AV45" s="17">
        <f t="shared" si="280"/>
        <v>0</v>
      </c>
      <c r="AW45" s="17">
        <f t="shared" si="280"/>
        <v>0</v>
      </c>
      <c r="AX45" s="18">
        <f t="shared" si="280"/>
        <v>0</v>
      </c>
      <c r="AY45" s="17">
        <f t="shared" si="280"/>
        <v>0</v>
      </c>
      <c r="AZ45" s="17">
        <f t="shared" si="280"/>
        <v>0</v>
      </c>
      <c r="BA45" s="17">
        <f t="shared" si="280"/>
        <v>0</v>
      </c>
      <c r="BB45" s="17">
        <f t="shared" si="280"/>
        <v>0</v>
      </c>
      <c r="BC45" s="17">
        <f t="shared" si="280"/>
        <v>0</v>
      </c>
      <c r="BD45" s="17">
        <f t="shared" si="280"/>
        <v>0</v>
      </c>
      <c r="BE45" s="17">
        <f t="shared" si="280"/>
        <v>0</v>
      </c>
      <c r="BF45" s="17">
        <f t="shared" si="280"/>
        <v>0</v>
      </c>
      <c r="BG45" s="17">
        <f t="shared" si="280"/>
        <v>0</v>
      </c>
      <c r="BH45" s="17">
        <f t="shared" si="280"/>
        <v>0</v>
      </c>
      <c r="BI45" s="17">
        <f t="shared" si="280"/>
        <v>0</v>
      </c>
      <c r="BJ45" s="18">
        <f t="shared" si="280"/>
        <v>0</v>
      </c>
      <c r="BM45" s="16">
        <f t="shared" ref="BM45:BO45" si="281">SUM(BM46:BM48)</f>
        <v>94084.74325818634</v>
      </c>
      <c r="BN45" s="17">
        <f t="shared" si="281"/>
        <v>100354.01461367596</v>
      </c>
      <c r="BO45" s="18">
        <f t="shared" si="281"/>
        <v>126041.24031409749</v>
      </c>
    </row>
    <row r="46" spans="1:67" x14ac:dyDescent="0.35">
      <c r="A46" s="1" t="str">
        <f t="shared" ref="A46:A48" si="282">A45</f>
        <v>ANR (Stress)</v>
      </c>
      <c r="B46" s="1" t="s">
        <v>157</v>
      </c>
      <c r="C46" s="52">
        <f>'Input - ANR'!C10</f>
        <v>50793.946422294131</v>
      </c>
      <c r="D46" s="53">
        <f>'Input - ANR'!D10</f>
        <v>51905.960894426149</v>
      </c>
      <c r="E46" s="53">
        <f>'Input - ANR'!E10</f>
        <v>52737.653490540069</v>
      </c>
      <c r="F46" s="53">
        <f>'Input - ANR'!F10</f>
        <v>53621.680362205982</v>
      </c>
      <c r="G46" s="53">
        <f>'Input - ANR'!G10</f>
        <v>54568.555311257856</v>
      </c>
      <c r="H46" s="53">
        <f>'Input - ANR'!H10</f>
        <v>55518.815600574024</v>
      </c>
      <c r="I46" s="53">
        <f>'Input - ANR'!I10</f>
        <v>56612.593431368674</v>
      </c>
      <c r="J46" s="53">
        <f>'Input - ANR'!J10</f>
        <v>57504.897612266643</v>
      </c>
      <c r="K46" s="53">
        <f>'Input - ANR'!K10</f>
        <v>58314.532338838842</v>
      </c>
      <c r="L46" s="53">
        <f>'Input - ANR'!L10</f>
        <v>59237.046543360651</v>
      </c>
      <c r="M46" s="53">
        <f>'Input - ANR'!M10</f>
        <v>60149.798624984251</v>
      </c>
      <c r="N46" s="53">
        <f>'Input - ANR'!N10</f>
        <v>60978.281527763043</v>
      </c>
      <c r="O46" s="54">
        <f>'Input - ANR'!O10</f>
        <v>61796.415107871893</v>
      </c>
      <c r="P46" s="53">
        <f>'Input - ANR'!P10</f>
        <v>62133.77039950261</v>
      </c>
      <c r="Q46" s="53">
        <f>'Input - ANR'!Q10</f>
        <v>62029.033974008205</v>
      </c>
      <c r="R46" s="53">
        <f>'Input - ANR'!R10</f>
        <v>61992.037588226958</v>
      </c>
      <c r="S46" s="53">
        <f>'Input - ANR'!S10</f>
        <v>61964.220346659866</v>
      </c>
      <c r="T46" s="53">
        <f>'Input - ANR'!T10</f>
        <v>61993.566704519631</v>
      </c>
      <c r="U46" s="53">
        <f>'Input - ANR'!U10</f>
        <v>62131.731251685625</v>
      </c>
      <c r="V46" s="53">
        <f>'Input - ANR'!V10</f>
        <v>62365.108965148327</v>
      </c>
      <c r="W46" s="53">
        <f>'Input - ANR'!W10</f>
        <v>62836.171489408473</v>
      </c>
      <c r="X46" s="53">
        <f>'Input - ANR'!X10</f>
        <v>63658.992286249901</v>
      </c>
      <c r="Y46" s="53">
        <f>'Input - ANR'!Y10</f>
        <v>64773.485557519547</v>
      </c>
      <c r="Z46" s="53">
        <f>'Input - ANR'!Z10</f>
        <v>66091.732113977094</v>
      </c>
      <c r="AA46" s="54">
        <f>'Input - ANR'!AA10</f>
        <v>67674.760908408411</v>
      </c>
      <c r="AB46" s="53">
        <f>'Input - ANR'!AB10</f>
        <v>68720.85801508314</v>
      </c>
      <c r="AC46" s="53">
        <f>'Input - ANR'!AC10</f>
        <v>69834.876009354441</v>
      </c>
      <c r="AD46" s="53">
        <f>'Input - ANR'!AD10</f>
        <v>71374.545419062561</v>
      </c>
      <c r="AE46" s="53">
        <f>'Input - ANR'!AE10</f>
        <v>72739.44811925129</v>
      </c>
      <c r="AF46" s="53">
        <f>'Input - ANR'!AF10</f>
        <v>74557.437511106793</v>
      </c>
      <c r="AG46" s="53">
        <f>'Input - ANR'!AG10</f>
        <v>76959.473439597365</v>
      </c>
      <c r="AH46" s="53">
        <f>'Input - ANR'!AH10</f>
        <v>79800.090894421257</v>
      </c>
      <c r="AI46" s="53">
        <f>'Input - ANR'!AI10</f>
        <v>83058.437856611927</v>
      </c>
      <c r="AJ46" s="53">
        <f>'Input - ANR'!AJ10</f>
        <v>86823.714320526546</v>
      </c>
      <c r="AK46" s="53">
        <f>'Input - ANR'!AK10</f>
        <v>90848.651631831395</v>
      </c>
      <c r="AL46" s="53">
        <f>'Input - ANR'!AL10</f>
        <v>94890.359625931145</v>
      </c>
      <c r="AM46" s="54">
        <f>'Input - ANR'!AM10</f>
        <v>99067.598074748646</v>
      </c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4"/>
      <c r="AY46" s="53"/>
      <c r="AZ46" s="53"/>
      <c r="BA46" s="53"/>
      <c r="BB46" s="53"/>
      <c r="BC46" s="53"/>
      <c r="BD46" s="53"/>
      <c r="BE46" s="53"/>
      <c r="BF46" s="53"/>
      <c r="BG46" s="53"/>
      <c r="BH46" s="53"/>
      <c r="BI46" s="53"/>
      <c r="BJ46" s="54"/>
      <c r="BM46" s="52">
        <f>AVERAGE(D46:O46)</f>
        <v>56912.185903788173</v>
      </c>
      <c r="BN46" s="53">
        <f>AVERAGE(P46:AA46)</f>
        <v>63303.717632109561</v>
      </c>
      <c r="BO46" s="54">
        <f>AVERAGE(AB46:AM46)</f>
        <v>80722.95757646054</v>
      </c>
    </row>
    <row r="47" spans="1:67" x14ac:dyDescent="0.35">
      <c r="A47" s="2" t="str">
        <f t="shared" si="282"/>
        <v>ANR (Stress)</v>
      </c>
      <c r="B47" s="2" t="s">
        <v>158</v>
      </c>
      <c r="C47" s="55">
        <f>'Input - ANR'!C11</f>
        <v>28570.328209647905</v>
      </c>
      <c r="D47" s="56">
        <f>'Input - ANR'!D11</f>
        <v>29172.183739591739</v>
      </c>
      <c r="E47" s="56">
        <f>'Input - ANR'!E11</f>
        <v>29470.945860949552</v>
      </c>
      <c r="F47" s="56">
        <f>'Input - ANR'!F11</f>
        <v>29816.807428163174</v>
      </c>
      <c r="G47" s="56">
        <f>'Input - ANR'!G11</f>
        <v>30192.773836927216</v>
      </c>
      <c r="H47" s="56">
        <f>'Input - ANR'!H11</f>
        <v>30553.849666739854</v>
      </c>
      <c r="I47" s="56">
        <f>'Input - ANR'!I11</f>
        <v>30968.4491394859</v>
      </c>
      <c r="J47" s="56">
        <f>'Input - ANR'!J11</f>
        <v>31296.69702828331</v>
      </c>
      <c r="K47" s="56">
        <f>'Input - ANR'!K11</f>
        <v>31558.697727178565</v>
      </c>
      <c r="L47" s="56">
        <f>'Input - ANR'!L11</f>
        <v>31880.26634578855</v>
      </c>
      <c r="M47" s="56">
        <f>'Input - ANR'!M11</f>
        <v>32163.72642215194</v>
      </c>
      <c r="N47" s="56">
        <f>'Input - ANR'!N11</f>
        <v>32423.155236320912</v>
      </c>
      <c r="O47" s="57">
        <f>'Input - ANR'!O11</f>
        <v>32693.48208021509</v>
      </c>
      <c r="P47" s="56">
        <f>'Input - ANR'!P11</f>
        <v>32755.621256818562</v>
      </c>
      <c r="Q47" s="56">
        <f>'Input - ANR'!Q11</f>
        <v>32624.65018312179</v>
      </c>
      <c r="R47" s="56">
        <f>'Input - ANR'!R11</f>
        <v>32516.872925192303</v>
      </c>
      <c r="S47" s="56">
        <f>'Input - ANR'!S11</f>
        <v>32434.897619989679</v>
      </c>
      <c r="T47" s="56">
        <f>'Input - ANR'!T11</f>
        <v>32389.358290006367</v>
      </c>
      <c r="U47" s="56">
        <f>'Input - ANR'!U11</f>
        <v>32373.427840296146</v>
      </c>
      <c r="V47" s="56">
        <f>'Input - ANR'!V11</f>
        <v>32406.612415398213</v>
      </c>
      <c r="W47" s="56">
        <f>'Input - ANR'!W11</f>
        <v>32560.150723472594</v>
      </c>
      <c r="X47" s="56">
        <f>'Input - ANR'!X11</f>
        <v>32871.933636557551</v>
      </c>
      <c r="Y47" s="56">
        <f>'Input - ANR'!Y11</f>
        <v>33306.78278146607</v>
      </c>
      <c r="Z47" s="56">
        <f>'Input - ANR'!Z11</f>
        <v>33831.015333192896</v>
      </c>
      <c r="AA47" s="57">
        <f>'Input - ANR'!AA11</f>
        <v>34470.870465856577</v>
      </c>
      <c r="AB47" s="56">
        <f>'Input - ANR'!AB11</f>
        <v>34905.502010593489</v>
      </c>
      <c r="AC47" s="56">
        <f>'Input - ANR'!AC11</f>
        <v>35149.467839846569</v>
      </c>
      <c r="AD47" s="56">
        <f>'Input - ANR'!AD11</f>
        <v>35560.91822789712</v>
      </c>
      <c r="AE47" s="56">
        <f>'Input - ANR'!AE11</f>
        <v>36136.867790750439</v>
      </c>
      <c r="AF47" s="56">
        <f>'Input - ANR'!AF11</f>
        <v>36916.480939999878</v>
      </c>
      <c r="AG47" s="56">
        <f>'Input - ANR'!AG11</f>
        <v>37940.548369444303</v>
      </c>
      <c r="AH47" s="56">
        <f>'Input - ANR'!AH11</f>
        <v>39155.757869337351</v>
      </c>
      <c r="AI47" s="56">
        <f>'Input - ANR'!AI11</f>
        <v>40555.364482158795</v>
      </c>
      <c r="AJ47" s="56">
        <f>'Input - ANR'!AJ11</f>
        <v>42169.847651995697</v>
      </c>
      <c r="AK47" s="56">
        <f>'Input - ANR'!AK11</f>
        <v>43901.280521517358</v>
      </c>
      <c r="AL47" s="56">
        <f>'Input - ANR'!AL11</f>
        <v>45642.622185503395</v>
      </c>
      <c r="AM47" s="57">
        <f>'Input - ANR'!AM11</f>
        <v>47435.786820440422</v>
      </c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57"/>
      <c r="AY47" s="56"/>
      <c r="AZ47" s="56"/>
      <c r="BA47" s="56"/>
      <c r="BB47" s="56"/>
      <c r="BC47" s="56"/>
      <c r="BD47" s="56"/>
      <c r="BE47" s="56"/>
      <c r="BF47" s="56"/>
      <c r="BG47" s="56"/>
      <c r="BH47" s="56"/>
      <c r="BI47" s="56"/>
      <c r="BJ47" s="57"/>
      <c r="BM47" s="55">
        <f t="shared" ref="BM47:BM48" si="283">AVERAGE(D47:O47)</f>
        <v>31015.919542649648</v>
      </c>
      <c r="BN47" s="56">
        <f t="shared" ref="BN47:BN48" si="284">AVERAGE(P47:AA47)</f>
        <v>32878.516122614063</v>
      </c>
      <c r="BO47" s="57">
        <f t="shared" ref="BO47:BO48" si="285">AVERAGE(AB47:AM47)</f>
        <v>39622.537059123737</v>
      </c>
    </row>
    <row r="48" spans="1:67" x14ac:dyDescent="0.35">
      <c r="A48" s="3" t="str">
        <f t="shared" si="282"/>
        <v>ANR (Stress)</v>
      </c>
      <c r="B48" s="3" t="s">
        <v>159</v>
      </c>
      <c r="C48" s="58">
        <f>'Input - ANR'!C12</f>
        <v>7190.1585354020353</v>
      </c>
      <c r="D48" s="59">
        <f>'Input - ANR'!D12</f>
        <v>7280.7491311844587</v>
      </c>
      <c r="E48" s="59">
        <f>'Input - ANR'!E12</f>
        <v>7050.5007012085543</v>
      </c>
      <c r="F48" s="59">
        <f>'Input - ANR'!F12</f>
        <v>6797.3963685397757</v>
      </c>
      <c r="G48" s="59">
        <f>'Input - ANR'!G12</f>
        <v>6571.9613773178744</v>
      </c>
      <c r="H48" s="59">
        <f>'Input - ANR'!H12</f>
        <v>6375.3294328534757</v>
      </c>
      <c r="I48" s="59">
        <f>'Input - ANR'!I12</f>
        <v>6181.1530151682082</v>
      </c>
      <c r="J48" s="59">
        <f>'Input - ANR'!J12</f>
        <v>5995.5850365958986</v>
      </c>
      <c r="K48" s="59">
        <f>'Input - ANR'!K12</f>
        <v>5863.6846693230764</v>
      </c>
      <c r="L48" s="59">
        <f>'Input - ANR'!L12</f>
        <v>5686.1502313899009</v>
      </c>
      <c r="M48" s="59">
        <f>'Input - ANR'!M12</f>
        <v>5518.1681993735619</v>
      </c>
      <c r="N48" s="59">
        <f>'Input - ANR'!N12</f>
        <v>5351.627203959777</v>
      </c>
      <c r="O48" s="60">
        <f>'Input - ANR'!O12</f>
        <v>5207.3483740676129</v>
      </c>
      <c r="P48" s="59">
        <f>'Input - ANR'!P12</f>
        <v>5029.3209511015421</v>
      </c>
      <c r="Q48" s="59">
        <f>'Input - ANR'!Q12</f>
        <v>4798.3781582340562</v>
      </c>
      <c r="R48" s="59">
        <f>'Input - ANR'!R12</f>
        <v>4584.5553082634942</v>
      </c>
      <c r="S48" s="59">
        <f>'Input - ANR'!S12</f>
        <v>4385.2770411592619</v>
      </c>
      <c r="T48" s="59">
        <f>'Input - ANR'!T12</f>
        <v>4202.2393920560835</v>
      </c>
      <c r="U48" s="59">
        <f>'Input - ANR'!U12</f>
        <v>4032.2059004499906</v>
      </c>
      <c r="V48" s="59">
        <f>'Input - ANR'!V12</f>
        <v>3893.5690593580566</v>
      </c>
      <c r="W48" s="59">
        <f>'Input - ANR'!W12</f>
        <v>3802.428624103416</v>
      </c>
      <c r="X48" s="59">
        <f>'Input - ANR'!X12</f>
        <v>3759.0895959076429</v>
      </c>
      <c r="Y48" s="59">
        <f>'Input - ANR'!Y12</f>
        <v>3769.2886822573187</v>
      </c>
      <c r="Z48" s="59">
        <f>'Input - ANR'!Z12</f>
        <v>3829.5985257273192</v>
      </c>
      <c r="AA48" s="60">
        <f>'Input - ANR'!AA12</f>
        <v>3975.4190688098433</v>
      </c>
      <c r="AB48" s="59">
        <f>'Input - ANR'!AB12</f>
        <v>4072.8429546476304</v>
      </c>
      <c r="AC48" s="59">
        <f>'Input - ANR'!AC12</f>
        <v>4083.7679526627353</v>
      </c>
      <c r="AD48" s="59">
        <f>'Input - ANR'!AD12</f>
        <v>4151.7847787211103</v>
      </c>
      <c r="AE48" s="59">
        <f>'Input - ANR'!AE12</f>
        <v>4295.8332230104406</v>
      </c>
      <c r="AF48" s="59">
        <f>'Input - ANR'!AF12</f>
        <v>4528.8448967195227</v>
      </c>
      <c r="AG48" s="59">
        <f>'Input - ANR'!AG12</f>
        <v>4851.727788642499</v>
      </c>
      <c r="AH48" s="59">
        <f>'Input - ANR'!AH12</f>
        <v>5378.0489002117301</v>
      </c>
      <c r="AI48" s="59">
        <f>'Input - ANR'!AI12</f>
        <v>6041.6169198983871</v>
      </c>
      <c r="AJ48" s="59">
        <f>'Input - ANR'!AJ12</f>
        <v>6694.1010430567112</v>
      </c>
      <c r="AK48" s="59">
        <f>'Input - ANR'!AK12</f>
        <v>7367.7423294521914</v>
      </c>
      <c r="AL48" s="59">
        <f>'Input - ANR'!AL12</f>
        <v>8045.4174677746414</v>
      </c>
      <c r="AM48" s="60">
        <f>'Input - ANR'!AM12</f>
        <v>8837.2198873611469</v>
      </c>
      <c r="AN48" s="59"/>
      <c r="AO48" s="59"/>
      <c r="AP48" s="59"/>
      <c r="AQ48" s="59"/>
      <c r="AR48" s="59"/>
      <c r="AS48" s="59"/>
      <c r="AT48" s="59"/>
      <c r="AU48" s="59"/>
      <c r="AV48" s="59"/>
      <c r="AW48" s="59"/>
      <c r="AX48" s="60"/>
      <c r="AY48" s="59"/>
      <c r="AZ48" s="59"/>
      <c r="BA48" s="59"/>
      <c r="BB48" s="59"/>
      <c r="BC48" s="59"/>
      <c r="BD48" s="59"/>
      <c r="BE48" s="59"/>
      <c r="BF48" s="59"/>
      <c r="BG48" s="59"/>
      <c r="BH48" s="59"/>
      <c r="BI48" s="59"/>
      <c r="BJ48" s="60"/>
      <c r="BM48" s="58">
        <f t="shared" si="283"/>
        <v>6156.6378117485147</v>
      </c>
      <c r="BN48" s="59">
        <f t="shared" si="284"/>
        <v>4171.7808589523356</v>
      </c>
      <c r="BO48" s="60">
        <f t="shared" si="285"/>
        <v>5695.7456785132281</v>
      </c>
    </row>
    <row r="50" spans="1:67" x14ac:dyDescent="0.35">
      <c r="A50" s="25" t="s">
        <v>269</v>
      </c>
      <c r="B50" s="4" t="s">
        <v>3</v>
      </c>
      <c r="C50" s="19">
        <f>C38</f>
        <v>45352</v>
      </c>
      <c r="D50" s="20">
        <f>EDATE(C50,1)</f>
        <v>45383</v>
      </c>
      <c r="E50" s="20">
        <f>EDATE(D50,1)</f>
        <v>45413</v>
      </c>
      <c r="F50" s="20">
        <f>EDATE(E50,1)</f>
        <v>45444</v>
      </c>
      <c r="G50" s="20">
        <f t="shared" ref="G50" si="286">EDATE(F50,1)</f>
        <v>45474</v>
      </c>
      <c r="H50" s="20">
        <f t="shared" ref="H50" si="287">EDATE(G50,1)</f>
        <v>45505</v>
      </c>
      <c r="I50" s="20">
        <f t="shared" ref="I50" si="288">EDATE(H50,1)</f>
        <v>45536</v>
      </c>
      <c r="J50" s="20">
        <f t="shared" ref="J50" si="289">EDATE(I50,1)</f>
        <v>45566</v>
      </c>
      <c r="K50" s="20">
        <f t="shared" ref="K50" si="290">EDATE(J50,1)</f>
        <v>45597</v>
      </c>
      <c r="L50" s="20">
        <f t="shared" ref="L50" si="291">EDATE(K50,1)</f>
        <v>45627</v>
      </c>
      <c r="M50" s="20">
        <f t="shared" ref="M50" si="292">EDATE(L50,1)</f>
        <v>45658</v>
      </c>
      <c r="N50" s="20">
        <f t="shared" ref="N50" si="293">EDATE(M50,1)</f>
        <v>45689</v>
      </c>
      <c r="O50" s="21">
        <f t="shared" ref="O50" si="294">EDATE(N50,1)</f>
        <v>45717</v>
      </c>
      <c r="P50" s="20">
        <f t="shared" ref="P50" si="295">EDATE(O50,1)</f>
        <v>45748</v>
      </c>
      <c r="Q50" s="20">
        <f t="shared" ref="Q50" si="296">EDATE(P50,1)</f>
        <v>45778</v>
      </c>
      <c r="R50" s="20">
        <f t="shared" ref="R50" si="297">EDATE(Q50,1)</f>
        <v>45809</v>
      </c>
      <c r="S50" s="20">
        <f t="shared" ref="S50" si="298">EDATE(R50,1)</f>
        <v>45839</v>
      </c>
      <c r="T50" s="20">
        <f t="shared" ref="T50" si="299">EDATE(S50,1)</f>
        <v>45870</v>
      </c>
      <c r="U50" s="20">
        <f t="shared" ref="U50" si="300">EDATE(T50,1)</f>
        <v>45901</v>
      </c>
      <c r="V50" s="20">
        <f t="shared" ref="V50" si="301">EDATE(U50,1)</f>
        <v>45931</v>
      </c>
      <c r="W50" s="20">
        <f t="shared" ref="W50" si="302">EDATE(V50,1)</f>
        <v>45962</v>
      </c>
      <c r="X50" s="20">
        <f t="shared" ref="X50" si="303">EDATE(W50,1)</f>
        <v>45992</v>
      </c>
      <c r="Y50" s="20">
        <f t="shared" ref="Y50" si="304">EDATE(X50,1)</f>
        <v>46023</v>
      </c>
      <c r="Z50" s="20">
        <f t="shared" ref="Z50" si="305">EDATE(Y50,1)</f>
        <v>46054</v>
      </c>
      <c r="AA50" s="21">
        <f t="shared" ref="AA50" si="306">EDATE(Z50,1)</f>
        <v>46082</v>
      </c>
      <c r="AB50" s="20">
        <f t="shared" ref="AB50" si="307">EDATE(AA50,1)</f>
        <v>46113</v>
      </c>
      <c r="AC50" s="20">
        <f t="shared" ref="AC50" si="308">EDATE(AB50,1)</f>
        <v>46143</v>
      </c>
      <c r="AD50" s="20">
        <f t="shared" ref="AD50" si="309">EDATE(AC50,1)</f>
        <v>46174</v>
      </c>
      <c r="AE50" s="20">
        <f t="shared" ref="AE50" si="310">EDATE(AD50,1)</f>
        <v>46204</v>
      </c>
      <c r="AF50" s="20">
        <f t="shared" ref="AF50" si="311">EDATE(AE50,1)</f>
        <v>46235</v>
      </c>
      <c r="AG50" s="20">
        <f t="shared" ref="AG50" si="312">EDATE(AF50,1)</f>
        <v>46266</v>
      </c>
      <c r="AH50" s="20">
        <f t="shared" ref="AH50" si="313">EDATE(AG50,1)</f>
        <v>46296</v>
      </c>
      <c r="AI50" s="20">
        <f t="shared" ref="AI50" si="314">EDATE(AH50,1)</f>
        <v>46327</v>
      </c>
      <c r="AJ50" s="20">
        <f t="shared" ref="AJ50" si="315">EDATE(AI50,1)</f>
        <v>46357</v>
      </c>
      <c r="AK50" s="20">
        <f t="shared" ref="AK50" si="316">EDATE(AJ50,1)</f>
        <v>46388</v>
      </c>
      <c r="AL50" s="20">
        <f t="shared" ref="AL50" si="317">EDATE(AK50,1)</f>
        <v>46419</v>
      </c>
      <c r="AM50" s="21">
        <f t="shared" ref="AM50" si="318">EDATE(AL50,1)</f>
        <v>46447</v>
      </c>
      <c r="AN50" s="20">
        <f t="shared" ref="AN50" si="319">EDATE(AM50,1)</f>
        <v>46478</v>
      </c>
      <c r="AO50" s="20">
        <f t="shared" ref="AO50" si="320">EDATE(AN50,1)</f>
        <v>46508</v>
      </c>
      <c r="AP50" s="20">
        <f t="shared" ref="AP50" si="321">EDATE(AO50,1)</f>
        <v>46539</v>
      </c>
      <c r="AQ50" s="20">
        <f t="shared" ref="AQ50" si="322">EDATE(AP50,1)</f>
        <v>46569</v>
      </c>
      <c r="AR50" s="20">
        <f t="shared" ref="AR50" si="323">EDATE(AQ50,1)</f>
        <v>46600</v>
      </c>
      <c r="AS50" s="20">
        <f t="shared" ref="AS50" si="324">EDATE(AR50,1)</f>
        <v>46631</v>
      </c>
      <c r="AT50" s="20">
        <f t="shared" ref="AT50" si="325">EDATE(AS50,1)</f>
        <v>46661</v>
      </c>
      <c r="AU50" s="20">
        <f t="shared" ref="AU50" si="326">EDATE(AT50,1)</f>
        <v>46692</v>
      </c>
      <c r="AV50" s="20">
        <f t="shared" ref="AV50" si="327">EDATE(AU50,1)</f>
        <v>46722</v>
      </c>
      <c r="AW50" s="20">
        <f t="shared" ref="AW50" si="328">EDATE(AV50,1)</f>
        <v>46753</v>
      </c>
      <c r="AX50" s="21">
        <f t="shared" ref="AX50" si="329">EDATE(AW50,1)</f>
        <v>46784</v>
      </c>
      <c r="AY50" s="20">
        <f t="shared" ref="AY50" si="330">EDATE(AX50,1)</f>
        <v>46813</v>
      </c>
      <c r="AZ50" s="20">
        <f t="shared" ref="AZ50" si="331">EDATE(AY50,1)</f>
        <v>46844</v>
      </c>
      <c r="BA50" s="20">
        <f t="shared" ref="BA50" si="332">EDATE(AZ50,1)</f>
        <v>46874</v>
      </c>
      <c r="BB50" s="20">
        <f t="shared" ref="BB50" si="333">EDATE(BA50,1)</f>
        <v>46905</v>
      </c>
      <c r="BC50" s="20">
        <f t="shared" ref="BC50" si="334">EDATE(BB50,1)</f>
        <v>46935</v>
      </c>
      <c r="BD50" s="20">
        <f t="shared" ref="BD50" si="335">EDATE(BC50,1)</f>
        <v>46966</v>
      </c>
      <c r="BE50" s="20">
        <f t="shared" ref="BE50" si="336">EDATE(BD50,1)</f>
        <v>46997</v>
      </c>
      <c r="BF50" s="20">
        <f t="shared" ref="BF50" si="337">EDATE(BE50,1)</f>
        <v>47027</v>
      </c>
      <c r="BG50" s="20">
        <f t="shared" ref="BG50" si="338">EDATE(BF50,1)</f>
        <v>47058</v>
      </c>
      <c r="BH50" s="20">
        <f t="shared" ref="BH50" si="339">EDATE(BG50,1)</f>
        <v>47088</v>
      </c>
      <c r="BI50" s="20">
        <f t="shared" ref="BI50" si="340">EDATE(BH50,1)</f>
        <v>47119</v>
      </c>
      <c r="BJ50" s="21">
        <f t="shared" ref="BJ50" si="341">EDATE(BI50,1)</f>
        <v>47150</v>
      </c>
      <c r="BM50" s="138" t="str">
        <f>BM44</f>
        <v>FY24</v>
      </c>
      <c r="BN50" s="139" t="str">
        <f t="shared" ref="BN50:BO50" si="342">BN44</f>
        <v>FY25</v>
      </c>
      <c r="BO50" s="140" t="str">
        <f t="shared" si="342"/>
        <v>FY26</v>
      </c>
    </row>
    <row r="51" spans="1:67" x14ac:dyDescent="0.35">
      <c r="A51" s="15" t="str">
        <f>A50</f>
        <v>GNPA (Stress)-CV</v>
      </c>
      <c r="B51" s="15" t="s">
        <v>188</v>
      </c>
      <c r="C51" s="16">
        <f>SUM(C52:C54)</f>
        <v>2071.7714525039678</v>
      </c>
      <c r="D51" s="17">
        <f t="shared" ref="D51:BJ51" si="343">SUM(D52:D54)</f>
        <v>2190.3467373426752</v>
      </c>
      <c r="E51" s="17">
        <f t="shared" si="343"/>
        <v>2291.2011977995903</v>
      </c>
      <c r="F51" s="17">
        <f t="shared" si="343"/>
        <v>2390.623876372129</v>
      </c>
      <c r="G51" s="17">
        <f t="shared" si="343"/>
        <v>2502.7965658235275</v>
      </c>
      <c r="H51" s="17">
        <f t="shared" si="343"/>
        <v>2610.4879254595721</v>
      </c>
      <c r="I51" s="17">
        <f t="shared" si="343"/>
        <v>2614.7492634638461</v>
      </c>
      <c r="J51" s="17">
        <f t="shared" si="343"/>
        <v>2750.7516161790368</v>
      </c>
      <c r="K51" s="17">
        <f t="shared" si="343"/>
        <v>2890.6188026594755</v>
      </c>
      <c r="L51" s="17">
        <f t="shared" si="343"/>
        <v>2857.1797504281981</v>
      </c>
      <c r="M51" s="17">
        <f t="shared" si="343"/>
        <v>3002.2112157783786</v>
      </c>
      <c r="N51" s="17">
        <f t="shared" si="343"/>
        <v>2953.1989810037003</v>
      </c>
      <c r="O51" s="18">
        <f t="shared" si="343"/>
        <v>3094.7104789617374</v>
      </c>
      <c r="P51" s="17">
        <f t="shared" si="343"/>
        <v>3217.092841706658</v>
      </c>
      <c r="Q51" s="17">
        <f t="shared" si="343"/>
        <v>3332.2078767945336</v>
      </c>
      <c r="R51" s="17">
        <f t="shared" si="343"/>
        <v>3451.9480539101105</v>
      </c>
      <c r="S51" s="17">
        <f t="shared" si="343"/>
        <v>3595.7149864209341</v>
      </c>
      <c r="T51" s="17">
        <f t="shared" si="343"/>
        <v>3739.9711280637216</v>
      </c>
      <c r="U51" s="17">
        <f t="shared" si="343"/>
        <v>3881.4030256636229</v>
      </c>
      <c r="V51" s="17">
        <f t="shared" si="343"/>
        <v>3843.306283125944</v>
      </c>
      <c r="W51" s="17">
        <f t="shared" si="343"/>
        <v>3821.2433523538907</v>
      </c>
      <c r="X51" s="17">
        <f t="shared" si="343"/>
        <v>3587.9700349175564</v>
      </c>
      <c r="Y51" s="17">
        <f t="shared" si="343"/>
        <v>3610.8456345749501</v>
      </c>
      <c r="Z51" s="17">
        <f t="shared" si="343"/>
        <v>3415.7118062609457</v>
      </c>
      <c r="AA51" s="18">
        <f t="shared" si="343"/>
        <v>3456.5927866434072</v>
      </c>
      <c r="AB51" s="17">
        <f t="shared" si="343"/>
        <v>3414.4242073105875</v>
      </c>
      <c r="AC51" s="17">
        <f t="shared" si="343"/>
        <v>3390.522200722864</v>
      </c>
      <c r="AD51" s="17">
        <f t="shared" si="343"/>
        <v>3352.6256276090799</v>
      </c>
      <c r="AE51" s="17">
        <f t="shared" si="343"/>
        <v>3349.7941657296828</v>
      </c>
      <c r="AF51" s="17">
        <f t="shared" si="343"/>
        <v>3359.4476587329796</v>
      </c>
      <c r="AG51" s="17">
        <f t="shared" si="343"/>
        <v>3341.2056511905566</v>
      </c>
      <c r="AH51" s="17">
        <f t="shared" si="343"/>
        <v>3393.1972010275476</v>
      </c>
      <c r="AI51" s="17">
        <f t="shared" si="343"/>
        <v>3453.7089266556445</v>
      </c>
      <c r="AJ51" s="17">
        <f t="shared" si="343"/>
        <v>3380.5228267275506</v>
      </c>
      <c r="AK51" s="17">
        <f t="shared" si="343"/>
        <v>3446.253084800052</v>
      </c>
      <c r="AL51" s="17">
        <f t="shared" si="343"/>
        <v>3362.198089725307</v>
      </c>
      <c r="AM51" s="18">
        <f t="shared" si="343"/>
        <v>3396.9269140574534</v>
      </c>
      <c r="AN51" s="17">
        <f t="shared" si="343"/>
        <v>0</v>
      </c>
      <c r="AO51" s="17">
        <f t="shared" si="343"/>
        <v>0</v>
      </c>
      <c r="AP51" s="17">
        <f t="shared" si="343"/>
        <v>0</v>
      </c>
      <c r="AQ51" s="17">
        <f t="shared" si="343"/>
        <v>0</v>
      </c>
      <c r="AR51" s="17">
        <f t="shared" si="343"/>
        <v>0</v>
      </c>
      <c r="AS51" s="17">
        <f t="shared" si="343"/>
        <v>0</v>
      </c>
      <c r="AT51" s="17">
        <f t="shared" si="343"/>
        <v>0</v>
      </c>
      <c r="AU51" s="17">
        <f t="shared" si="343"/>
        <v>0</v>
      </c>
      <c r="AV51" s="17">
        <f t="shared" si="343"/>
        <v>0</v>
      </c>
      <c r="AW51" s="17">
        <f t="shared" si="343"/>
        <v>0</v>
      </c>
      <c r="AX51" s="18">
        <f t="shared" si="343"/>
        <v>0</v>
      </c>
      <c r="AY51" s="17">
        <f t="shared" si="343"/>
        <v>0</v>
      </c>
      <c r="AZ51" s="17">
        <f t="shared" si="343"/>
        <v>0</v>
      </c>
      <c r="BA51" s="17">
        <f t="shared" si="343"/>
        <v>0</v>
      </c>
      <c r="BB51" s="17">
        <f t="shared" si="343"/>
        <v>0</v>
      </c>
      <c r="BC51" s="17">
        <f t="shared" si="343"/>
        <v>0</v>
      </c>
      <c r="BD51" s="17">
        <f t="shared" si="343"/>
        <v>0</v>
      </c>
      <c r="BE51" s="17">
        <f t="shared" si="343"/>
        <v>0</v>
      </c>
      <c r="BF51" s="17">
        <f t="shared" si="343"/>
        <v>0</v>
      </c>
      <c r="BG51" s="17">
        <f t="shared" si="343"/>
        <v>0</v>
      </c>
      <c r="BH51" s="17">
        <f t="shared" si="343"/>
        <v>0</v>
      </c>
      <c r="BI51" s="17">
        <f t="shared" si="343"/>
        <v>0</v>
      </c>
      <c r="BJ51" s="18">
        <f t="shared" si="343"/>
        <v>0</v>
      </c>
      <c r="BM51" s="16">
        <f t="shared" ref="BM51:BO51" si="344">SUM(BM52:BM54)</f>
        <v>3094.7104789617374</v>
      </c>
      <c r="BN51" s="17">
        <f t="shared" si="344"/>
        <v>3456.5927866434072</v>
      </c>
      <c r="BO51" s="18">
        <f t="shared" si="344"/>
        <v>3396.9269140574534</v>
      </c>
    </row>
    <row r="52" spans="1:67" x14ac:dyDescent="0.35">
      <c r="A52" s="1" t="str">
        <f t="shared" ref="A52:A54" si="345">A51</f>
        <v>GNPA (Stress)-CV</v>
      </c>
      <c r="B52" s="1" t="s">
        <v>157</v>
      </c>
      <c r="C52" s="52">
        <f>'Input - GNPA'!C16*1.05</f>
        <v>1226.6906672148532</v>
      </c>
      <c r="D52" s="53">
        <f>'Input - GNPA'!D16*1.05</f>
        <v>1255.0440725839701</v>
      </c>
      <c r="E52" s="53">
        <f>'Input - GNPA'!E16*1.05</f>
        <v>1290.5578365893355</v>
      </c>
      <c r="F52" s="53">
        <f>'Input - GNPA'!F16*1.05</f>
        <v>1325.5213502532974</v>
      </c>
      <c r="G52" s="53">
        <f>'Input - GNPA'!G16*1.05</f>
        <v>1369.269920577952</v>
      </c>
      <c r="H52" s="53">
        <f>'Input - GNPA'!H16*1.05</f>
        <v>1409.6214457774979</v>
      </c>
      <c r="I52" s="53">
        <f>'Input - GNPA'!I16*1.05</f>
        <v>1453.4155244761205</v>
      </c>
      <c r="J52" s="53">
        <f>'Input - GNPA'!J16*1.05</f>
        <v>1510.7681887538688</v>
      </c>
      <c r="K52" s="53">
        <f>'Input - GNPA'!K16*1.05</f>
        <v>1571.3460643963442</v>
      </c>
      <c r="L52" s="53">
        <f>'Input - GNPA'!L16*1.05</f>
        <v>1636.0849207112501</v>
      </c>
      <c r="M52" s="53">
        <f>'Input - GNPA'!M16*1.05</f>
        <v>1701.2472120293107</v>
      </c>
      <c r="N52" s="53">
        <f>'Input - GNPA'!N16*1.05</f>
        <v>1764.7882637043906</v>
      </c>
      <c r="O52" s="54">
        <f>'Input - GNPA'!O16*1.05</f>
        <v>1827.2798330692585</v>
      </c>
      <c r="P52" s="53">
        <f>'Input - GNPA'!P16*1.05</f>
        <v>1885.934767712313</v>
      </c>
      <c r="Q52" s="53">
        <f>'Input - GNPA'!Q16*1.05</f>
        <v>1926.8760378436707</v>
      </c>
      <c r="R52" s="53">
        <f>'Input - GNPA'!R16*1.05</f>
        <v>1971.1449571978237</v>
      </c>
      <c r="S52" s="53">
        <f>'Input - GNPA'!S16*1.05</f>
        <v>2028.0085184665802</v>
      </c>
      <c r="T52" s="53">
        <f>'Input - GNPA'!T16*1.05</f>
        <v>2082.9583294637673</v>
      </c>
      <c r="U52" s="53">
        <f>'Input - GNPA'!U16*1.05</f>
        <v>2132.2576548834786</v>
      </c>
      <c r="V52" s="53">
        <f>'Input - GNPA'!V16*1.05</f>
        <v>2108.4593394362378</v>
      </c>
      <c r="W52" s="53">
        <f>'Input - GNPA'!W16*1.05</f>
        <v>2091.1385536741473</v>
      </c>
      <c r="X52" s="53">
        <f>'Input - GNPA'!X16*1.05</f>
        <v>2084.5432519529659</v>
      </c>
      <c r="Y52" s="53">
        <f>'Input - GNPA'!Y16*1.05</f>
        <v>2086.254002853826</v>
      </c>
      <c r="Z52" s="53">
        <f>'Input - GNPA'!Z16*1.05</f>
        <v>2088.3135643036853</v>
      </c>
      <c r="AA52" s="54">
        <f>'Input - GNPA'!AA16*1.05</f>
        <v>2093.1925187428965</v>
      </c>
      <c r="AB52" s="53">
        <f>'Input - GNPA'!AB16*1.05</f>
        <v>2077.1134757283498</v>
      </c>
      <c r="AC52" s="53">
        <f>'Input - GNPA'!AC16*1.05</f>
        <v>2063.558330457804</v>
      </c>
      <c r="AD52" s="53">
        <f>'Input - GNPA'!AD16*1.05</f>
        <v>2030.0555078552313</v>
      </c>
      <c r="AE52" s="53">
        <f>'Input - GNPA'!AE16*1.05</f>
        <v>2018.0795813822599</v>
      </c>
      <c r="AF52" s="53">
        <f>'Input - GNPA'!AF16*1.05</f>
        <v>2011.6687960941044</v>
      </c>
      <c r="AG52" s="53">
        <f>'Input - GNPA'!AG16*1.05</f>
        <v>2022.520068995939</v>
      </c>
      <c r="AH52" s="53">
        <f>'Input - GNPA'!AH16*1.05</f>
        <v>2046.9980453076703</v>
      </c>
      <c r="AI52" s="53">
        <f>'Input - GNPA'!AI16*1.05</f>
        <v>2078.6821806891571</v>
      </c>
      <c r="AJ52" s="53">
        <f>'Input - GNPA'!AJ16*1.05</f>
        <v>2115.4103212403293</v>
      </c>
      <c r="AK52" s="53">
        <f>'Input - GNPA'!AK16*1.05</f>
        <v>2151.3604823451019</v>
      </c>
      <c r="AL52" s="53">
        <f>'Input - GNPA'!AL16*1.05</f>
        <v>2176.3441066664609</v>
      </c>
      <c r="AM52" s="54">
        <f>'Input - GNPA'!AM16*1.05</f>
        <v>2195.9111318508908</v>
      </c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4"/>
      <c r="AY52" s="53"/>
      <c r="AZ52" s="53"/>
      <c r="BA52" s="53"/>
      <c r="BB52" s="53"/>
      <c r="BC52" s="53"/>
      <c r="BD52" s="53"/>
      <c r="BE52" s="53"/>
      <c r="BF52" s="53"/>
      <c r="BG52" s="53"/>
      <c r="BH52" s="53"/>
      <c r="BI52" s="53"/>
      <c r="BJ52" s="54"/>
      <c r="BM52" s="52">
        <f>O52</f>
        <v>1827.2798330692585</v>
      </c>
      <c r="BN52" s="53">
        <f>AA52</f>
        <v>2093.1925187428965</v>
      </c>
      <c r="BO52" s="54">
        <f>AM52</f>
        <v>2195.9111318508908</v>
      </c>
    </row>
    <row r="53" spans="1:67" x14ac:dyDescent="0.35">
      <c r="A53" s="2" t="str">
        <f t="shared" si="345"/>
        <v>GNPA (Stress)-CV</v>
      </c>
      <c r="B53" s="2" t="s">
        <v>158</v>
      </c>
      <c r="C53" s="55">
        <f>'Input - GNPA'!C17*1.05</f>
        <v>845.08078528911449</v>
      </c>
      <c r="D53" s="56">
        <f>'Input - GNPA'!D17*1.05</f>
        <v>926.17443540969964</v>
      </c>
      <c r="E53" s="56">
        <f>'Input - GNPA'!E17*1.05</f>
        <v>991.8480230839458</v>
      </c>
      <c r="F53" s="56">
        <f>'Input - GNPA'!F17*1.05</f>
        <v>1056.6659255139548</v>
      </c>
      <c r="G53" s="56">
        <f>'Input - GNPA'!G17*1.05</f>
        <v>1125.4836484954897</v>
      </c>
      <c r="H53" s="56">
        <f>'Input - GNPA'!H17*1.05</f>
        <v>1193.2425043605153</v>
      </c>
      <c r="I53" s="56">
        <f>'Input - GNPA'!I17*1.05</f>
        <v>1154.1259606808071</v>
      </c>
      <c r="J53" s="56">
        <f>'Input - GNPA'!J17*1.05</f>
        <v>1233.1982183376308</v>
      </c>
      <c r="K53" s="56">
        <f>'Input - GNPA'!K17*1.05</f>
        <v>1312.8865213357417</v>
      </c>
      <c r="L53" s="56">
        <f>'Input - GNPA'!L17*1.05</f>
        <v>1215.0872119104401</v>
      </c>
      <c r="M53" s="56">
        <f>'Input - GNPA'!M17*1.05</f>
        <v>1295.3333405301048</v>
      </c>
      <c r="N53" s="56">
        <f>'Input - GNPA'!N17*1.05</f>
        <v>1183.1313862598952</v>
      </c>
      <c r="O53" s="57">
        <f>'Input - GNPA'!O17*1.05</f>
        <v>1262.5411493043821</v>
      </c>
      <c r="P53" s="56">
        <f>'Input - GNPA'!P17*1.05</f>
        <v>1326.4356247024443</v>
      </c>
      <c r="Q53" s="56">
        <f>'Input - GNPA'!Q17*1.05</f>
        <v>1400.7944059191886</v>
      </c>
      <c r="R53" s="56">
        <f>'Input - GNPA'!R17*1.05</f>
        <v>1476.4661023585102</v>
      </c>
      <c r="S53" s="56">
        <f>'Input - GNPA'!S17*1.05</f>
        <v>1563.5906826258079</v>
      </c>
      <c r="T53" s="56">
        <f>'Input - GNPA'!T17*1.05</f>
        <v>1653.1303227364556</v>
      </c>
      <c r="U53" s="56">
        <f>'Input - GNPA'!U17*1.05</f>
        <v>1745.49581941269</v>
      </c>
      <c r="V53" s="56">
        <f>'Input - GNPA'!V17*1.05</f>
        <v>1731.3876832430228</v>
      </c>
      <c r="W53" s="56">
        <f>'Input - GNPA'!W17*1.05</f>
        <v>1726.7842697347974</v>
      </c>
      <c r="X53" s="56">
        <f>'Input - GNPA'!X17*1.05</f>
        <v>1500.2054474010986</v>
      </c>
      <c r="Y53" s="56">
        <f>'Input - GNPA'!Y17*1.05</f>
        <v>1521.4302098440244</v>
      </c>
      <c r="Z53" s="56">
        <f>'Input - GNPA'!Z17*1.05</f>
        <v>1324.258121962496</v>
      </c>
      <c r="AA53" s="57">
        <f>'Input - GNPA'!AA17*1.05</f>
        <v>1360.2438468928835</v>
      </c>
      <c r="AB53" s="56">
        <f>'Input - GNPA'!AB17*1.05</f>
        <v>1334.1128820855899</v>
      </c>
      <c r="AC53" s="56">
        <f>'Input - GNPA'!AC17*1.05</f>
        <v>1323.7057645992847</v>
      </c>
      <c r="AD53" s="56">
        <f>'Input - GNPA'!AD17*1.05</f>
        <v>1319.2186874786755</v>
      </c>
      <c r="AE53" s="56">
        <f>'Input - GNPA'!AE17*1.05</f>
        <v>1328.2295445439147</v>
      </c>
      <c r="AF53" s="56">
        <f>'Input - GNPA'!AF17*1.05</f>
        <v>1344.1180584287024</v>
      </c>
      <c r="AG53" s="56">
        <f>'Input - GNPA'!AG17*1.05</f>
        <v>1314.8025489456877</v>
      </c>
      <c r="AH53" s="56">
        <f>'Input - GNPA'!AH17*1.05</f>
        <v>1341.8776105723366</v>
      </c>
      <c r="AI53" s="56">
        <f>'Input - GNPA'!AI17*1.05</f>
        <v>1370.3107831311047</v>
      </c>
      <c r="AJ53" s="56">
        <f>'Input - GNPA'!AJ17*1.05</f>
        <v>1260.0202792017692</v>
      </c>
      <c r="AK53" s="56">
        <f>'Input - GNPA'!AK17*1.05</f>
        <v>1289.4449813369963</v>
      </c>
      <c r="AL53" s="56">
        <f>'Input - GNPA'!AL17*1.05</f>
        <v>1180.0815528862772</v>
      </c>
      <c r="AM53" s="57">
        <f>'Input - GNPA'!AM17*1.05</f>
        <v>1194.8908856184241</v>
      </c>
      <c r="AN53" s="56"/>
      <c r="AO53" s="56"/>
      <c r="AP53" s="56"/>
      <c r="AQ53" s="56"/>
      <c r="AR53" s="56"/>
      <c r="AS53" s="56"/>
      <c r="AT53" s="56"/>
      <c r="AU53" s="56"/>
      <c r="AV53" s="56"/>
      <c r="AW53" s="56"/>
      <c r="AX53" s="57"/>
      <c r="AY53" s="56"/>
      <c r="AZ53" s="56"/>
      <c r="BA53" s="56"/>
      <c r="BB53" s="56"/>
      <c r="BC53" s="56"/>
      <c r="BD53" s="56"/>
      <c r="BE53" s="56"/>
      <c r="BF53" s="56"/>
      <c r="BG53" s="56"/>
      <c r="BH53" s="56"/>
      <c r="BI53" s="56"/>
      <c r="BJ53" s="57"/>
      <c r="BM53" s="55">
        <f t="shared" ref="BM53:BM54" si="346">O53</f>
        <v>1262.5411493043821</v>
      </c>
      <c r="BN53" s="56">
        <f t="shared" ref="BN53:BN54" si="347">AA53</f>
        <v>1360.2438468928835</v>
      </c>
      <c r="BO53" s="57">
        <f t="shared" ref="BO53:BO54" si="348">AM53</f>
        <v>1194.8908856184241</v>
      </c>
    </row>
    <row r="54" spans="1:67" x14ac:dyDescent="0.35">
      <c r="A54" s="3" t="str">
        <f t="shared" si="345"/>
        <v>GNPA (Stress)-CV</v>
      </c>
      <c r="B54" s="3" t="s">
        <v>159</v>
      </c>
      <c r="C54" s="58">
        <f>'Input - GNPA'!C18*1.053</f>
        <v>0</v>
      </c>
      <c r="D54" s="59">
        <f>'Input - GNPA'!D18*1.053</f>
        <v>9.1282293490051867</v>
      </c>
      <c r="E54" s="59">
        <f>'Input - GNPA'!E18*1.053</f>
        <v>8.7953381263091792</v>
      </c>
      <c r="F54" s="59">
        <f>'Input - GNPA'!F18*1.053</f>
        <v>8.4366006048767819</v>
      </c>
      <c r="G54" s="59">
        <f>'Input - GNPA'!G18*1.053</f>
        <v>8.042996750086072</v>
      </c>
      <c r="H54" s="59">
        <f>'Input - GNPA'!H18*1.053</f>
        <v>7.6239753215591604</v>
      </c>
      <c r="I54" s="59">
        <f>'Input - GNPA'!I18*1.053</f>
        <v>7.2077783069185415</v>
      </c>
      <c r="J54" s="59">
        <f>'Input - GNPA'!J18*1.053</f>
        <v>6.7852090875370648</v>
      </c>
      <c r="K54" s="59">
        <f>'Input - GNPA'!K18*1.053</f>
        <v>6.3862169273899259</v>
      </c>
      <c r="L54" s="59">
        <f>'Input - GNPA'!L18*1.053</f>
        <v>6.0076178065079997</v>
      </c>
      <c r="M54" s="59">
        <f>'Input - GNPA'!M18*1.053</f>
        <v>5.630663218962856</v>
      </c>
      <c r="N54" s="59">
        <f>'Input - GNPA'!N18*1.053</f>
        <v>5.2793310394144903</v>
      </c>
      <c r="O54" s="60">
        <f>'Input - GNPA'!O18*1.053</f>
        <v>4.8894965880969572</v>
      </c>
      <c r="P54" s="59">
        <f>'Input - GNPA'!P18*1.053</f>
        <v>4.7224492919002934</v>
      </c>
      <c r="Q54" s="59">
        <f>'Input - GNPA'!Q18*1.053</f>
        <v>4.5374330316738378</v>
      </c>
      <c r="R54" s="59">
        <f>'Input - GNPA'!R18*1.053</f>
        <v>4.3369943537765261</v>
      </c>
      <c r="S54" s="59">
        <f>'Input - GNPA'!S18*1.053</f>
        <v>4.1157853285457211</v>
      </c>
      <c r="T54" s="59">
        <f>'Input - GNPA'!T18*1.053</f>
        <v>3.8824758634988825</v>
      </c>
      <c r="U54" s="59">
        <f>'Input - GNPA'!U18*1.053</f>
        <v>3.6495513674538307</v>
      </c>
      <c r="V54" s="59">
        <f>'Input - GNPA'!V18*1.053</f>
        <v>3.4592604466833214</v>
      </c>
      <c r="W54" s="59">
        <f>'Input - GNPA'!W18*1.053</f>
        <v>3.3205289449461208</v>
      </c>
      <c r="X54" s="59">
        <f>'Input - GNPA'!X18*1.053</f>
        <v>3.2213355634920537</v>
      </c>
      <c r="Y54" s="59">
        <f>'Input - GNPA'!Y18*1.053</f>
        <v>3.1614218770996594</v>
      </c>
      <c r="Z54" s="59">
        <f>'Input - GNPA'!Z18*1.053</f>
        <v>3.1401199947643224</v>
      </c>
      <c r="AA54" s="60">
        <f>'Input - GNPA'!AA18*1.053</f>
        <v>3.1564210076270349</v>
      </c>
      <c r="AB54" s="59">
        <f>'Input - GNPA'!AB18*1.053</f>
        <v>3.1978494966473821</v>
      </c>
      <c r="AC54" s="59">
        <f>'Input - GNPA'!AC18*1.053</f>
        <v>3.2581056657756711</v>
      </c>
      <c r="AD54" s="59">
        <f>'Input - GNPA'!AD18*1.053</f>
        <v>3.3514322751731651</v>
      </c>
      <c r="AE54" s="59">
        <f>'Input - GNPA'!AE18*1.053</f>
        <v>3.4850398035082533</v>
      </c>
      <c r="AF54" s="59">
        <f>'Input - GNPA'!AF18*1.053</f>
        <v>3.6608042101729232</v>
      </c>
      <c r="AG54" s="59">
        <f>'Input - GNPA'!AG18*1.053</f>
        <v>3.8830332489298915</v>
      </c>
      <c r="AH54" s="59">
        <f>'Input - GNPA'!AH18*1.053</f>
        <v>4.3215451475408679</v>
      </c>
      <c r="AI54" s="59">
        <f>'Input - GNPA'!AI18*1.053</f>
        <v>4.7159628353826895</v>
      </c>
      <c r="AJ54" s="59">
        <f>'Input - GNPA'!AJ18*1.053</f>
        <v>5.0922262854519147</v>
      </c>
      <c r="AK54" s="59">
        <f>'Input - GNPA'!AK18*1.053</f>
        <v>5.4476211179538598</v>
      </c>
      <c r="AL54" s="59">
        <f>'Input - GNPA'!AL18*1.053</f>
        <v>5.7724301725686766</v>
      </c>
      <c r="AM54" s="60">
        <f>'Input - GNPA'!AM18*1.053</f>
        <v>6.1248965881387027</v>
      </c>
      <c r="AN54" s="59"/>
      <c r="AO54" s="59"/>
      <c r="AP54" s="59"/>
      <c r="AQ54" s="59"/>
      <c r="AR54" s="59"/>
      <c r="AS54" s="59"/>
      <c r="AT54" s="59"/>
      <c r="AU54" s="59"/>
      <c r="AV54" s="59"/>
      <c r="AW54" s="59"/>
      <c r="AX54" s="60"/>
      <c r="AY54" s="59"/>
      <c r="AZ54" s="59"/>
      <c r="BA54" s="59"/>
      <c r="BB54" s="59"/>
      <c r="BC54" s="59"/>
      <c r="BD54" s="59"/>
      <c r="BE54" s="59"/>
      <c r="BF54" s="59"/>
      <c r="BG54" s="59"/>
      <c r="BH54" s="59"/>
      <c r="BI54" s="59"/>
      <c r="BJ54" s="60"/>
      <c r="BM54" s="58">
        <f t="shared" si="346"/>
        <v>4.8894965880969572</v>
      </c>
      <c r="BN54" s="59">
        <f t="shared" si="347"/>
        <v>3.1564210076270349</v>
      </c>
      <c r="BO54" s="60">
        <f t="shared" si="348"/>
        <v>6.1248965881387027</v>
      </c>
    </row>
    <row r="56" spans="1:67" x14ac:dyDescent="0.35">
      <c r="A56" s="25" t="s">
        <v>270</v>
      </c>
      <c r="B56" s="4" t="s">
        <v>3</v>
      </c>
      <c r="C56" s="19">
        <f>C50</f>
        <v>45352</v>
      </c>
      <c r="D56" s="20">
        <f>EDATE(C56,1)</f>
        <v>45383</v>
      </c>
      <c r="E56" s="20">
        <f>EDATE(D56,1)</f>
        <v>45413</v>
      </c>
      <c r="F56" s="20">
        <f>EDATE(E56,1)</f>
        <v>45444</v>
      </c>
      <c r="G56" s="20">
        <f t="shared" ref="G56" si="349">EDATE(F56,1)</f>
        <v>45474</v>
      </c>
      <c r="H56" s="20">
        <f t="shared" ref="H56" si="350">EDATE(G56,1)</f>
        <v>45505</v>
      </c>
      <c r="I56" s="20">
        <f t="shared" ref="I56" si="351">EDATE(H56,1)</f>
        <v>45536</v>
      </c>
      <c r="J56" s="20">
        <f t="shared" ref="J56" si="352">EDATE(I56,1)</f>
        <v>45566</v>
      </c>
      <c r="K56" s="20">
        <f t="shared" ref="K56" si="353">EDATE(J56,1)</f>
        <v>45597</v>
      </c>
      <c r="L56" s="20">
        <f t="shared" ref="L56" si="354">EDATE(K56,1)</f>
        <v>45627</v>
      </c>
      <c r="M56" s="20">
        <f t="shared" ref="M56" si="355">EDATE(L56,1)</f>
        <v>45658</v>
      </c>
      <c r="N56" s="20">
        <f t="shared" ref="N56" si="356">EDATE(M56,1)</f>
        <v>45689</v>
      </c>
      <c r="O56" s="21">
        <f t="shared" ref="O56" si="357">EDATE(N56,1)</f>
        <v>45717</v>
      </c>
      <c r="P56" s="20">
        <f t="shared" ref="P56" si="358">EDATE(O56,1)</f>
        <v>45748</v>
      </c>
      <c r="Q56" s="20">
        <f t="shared" ref="Q56" si="359">EDATE(P56,1)</f>
        <v>45778</v>
      </c>
      <c r="R56" s="20">
        <f t="shared" ref="R56" si="360">EDATE(Q56,1)</f>
        <v>45809</v>
      </c>
      <c r="S56" s="20">
        <f t="shared" ref="S56" si="361">EDATE(R56,1)</f>
        <v>45839</v>
      </c>
      <c r="T56" s="20">
        <f t="shared" ref="T56" si="362">EDATE(S56,1)</f>
        <v>45870</v>
      </c>
      <c r="U56" s="20">
        <f t="shared" ref="U56" si="363">EDATE(T56,1)</f>
        <v>45901</v>
      </c>
      <c r="V56" s="20">
        <f t="shared" ref="V56" si="364">EDATE(U56,1)</f>
        <v>45931</v>
      </c>
      <c r="W56" s="20">
        <f t="shared" ref="W56" si="365">EDATE(V56,1)</f>
        <v>45962</v>
      </c>
      <c r="X56" s="20">
        <f t="shared" ref="X56" si="366">EDATE(W56,1)</f>
        <v>45992</v>
      </c>
      <c r="Y56" s="20">
        <f t="shared" ref="Y56" si="367">EDATE(X56,1)</f>
        <v>46023</v>
      </c>
      <c r="Z56" s="20">
        <f t="shared" ref="Z56" si="368">EDATE(Y56,1)</f>
        <v>46054</v>
      </c>
      <c r="AA56" s="21">
        <f t="shared" ref="AA56" si="369">EDATE(Z56,1)</f>
        <v>46082</v>
      </c>
      <c r="AB56" s="20">
        <f t="shared" ref="AB56" si="370">EDATE(AA56,1)</f>
        <v>46113</v>
      </c>
      <c r="AC56" s="20">
        <f t="shared" ref="AC56" si="371">EDATE(AB56,1)</f>
        <v>46143</v>
      </c>
      <c r="AD56" s="20">
        <f t="shared" ref="AD56" si="372">EDATE(AC56,1)</f>
        <v>46174</v>
      </c>
      <c r="AE56" s="20">
        <f t="shared" ref="AE56" si="373">EDATE(AD56,1)</f>
        <v>46204</v>
      </c>
      <c r="AF56" s="20">
        <f t="shared" ref="AF56" si="374">EDATE(AE56,1)</f>
        <v>46235</v>
      </c>
      <c r="AG56" s="20">
        <f t="shared" ref="AG56" si="375">EDATE(AF56,1)</f>
        <v>46266</v>
      </c>
      <c r="AH56" s="20">
        <f t="shared" ref="AH56" si="376">EDATE(AG56,1)</f>
        <v>46296</v>
      </c>
      <c r="AI56" s="20">
        <f t="shared" ref="AI56" si="377">EDATE(AH56,1)</f>
        <v>46327</v>
      </c>
      <c r="AJ56" s="20">
        <f t="shared" ref="AJ56" si="378">EDATE(AI56,1)</f>
        <v>46357</v>
      </c>
      <c r="AK56" s="20">
        <f t="shared" ref="AK56" si="379">EDATE(AJ56,1)</f>
        <v>46388</v>
      </c>
      <c r="AL56" s="20">
        <f t="shared" ref="AL56" si="380">EDATE(AK56,1)</f>
        <v>46419</v>
      </c>
      <c r="AM56" s="21">
        <f t="shared" ref="AM56" si="381">EDATE(AL56,1)</f>
        <v>46447</v>
      </c>
      <c r="AN56" s="20">
        <f t="shared" ref="AN56" si="382">EDATE(AM56,1)</f>
        <v>46478</v>
      </c>
      <c r="AO56" s="20">
        <f t="shared" ref="AO56" si="383">EDATE(AN56,1)</f>
        <v>46508</v>
      </c>
      <c r="AP56" s="20">
        <f t="shared" ref="AP56" si="384">EDATE(AO56,1)</f>
        <v>46539</v>
      </c>
      <c r="AQ56" s="20">
        <f t="shared" ref="AQ56" si="385">EDATE(AP56,1)</f>
        <v>46569</v>
      </c>
      <c r="AR56" s="20">
        <f t="shared" ref="AR56" si="386">EDATE(AQ56,1)</f>
        <v>46600</v>
      </c>
      <c r="AS56" s="20">
        <f t="shared" ref="AS56" si="387">EDATE(AR56,1)</f>
        <v>46631</v>
      </c>
      <c r="AT56" s="20">
        <f t="shared" ref="AT56" si="388">EDATE(AS56,1)</f>
        <v>46661</v>
      </c>
      <c r="AU56" s="20">
        <f t="shared" ref="AU56" si="389">EDATE(AT56,1)</f>
        <v>46692</v>
      </c>
      <c r="AV56" s="20">
        <f t="shared" ref="AV56" si="390">EDATE(AU56,1)</f>
        <v>46722</v>
      </c>
      <c r="AW56" s="20">
        <f t="shared" ref="AW56" si="391">EDATE(AV56,1)</f>
        <v>46753</v>
      </c>
      <c r="AX56" s="21">
        <f t="shared" ref="AX56" si="392">EDATE(AW56,1)</f>
        <v>46784</v>
      </c>
      <c r="AY56" s="20">
        <f t="shared" ref="AY56" si="393">EDATE(AX56,1)</f>
        <v>46813</v>
      </c>
      <c r="AZ56" s="20">
        <f t="shared" ref="AZ56" si="394">EDATE(AY56,1)</f>
        <v>46844</v>
      </c>
      <c r="BA56" s="20">
        <f t="shared" ref="BA56" si="395">EDATE(AZ56,1)</f>
        <v>46874</v>
      </c>
      <c r="BB56" s="20">
        <f t="shared" ref="BB56" si="396">EDATE(BA56,1)</f>
        <v>46905</v>
      </c>
      <c r="BC56" s="20">
        <f t="shared" ref="BC56" si="397">EDATE(BB56,1)</f>
        <v>46935</v>
      </c>
      <c r="BD56" s="20">
        <f t="shared" ref="BD56" si="398">EDATE(BC56,1)</f>
        <v>46966</v>
      </c>
      <c r="BE56" s="20">
        <f t="shared" ref="BE56" si="399">EDATE(BD56,1)</f>
        <v>46997</v>
      </c>
      <c r="BF56" s="20">
        <f t="shared" ref="BF56" si="400">EDATE(BE56,1)</f>
        <v>47027</v>
      </c>
      <c r="BG56" s="20">
        <f t="shared" ref="BG56" si="401">EDATE(BF56,1)</f>
        <v>47058</v>
      </c>
      <c r="BH56" s="20">
        <f t="shared" ref="BH56" si="402">EDATE(BG56,1)</f>
        <v>47088</v>
      </c>
      <c r="BI56" s="20">
        <f t="shared" ref="BI56" si="403">EDATE(BH56,1)</f>
        <v>47119</v>
      </c>
      <c r="BJ56" s="21">
        <f t="shared" ref="BJ56" si="404">EDATE(BI56,1)</f>
        <v>47150</v>
      </c>
      <c r="BM56" s="138" t="str">
        <f>BM50</f>
        <v>FY24</v>
      </c>
      <c r="BN56" s="139" t="str">
        <f t="shared" ref="BN56:BO56" si="405">BN50</f>
        <v>FY25</v>
      </c>
      <c r="BO56" s="140" t="str">
        <f t="shared" si="405"/>
        <v>FY26</v>
      </c>
    </row>
    <row r="57" spans="1:67" x14ac:dyDescent="0.35">
      <c r="A57" s="15" t="str">
        <f>A56</f>
        <v>NNPA (Stress)-CV</v>
      </c>
      <c r="B57" s="15" t="s">
        <v>188</v>
      </c>
      <c r="C57" s="16">
        <f>SUM(C58:C60)</f>
        <v>1287.6012546497489</v>
      </c>
      <c r="D57" s="17">
        <f t="shared" ref="D57:BJ57" si="406">SUM(D58:D60)</f>
        <v>1376.5914050666865</v>
      </c>
      <c r="E57" s="17">
        <f t="shared" si="406"/>
        <v>1446.71939199605</v>
      </c>
      <c r="F57" s="17">
        <f t="shared" si="406"/>
        <v>1515.5244818452284</v>
      </c>
      <c r="G57" s="17">
        <f t="shared" si="406"/>
        <v>1593.6805050577789</v>
      </c>
      <c r="H57" s="17">
        <f t="shared" si="406"/>
        <v>1669.619215591224</v>
      </c>
      <c r="I57" s="17">
        <f t="shared" si="406"/>
        <v>1673.8239936789594</v>
      </c>
      <c r="J57" s="17">
        <f t="shared" si="406"/>
        <v>1651.4939981583084</v>
      </c>
      <c r="K57" s="17">
        <f t="shared" si="406"/>
        <v>1740.3395508268336</v>
      </c>
      <c r="L57" s="17">
        <f t="shared" si="406"/>
        <v>1718.1254249804035</v>
      </c>
      <c r="M57" s="17">
        <f t="shared" si="406"/>
        <v>1819.1114828546408</v>
      </c>
      <c r="N57" s="17">
        <f t="shared" si="406"/>
        <v>1783.797717428037</v>
      </c>
      <c r="O57" s="18">
        <f t="shared" si="406"/>
        <v>1851.8092075531401</v>
      </c>
      <c r="P57" s="17">
        <f t="shared" si="406"/>
        <v>1951.2303913033352</v>
      </c>
      <c r="Q57" s="17">
        <f t="shared" si="406"/>
        <v>2026.3248649635898</v>
      </c>
      <c r="R57" s="17">
        <f t="shared" si="406"/>
        <v>2103.9534817177232</v>
      </c>
      <c r="S57" s="17">
        <f t="shared" si="406"/>
        <v>2203.8002249230149</v>
      </c>
      <c r="T57" s="17">
        <f t="shared" si="406"/>
        <v>2298.3513512591139</v>
      </c>
      <c r="U57" s="17">
        <f t="shared" si="406"/>
        <v>2394.5282762098536</v>
      </c>
      <c r="V57" s="17">
        <f t="shared" si="406"/>
        <v>2370.3537448539337</v>
      </c>
      <c r="W57" s="17">
        <f t="shared" si="406"/>
        <v>2357.5679126635487</v>
      </c>
      <c r="X57" s="17">
        <f t="shared" si="406"/>
        <v>2205.2295566163407</v>
      </c>
      <c r="Y57" s="17">
        <f t="shared" si="406"/>
        <v>2220.1818979775953</v>
      </c>
      <c r="Z57" s="17">
        <f t="shared" si="406"/>
        <v>2091.8209305993655</v>
      </c>
      <c r="AA57" s="18">
        <f t="shared" si="406"/>
        <v>2118.8827373172558</v>
      </c>
      <c r="AB57" s="17">
        <f t="shared" si="406"/>
        <v>2102.562422044326</v>
      </c>
      <c r="AC57" s="17">
        <f t="shared" si="406"/>
        <v>2087.4015711227121</v>
      </c>
      <c r="AD57" s="17">
        <f t="shared" si="406"/>
        <v>2065.0225728497999</v>
      </c>
      <c r="AE57" s="17">
        <f t="shared" si="406"/>
        <v>2066.6812872494352</v>
      </c>
      <c r="AF57" s="17">
        <f t="shared" si="406"/>
        <v>2078.8966791486741</v>
      </c>
      <c r="AG57" s="17">
        <f t="shared" si="406"/>
        <v>2069.6274886077335</v>
      </c>
      <c r="AH57" s="17">
        <f t="shared" si="406"/>
        <v>2105.0658941987608</v>
      </c>
      <c r="AI57" s="17">
        <f t="shared" si="406"/>
        <v>2145.792403491233</v>
      </c>
      <c r="AJ57" s="17">
        <f t="shared" si="406"/>
        <v>2096.2213564929293</v>
      </c>
      <c r="AK57" s="17">
        <f t="shared" si="406"/>
        <v>2137.9395253415723</v>
      </c>
      <c r="AL57" s="17">
        <f t="shared" si="406"/>
        <v>2081.9151157737638</v>
      </c>
      <c r="AM57" s="18">
        <f t="shared" si="406"/>
        <v>2104.6887131136018</v>
      </c>
      <c r="AN57" s="17">
        <f t="shared" si="406"/>
        <v>0</v>
      </c>
      <c r="AO57" s="17">
        <f t="shared" si="406"/>
        <v>0</v>
      </c>
      <c r="AP57" s="17">
        <f t="shared" si="406"/>
        <v>0</v>
      </c>
      <c r="AQ57" s="17">
        <f t="shared" si="406"/>
        <v>0</v>
      </c>
      <c r="AR57" s="17">
        <f t="shared" si="406"/>
        <v>0</v>
      </c>
      <c r="AS57" s="17">
        <f t="shared" si="406"/>
        <v>0</v>
      </c>
      <c r="AT57" s="17">
        <f t="shared" si="406"/>
        <v>0</v>
      </c>
      <c r="AU57" s="17">
        <f t="shared" si="406"/>
        <v>0</v>
      </c>
      <c r="AV57" s="17">
        <f t="shared" si="406"/>
        <v>0</v>
      </c>
      <c r="AW57" s="17">
        <f t="shared" si="406"/>
        <v>0</v>
      </c>
      <c r="AX57" s="18">
        <f t="shared" si="406"/>
        <v>0</v>
      </c>
      <c r="AY57" s="17">
        <f t="shared" si="406"/>
        <v>0</v>
      </c>
      <c r="AZ57" s="17">
        <f t="shared" si="406"/>
        <v>0</v>
      </c>
      <c r="BA57" s="17">
        <f t="shared" si="406"/>
        <v>0</v>
      </c>
      <c r="BB57" s="17">
        <f t="shared" si="406"/>
        <v>0</v>
      </c>
      <c r="BC57" s="17">
        <f t="shared" si="406"/>
        <v>0</v>
      </c>
      <c r="BD57" s="17">
        <f t="shared" si="406"/>
        <v>0</v>
      </c>
      <c r="BE57" s="17">
        <f t="shared" si="406"/>
        <v>0</v>
      </c>
      <c r="BF57" s="17">
        <f t="shared" si="406"/>
        <v>0</v>
      </c>
      <c r="BG57" s="17">
        <f t="shared" si="406"/>
        <v>0</v>
      </c>
      <c r="BH57" s="17">
        <f t="shared" si="406"/>
        <v>0</v>
      </c>
      <c r="BI57" s="17">
        <f t="shared" si="406"/>
        <v>0</v>
      </c>
      <c r="BJ57" s="18">
        <f t="shared" si="406"/>
        <v>0</v>
      </c>
      <c r="BM57" s="16">
        <f t="shared" ref="BM57:BO57" si="407">SUM(BM58:BM60)</f>
        <v>1851.8092075531401</v>
      </c>
      <c r="BN57" s="17">
        <f t="shared" si="407"/>
        <v>2118.8827373172558</v>
      </c>
      <c r="BO57" s="18">
        <f t="shared" si="407"/>
        <v>2104.6887131136018</v>
      </c>
    </row>
    <row r="58" spans="1:67" x14ac:dyDescent="0.35">
      <c r="A58" s="1" t="str">
        <f t="shared" ref="A58:A60" si="408">A57</f>
        <v>NNPA (Stress)-CV</v>
      </c>
      <c r="B58" s="1" t="s">
        <v>157</v>
      </c>
      <c r="C58" s="52">
        <f>'Input - GNPA'!C22+'Input - GNPA'!C16*0.05</f>
        <v>743.40060731139647</v>
      </c>
      <c r="D58" s="53">
        <f>'Input - GNPA'!D22+'Input - GNPA'!D16*0.05</f>
        <v>767.50540970827933</v>
      </c>
      <c r="E58" s="53">
        <f>'Input - GNPA'!E22+'Input - GNPA'!E16*0.05</f>
        <v>789.7725117074192</v>
      </c>
      <c r="F58" s="53">
        <f>'Input - GNPA'!F22+'Input - GNPA'!F16*0.05</f>
        <v>812.74392478616039</v>
      </c>
      <c r="G58" s="53">
        <f>'Input - GNPA'!G22+'Input - GNPA'!G16*0.05</f>
        <v>841.99754471936819</v>
      </c>
      <c r="H58" s="53">
        <f>'Input - GNPA'!H22+'Input - GNPA'!H16*0.05</f>
        <v>869.39389725692024</v>
      </c>
      <c r="I58" s="53">
        <f>'Input - GNPA'!I22+'Input - GNPA'!I16*0.05</f>
        <v>898.97121449130509</v>
      </c>
      <c r="J58" s="53">
        <f>'Input - GNPA'!J22+'Input - GNPA'!J16*0.05</f>
        <v>868.40691467128102</v>
      </c>
      <c r="K58" s="53">
        <f>'Input - GNPA'!K22+'Input - GNPA'!K16*0.05</f>
        <v>905.09523348213997</v>
      </c>
      <c r="L58" s="53">
        <f>'Input - GNPA'!L22+'Input - GNPA'!L16*0.05</f>
        <v>944.06349995960227</v>
      </c>
      <c r="M58" s="53">
        <f>'Input - GNPA'!M22+'Input - GNPA'!M16*0.05</f>
        <v>984.58986045479787</v>
      </c>
      <c r="N58" s="53">
        <f>'Input - GNPA'!N22+'Input - GNPA'!N16*0.05</f>
        <v>1023.4302992209365</v>
      </c>
      <c r="O58" s="54">
        <f>'Input - GNPA'!O22+'Input - GNPA'!O16*0.05</f>
        <v>1047.6355524657283</v>
      </c>
      <c r="P58" s="53">
        <f>'Input - GNPA'!P22+'Input - GNPA'!P16*0.05</f>
        <v>1096.6888769947629</v>
      </c>
      <c r="Q58" s="53">
        <f>'Input - GNPA'!Q22+'Input - GNPA'!Q16*0.05</f>
        <v>1121.6658574959363</v>
      </c>
      <c r="R58" s="53">
        <f>'Input - GNPA'!R22+'Input - GNPA'!R16*0.05</f>
        <v>1148.8063684769079</v>
      </c>
      <c r="S58" s="53">
        <f>'Input - GNPA'!S22+'Input - GNPA'!S16*0.05</f>
        <v>1191.2070186815629</v>
      </c>
      <c r="T58" s="53">
        <f>'Input - GNPA'!T22+'Input - GNPA'!T16*0.05</f>
        <v>1226.6846305510796</v>
      </c>
      <c r="U58" s="53">
        <f>'Input - GNPA'!U22+'Input - GNPA'!U16*0.05</f>
        <v>1259.5612497861766</v>
      </c>
      <c r="V58" s="53">
        <f>'Input - GNPA'!V22+'Input - GNPA'!V16*0.05</f>
        <v>1244.74865051656</v>
      </c>
      <c r="W58" s="53">
        <f>'Input - GNPA'!W22+'Input - GNPA'!W16*0.05</f>
        <v>1234.9815703924182</v>
      </c>
      <c r="X58" s="53">
        <f>'Input - GNPA'!X22+'Input - GNPA'!X16*0.05</f>
        <v>1230.6866429361605</v>
      </c>
      <c r="Y58" s="53">
        <f>'Input - GNPA'!Y22+'Input - GNPA'!Y16*0.05</f>
        <v>1231.4439498253244</v>
      </c>
      <c r="Z58" s="53">
        <f>'Input - GNPA'!Z22+'Input - GNPA'!Z16*0.05</f>
        <v>1232.3269259609638</v>
      </c>
      <c r="AA58" s="54">
        <f>'Input - GNPA'!AA22+'Input - GNPA'!AA16*0.05</f>
        <v>1235.5032806990275</v>
      </c>
      <c r="AB58" s="53">
        <f>'Input - GNPA'!AB22+'Input - GNPA'!AB16*0.05</f>
        <v>1235.7297920158285</v>
      </c>
      <c r="AC58" s="53">
        <f>'Input - GNPA'!AC22+'Input - GNPA'!AC16*0.05</f>
        <v>1227.112126430811</v>
      </c>
      <c r="AD58" s="53">
        <f>'Input - GNPA'!AD22+'Input - GNPA'!AD16*0.05</f>
        <v>1207.4783621490301</v>
      </c>
      <c r="AE58" s="53">
        <f>'Input - GNPA'!AE22+'Input - GNPA'!AE16*0.05</f>
        <v>1202.567464287019</v>
      </c>
      <c r="AF58" s="53">
        <f>'Input - GNPA'!AF22+'Input - GNPA'!AF16*0.05</f>
        <v>1203.3658866465291</v>
      </c>
      <c r="AG58" s="53">
        <f>'Input - GNPA'!AG22+'Input - GNPA'!AG16*0.05</f>
        <v>1212.9097084393813</v>
      </c>
      <c r="AH58" s="53">
        <f>'Input - GNPA'!AH22+'Input - GNPA'!AH16*0.05</f>
        <v>1229.4030805363157</v>
      </c>
      <c r="AI58" s="53">
        <f>'Input - GNPA'!AI22+'Input - GNPA'!AI16*0.05</f>
        <v>1250.8117869939406</v>
      </c>
      <c r="AJ58" s="53">
        <f>'Input - GNPA'!AJ22+'Input - GNPA'!AJ16*0.05</f>
        <v>1273.6762849877234</v>
      </c>
      <c r="AK58" s="53">
        <f>'Input - GNPA'!AK22+'Input - GNPA'!AK16*0.05</f>
        <v>1296.2458734359002</v>
      </c>
      <c r="AL58" s="53">
        <f>'Input - GNPA'!AL22+'Input - GNPA'!AL16*0.05</f>
        <v>1312.1187868231809</v>
      </c>
      <c r="AM58" s="54">
        <f>'Input - GNPA'!AM22+'Input - GNPA'!AM16*0.05</f>
        <v>1324.6173183193989</v>
      </c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4"/>
      <c r="AY58" s="53"/>
      <c r="AZ58" s="53"/>
      <c r="BA58" s="53"/>
      <c r="BB58" s="53"/>
      <c r="BC58" s="53"/>
      <c r="BD58" s="53"/>
      <c r="BE58" s="53"/>
      <c r="BF58" s="53"/>
      <c r="BG58" s="53"/>
      <c r="BH58" s="53"/>
      <c r="BI58" s="53"/>
      <c r="BJ58" s="54"/>
      <c r="BM58" s="52">
        <f>O58</f>
        <v>1047.6355524657283</v>
      </c>
      <c r="BN58" s="53">
        <f>AA58</f>
        <v>1235.5032806990275</v>
      </c>
      <c r="BO58" s="54">
        <f>AM58</f>
        <v>1324.6173183193989</v>
      </c>
    </row>
    <row r="59" spans="1:67" x14ac:dyDescent="0.35">
      <c r="A59" s="2" t="str">
        <f t="shared" si="408"/>
        <v>NNPA (Stress)-CV</v>
      </c>
      <c r="B59" s="2" t="s">
        <v>158</v>
      </c>
      <c r="C59" s="55">
        <f>'Input - GNPA'!C23+'Input - GNPA'!C17*0.05</f>
        <v>544.20064733835238</v>
      </c>
      <c r="D59" s="56">
        <f>'Input - GNPA'!D23+'Input - GNPA'!D17*0.05</f>
        <v>599.95776600940212</v>
      </c>
      <c r="E59" s="56">
        <f>'Input - GNPA'!E23+'Input - GNPA'!E17*0.05</f>
        <v>648.15154216232179</v>
      </c>
      <c r="F59" s="56">
        <f>'Input - GNPA'!F23+'Input - GNPA'!F17*0.05</f>
        <v>694.34395645419136</v>
      </c>
      <c r="G59" s="56">
        <f>'Input - GNPA'!G23+'Input - GNPA'!G17*0.05</f>
        <v>743.63996358832469</v>
      </c>
      <c r="H59" s="56">
        <f>'Input - GNPA'!H23+'Input - GNPA'!H17*0.05</f>
        <v>792.60134301274479</v>
      </c>
      <c r="I59" s="56">
        <f>'Input - GNPA'!I23+'Input - GNPA'!I17*0.05</f>
        <v>767.64500088073578</v>
      </c>
      <c r="J59" s="56">
        <f>'Input - GNPA'!J23+'Input - GNPA'!J17*0.05</f>
        <v>776.3018743994902</v>
      </c>
      <c r="K59" s="56">
        <f>'Input - GNPA'!K23+'Input - GNPA'!K17*0.05</f>
        <v>828.8581004173036</v>
      </c>
      <c r="L59" s="56">
        <f>'Input - GNPA'!L23+'Input - GNPA'!L17*0.05</f>
        <v>768.0543072142932</v>
      </c>
      <c r="M59" s="56">
        <f>'Input - GNPA'!M23+'Input - GNPA'!M17*0.05</f>
        <v>828.89095918088026</v>
      </c>
      <c r="N59" s="56">
        <f>'Input - GNPA'!N23+'Input - GNPA'!N17*0.05</f>
        <v>755.08808716768601</v>
      </c>
      <c r="O59" s="57">
        <f>'Input - GNPA'!O23+'Input - GNPA'!O17*0.05</f>
        <v>799.28415849931469</v>
      </c>
      <c r="P59" s="56">
        <f>'Input - GNPA'!P23+'Input - GNPA'!P17*0.05</f>
        <v>849.81906501667186</v>
      </c>
      <c r="Q59" s="56">
        <f>'Input - GNPA'!Q23+'Input - GNPA'!Q17*0.05</f>
        <v>900.12157443597971</v>
      </c>
      <c r="R59" s="56">
        <f>'Input - GNPA'!R23+'Input - GNPA'!R17*0.05</f>
        <v>950.81011888703904</v>
      </c>
      <c r="S59" s="56">
        <f>'Input - GNPA'!S23+'Input - GNPA'!S17*0.05</f>
        <v>1008.4774209129063</v>
      </c>
      <c r="T59" s="56">
        <f>'Input - GNPA'!T23+'Input - GNPA'!T17*0.05</f>
        <v>1067.7842448445356</v>
      </c>
      <c r="U59" s="56">
        <f>'Input - GNPA'!U23+'Input - GNPA'!U17*0.05</f>
        <v>1131.3174750562227</v>
      </c>
      <c r="V59" s="56">
        <f>'Input - GNPA'!V23+'Input - GNPA'!V17*0.05</f>
        <v>1122.1458338906903</v>
      </c>
      <c r="W59" s="56">
        <f>'Input - GNPA'!W23+'Input - GNPA'!W17*0.05</f>
        <v>1119.2658133261843</v>
      </c>
      <c r="X59" s="56">
        <f>'Input - GNPA'!X23+'Input - GNPA'!X17*0.05</f>
        <v>971.3215781166881</v>
      </c>
      <c r="Y59" s="56">
        <f>'Input - GNPA'!Y23+'Input - GNPA'!Y17*0.05</f>
        <v>985.57652627517132</v>
      </c>
      <c r="Z59" s="56">
        <f>'Input - GNPA'!Z23+'Input - GNPA'!Z17*0.05</f>
        <v>856.35388464363746</v>
      </c>
      <c r="AA59" s="57">
        <f>'Input - GNPA'!AA23+'Input - GNPA'!AA17*0.05</f>
        <v>880.22303561060107</v>
      </c>
      <c r="AB59" s="56">
        <f>'Input - GNPA'!AB23+'Input - GNPA'!AB17*0.05</f>
        <v>863.63478053185008</v>
      </c>
      <c r="AC59" s="56">
        <f>'Input - GNPA'!AC23+'Input - GNPA'!AC17*0.05</f>
        <v>857.03133902612547</v>
      </c>
      <c r="AD59" s="56">
        <f>'Input - GNPA'!AD23+'Input - GNPA'!AD17*0.05</f>
        <v>854.19277842559677</v>
      </c>
      <c r="AE59" s="56">
        <f>'Input - GNPA'!AE23+'Input - GNPA'!AE17*0.05</f>
        <v>860.62878315890782</v>
      </c>
      <c r="AF59" s="56">
        <f>'Input - GNPA'!AF23+'Input - GNPA'!AF17*0.05</f>
        <v>871.86998829197205</v>
      </c>
      <c r="AG59" s="56">
        <f>'Input - GNPA'!AG23+'Input - GNPA'!AG17*0.05</f>
        <v>852.83474691942229</v>
      </c>
      <c r="AH59" s="56">
        <f>'Input - GNPA'!AH23+'Input - GNPA'!AH17*0.05</f>
        <v>871.3412685149043</v>
      </c>
      <c r="AI59" s="56">
        <f>'Input - GNPA'!AI23+'Input - GNPA'!AI17*0.05</f>
        <v>890.26465366190996</v>
      </c>
      <c r="AJ59" s="56">
        <f>'Input - GNPA'!AJ23+'Input - GNPA'!AJ17*0.05</f>
        <v>817.45284521975395</v>
      </c>
      <c r="AK59" s="56">
        <f>'Input - GNPA'!AK23+'Input - GNPA'!AK17*0.05</f>
        <v>836.24603078771815</v>
      </c>
      <c r="AL59" s="56">
        <f>'Input - GNPA'!AL23+'Input - GNPA'!AL17*0.05</f>
        <v>764.02389877801397</v>
      </c>
      <c r="AM59" s="57">
        <f>'Input - GNPA'!AM23+'Input - GNPA'!AM17*0.05</f>
        <v>773.94649820606435</v>
      </c>
      <c r="AN59" s="56"/>
      <c r="AO59" s="56"/>
      <c r="AP59" s="56"/>
      <c r="AQ59" s="56"/>
      <c r="AR59" s="56"/>
      <c r="AS59" s="56"/>
      <c r="AT59" s="56"/>
      <c r="AU59" s="56"/>
      <c r="AV59" s="56"/>
      <c r="AW59" s="56"/>
      <c r="AX59" s="57"/>
      <c r="AY59" s="56"/>
      <c r="AZ59" s="56"/>
      <c r="BA59" s="56"/>
      <c r="BB59" s="56"/>
      <c r="BC59" s="56"/>
      <c r="BD59" s="56"/>
      <c r="BE59" s="56"/>
      <c r="BF59" s="56"/>
      <c r="BG59" s="56"/>
      <c r="BH59" s="56"/>
      <c r="BI59" s="56"/>
      <c r="BJ59" s="57"/>
      <c r="BM59" s="55">
        <f t="shared" ref="BM59:BM60" si="409">O59</f>
        <v>799.28415849931469</v>
      </c>
      <c r="BN59" s="56">
        <f t="shared" ref="BN59:BN60" si="410">AA59</f>
        <v>880.22303561060107</v>
      </c>
      <c r="BO59" s="57">
        <f t="shared" ref="BO59:BO60" si="411">AM59</f>
        <v>773.94649820606435</v>
      </c>
    </row>
    <row r="60" spans="1:67" x14ac:dyDescent="0.35">
      <c r="A60" s="3" t="str">
        <f t="shared" si="408"/>
        <v>NNPA (Stress)-CV</v>
      </c>
      <c r="B60" s="3" t="s">
        <v>159</v>
      </c>
      <c r="C60" s="58">
        <f>'Input - GNPA'!C24+'Input - GNPA'!C18*0.053</f>
        <v>0</v>
      </c>
      <c r="D60" s="59">
        <f>'Input - GNPA'!D24+'Input - GNPA'!D18*0.053</f>
        <v>9.1282293490051885</v>
      </c>
      <c r="E60" s="59">
        <f>'Input - GNPA'!E24+'Input - GNPA'!E18*0.053</f>
        <v>8.7953381263091792</v>
      </c>
      <c r="F60" s="59">
        <f>'Input - GNPA'!F24+'Input - GNPA'!F18*0.053</f>
        <v>8.4366006048767819</v>
      </c>
      <c r="G60" s="59">
        <f>'Input - GNPA'!G24+'Input - GNPA'!G18*0.053</f>
        <v>8.042996750086072</v>
      </c>
      <c r="H60" s="59">
        <f>'Input - GNPA'!H24+'Input - GNPA'!H18*0.053</f>
        <v>7.6239753215591612</v>
      </c>
      <c r="I60" s="59">
        <f>'Input - GNPA'!I24+'Input - GNPA'!I18*0.053</f>
        <v>7.2077783069185415</v>
      </c>
      <c r="J60" s="59">
        <f>'Input - GNPA'!J24+'Input - GNPA'!J18*0.053</f>
        <v>6.7852090875370656</v>
      </c>
      <c r="K60" s="59">
        <f>'Input - GNPA'!K24+'Input - GNPA'!K18*0.053</f>
        <v>6.3862169273899259</v>
      </c>
      <c r="L60" s="59">
        <f>'Input - GNPA'!L24+'Input - GNPA'!L18*0.053</f>
        <v>6.0076178065079997</v>
      </c>
      <c r="M60" s="59">
        <f>'Input - GNPA'!M24+'Input - GNPA'!M18*0.053</f>
        <v>5.6306632189628569</v>
      </c>
      <c r="N60" s="59">
        <f>'Input - GNPA'!N24+'Input - GNPA'!N18*0.053</f>
        <v>5.2793310394144903</v>
      </c>
      <c r="O60" s="60">
        <f>'Input - GNPA'!O24+'Input - GNPA'!O18*0.053</f>
        <v>4.8894965880969572</v>
      </c>
      <c r="P60" s="59">
        <f>'Input - GNPA'!P24+'Input - GNPA'!P18*0.053</f>
        <v>4.7224492919002934</v>
      </c>
      <c r="Q60" s="59">
        <f>'Input - GNPA'!Q24+'Input - GNPA'!Q18*0.053</f>
        <v>4.5374330316738378</v>
      </c>
      <c r="R60" s="59">
        <f>'Input - GNPA'!R24+'Input - GNPA'!R18*0.053</f>
        <v>4.336994353776527</v>
      </c>
      <c r="S60" s="59">
        <f>'Input - GNPA'!S24+'Input - GNPA'!S18*0.053</f>
        <v>4.1157853285457211</v>
      </c>
      <c r="T60" s="59">
        <f>'Input - GNPA'!T24+'Input - GNPA'!T18*0.053</f>
        <v>3.8824758634988825</v>
      </c>
      <c r="U60" s="59">
        <f>'Input - GNPA'!U24+'Input - GNPA'!U18*0.053</f>
        <v>3.6495513674538307</v>
      </c>
      <c r="V60" s="59">
        <f>'Input - GNPA'!V24+'Input - GNPA'!V18*0.053</f>
        <v>3.4592604466833214</v>
      </c>
      <c r="W60" s="59">
        <f>'Input - GNPA'!W24+'Input - GNPA'!W18*0.053</f>
        <v>3.3205289449461208</v>
      </c>
      <c r="X60" s="59">
        <f>'Input - GNPA'!X24+'Input - GNPA'!X18*0.053</f>
        <v>3.2213355634920542</v>
      </c>
      <c r="Y60" s="59">
        <f>'Input - GNPA'!Y24+'Input - GNPA'!Y18*0.053</f>
        <v>3.1614218770996594</v>
      </c>
      <c r="Z60" s="59">
        <f>'Input - GNPA'!Z24+'Input - GNPA'!Z18*0.053</f>
        <v>3.1401199947643224</v>
      </c>
      <c r="AA60" s="60">
        <f>'Input - GNPA'!AA24+'Input - GNPA'!AA18*0.053</f>
        <v>3.1564210076270349</v>
      </c>
      <c r="AB60" s="59">
        <f>'Input - GNPA'!AB24+'Input - GNPA'!AB18*0.053</f>
        <v>3.1978494966473825</v>
      </c>
      <c r="AC60" s="59">
        <f>'Input - GNPA'!AC24+'Input - GNPA'!AC18*0.053</f>
        <v>3.2581056657756711</v>
      </c>
      <c r="AD60" s="59">
        <f>'Input - GNPA'!AD24+'Input - GNPA'!AD18*0.053</f>
        <v>3.3514322751731651</v>
      </c>
      <c r="AE60" s="59">
        <f>'Input - GNPA'!AE24+'Input - GNPA'!AE18*0.053</f>
        <v>3.4850398035082537</v>
      </c>
      <c r="AF60" s="59">
        <f>'Input - GNPA'!AF24+'Input - GNPA'!AF18*0.053</f>
        <v>3.6608042101729232</v>
      </c>
      <c r="AG60" s="59">
        <f>'Input - GNPA'!AG24+'Input - GNPA'!AG18*0.053</f>
        <v>3.883033248929892</v>
      </c>
      <c r="AH60" s="59">
        <f>'Input - GNPA'!AH24+'Input - GNPA'!AH18*0.053</f>
        <v>4.3215451475408679</v>
      </c>
      <c r="AI60" s="59">
        <f>'Input - GNPA'!AI24+'Input - GNPA'!AI18*0.053</f>
        <v>4.7159628353826895</v>
      </c>
      <c r="AJ60" s="59">
        <f>'Input - GNPA'!AJ24+'Input - GNPA'!AJ18*0.053</f>
        <v>5.0922262854519156</v>
      </c>
      <c r="AK60" s="59">
        <f>'Input - GNPA'!AK24+'Input - GNPA'!AK18*0.053</f>
        <v>5.4476211179538607</v>
      </c>
      <c r="AL60" s="59">
        <f>'Input - GNPA'!AL24+'Input - GNPA'!AL18*0.053</f>
        <v>5.7724301725686766</v>
      </c>
      <c r="AM60" s="60">
        <f>'Input - GNPA'!AM24+'Input - GNPA'!AM18*0.053</f>
        <v>6.1248965881387027</v>
      </c>
      <c r="AN60" s="59"/>
      <c r="AO60" s="59"/>
      <c r="AP60" s="59"/>
      <c r="AQ60" s="59"/>
      <c r="AR60" s="59"/>
      <c r="AS60" s="59"/>
      <c r="AT60" s="59"/>
      <c r="AU60" s="59"/>
      <c r="AV60" s="59"/>
      <c r="AW60" s="59"/>
      <c r="AX60" s="60"/>
      <c r="AY60" s="59"/>
      <c r="AZ60" s="59"/>
      <c r="BA60" s="59"/>
      <c r="BB60" s="59"/>
      <c r="BC60" s="59"/>
      <c r="BD60" s="59"/>
      <c r="BE60" s="59"/>
      <c r="BF60" s="59"/>
      <c r="BG60" s="59"/>
      <c r="BH60" s="59"/>
      <c r="BI60" s="59"/>
      <c r="BJ60" s="60"/>
      <c r="BM60" s="58">
        <f t="shared" si="409"/>
        <v>4.8894965880969572</v>
      </c>
      <c r="BN60" s="59">
        <f t="shared" si="410"/>
        <v>3.1564210076270349</v>
      </c>
      <c r="BO60" s="60">
        <f t="shared" si="411"/>
        <v>6.1248965881387027</v>
      </c>
    </row>
    <row r="62" spans="1:67" x14ac:dyDescent="0.35">
      <c r="A62" s="25" t="s">
        <v>271</v>
      </c>
      <c r="B62" s="4" t="s">
        <v>3</v>
      </c>
      <c r="C62" s="19">
        <f>C14</f>
        <v>45352</v>
      </c>
      <c r="D62" s="20">
        <f>EDATE(C62,1)</f>
        <v>45383</v>
      </c>
      <c r="E62" s="20">
        <f>EDATE(D62,1)</f>
        <v>45413</v>
      </c>
      <c r="F62" s="20">
        <f>EDATE(E62,1)</f>
        <v>45444</v>
      </c>
      <c r="G62" s="20">
        <f t="shared" ref="G62:BJ62" si="412">EDATE(F62,1)</f>
        <v>45474</v>
      </c>
      <c r="H62" s="20">
        <f t="shared" si="412"/>
        <v>45505</v>
      </c>
      <c r="I62" s="20">
        <f t="shared" si="412"/>
        <v>45536</v>
      </c>
      <c r="J62" s="20">
        <f t="shared" si="412"/>
        <v>45566</v>
      </c>
      <c r="K62" s="20">
        <f t="shared" si="412"/>
        <v>45597</v>
      </c>
      <c r="L62" s="20">
        <f t="shared" si="412"/>
        <v>45627</v>
      </c>
      <c r="M62" s="20">
        <f t="shared" si="412"/>
        <v>45658</v>
      </c>
      <c r="N62" s="20">
        <f t="shared" si="412"/>
        <v>45689</v>
      </c>
      <c r="O62" s="21">
        <f t="shared" si="412"/>
        <v>45717</v>
      </c>
      <c r="P62" s="20">
        <f t="shared" si="412"/>
        <v>45748</v>
      </c>
      <c r="Q62" s="20">
        <f t="shared" si="412"/>
        <v>45778</v>
      </c>
      <c r="R62" s="20">
        <f t="shared" si="412"/>
        <v>45809</v>
      </c>
      <c r="S62" s="20">
        <f t="shared" si="412"/>
        <v>45839</v>
      </c>
      <c r="T62" s="20">
        <f t="shared" si="412"/>
        <v>45870</v>
      </c>
      <c r="U62" s="20">
        <f t="shared" si="412"/>
        <v>45901</v>
      </c>
      <c r="V62" s="20">
        <f t="shared" si="412"/>
        <v>45931</v>
      </c>
      <c r="W62" s="20">
        <f t="shared" si="412"/>
        <v>45962</v>
      </c>
      <c r="X62" s="20">
        <f t="shared" si="412"/>
        <v>45992</v>
      </c>
      <c r="Y62" s="20">
        <f t="shared" si="412"/>
        <v>46023</v>
      </c>
      <c r="Z62" s="20">
        <f t="shared" si="412"/>
        <v>46054</v>
      </c>
      <c r="AA62" s="21">
        <f t="shared" si="412"/>
        <v>46082</v>
      </c>
      <c r="AB62" s="20">
        <f t="shared" si="412"/>
        <v>46113</v>
      </c>
      <c r="AC62" s="20">
        <f t="shared" si="412"/>
        <v>46143</v>
      </c>
      <c r="AD62" s="20">
        <f t="shared" si="412"/>
        <v>46174</v>
      </c>
      <c r="AE62" s="20">
        <f t="shared" si="412"/>
        <v>46204</v>
      </c>
      <c r="AF62" s="20">
        <f t="shared" si="412"/>
        <v>46235</v>
      </c>
      <c r="AG62" s="20">
        <f t="shared" si="412"/>
        <v>46266</v>
      </c>
      <c r="AH62" s="20">
        <f t="shared" si="412"/>
        <v>46296</v>
      </c>
      <c r="AI62" s="20">
        <f t="shared" si="412"/>
        <v>46327</v>
      </c>
      <c r="AJ62" s="20">
        <f t="shared" si="412"/>
        <v>46357</v>
      </c>
      <c r="AK62" s="20">
        <f t="shared" si="412"/>
        <v>46388</v>
      </c>
      <c r="AL62" s="20">
        <f t="shared" si="412"/>
        <v>46419</v>
      </c>
      <c r="AM62" s="21">
        <f t="shared" si="412"/>
        <v>46447</v>
      </c>
      <c r="AN62" s="20">
        <f t="shared" si="412"/>
        <v>46478</v>
      </c>
      <c r="AO62" s="20">
        <f t="shared" si="412"/>
        <v>46508</v>
      </c>
      <c r="AP62" s="20">
        <f t="shared" si="412"/>
        <v>46539</v>
      </c>
      <c r="AQ62" s="20">
        <f t="shared" si="412"/>
        <v>46569</v>
      </c>
      <c r="AR62" s="20">
        <f t="shared" si="412"/>
        <v>46600</v>
      </c>
      <c r="AS62" s="20">
        <f t="shared" si="412"/>
        <v>46631</v>
      </c>
      <c r="AT62" s="20">
        <f t="shared" si="412"/>
        <v>46661</v>
      </c>
      <c r="AU62" s="20">
        <f t="shared" si="412"/>
        <v>46692</v>
      </c>
      <c r="AV62" s="20">
        <f t="shared" si="412"/>
        <v>46722</v>
      </c>
      <c r="AW62" s="20">
        <f t="shared" si="412"/>
        <v>46753</v>
      </c>
      <c r="AX62" s="21">
        <f t="shared" si="412"/>
        <v>46784</v>
      </c>
      <c r="AY62" s="20">
        <f t="shared" si="412"/>
        <v>46813</v>
      </c>
      <c r="AZ62" s="20">
        <f t="shared" si="412"/>
        <v>46844</v>
      </c>
      <c r="BA62" s="20">
        <f t="shared" si="412"/>
        <v>46874</v>
      </c>
      <c r="BB62" s="20">
        <f t="shared" si="412"/>
        <v>46905</v>
      </c>
      <c r="BC62" s="20">
        <f t="shared" si="412"/>
        <v>46935</v>
      </c>
      <c r="BD62" s="20">
        <f t="shared" si="412"/>
        <v>46966</v>
      </c>
      <c r="BE62" s="20">
        <f t="shared" si="412"/>
        <v>46997</v>
      </c>
      <c r="BF62" s="20">
        <f t="shared" si="412"/>
        <v>47027</v>
      </c>
      <c r="BG62" s="20">
        <f t="shared" si="412"/>
        <v>47058</v>
      </c>
      <c r="BH62" s="20">
        <f t="shared" si="412"/>
        <v>47088</v>
      </c>
      <c r="BI62" s="20">
        <f t="shared" si="412"/>
        <v>47119</v>
      </c>
      <c r="BJ62" s="21">
        <f t="shared" si="412"/>
        <v>47150</v>
      </c>
      <c r="BM62" s="138" t="str">
        <f>BM56</f>
        <v>FY24</v>
      </c>
      <c r="BN62" s="139" t="str">
        <f t="shared" ref="BN62:BO62" si="413">BN56</f>
        <v>FY25</v>
      </c>
      <c r="BO62" s="140" t="str">
        <f t="shared" si="413"/>
        <v>FY26</v>
      </c>
    </row>
    <row r="63" spans="1:67" x14ac:dyDescent="0.35">
      <c r="A63" s="15" t="str">
        <f>A62</f>
        <v>GNPA% - (Stress)-CV</v>
      </c>
      <c r="B63" s="15" t="s">
        <v>188</v>
      </c>
      <c r="C63" s="258">
        <f>'Input - GNPA'!C27</f>
        <v>2.6384548910955184E-2</v>
      </c>
      <c r="D63" s="259">
        <f>'Input - GNPA'!D27</f>
        <v>2.7462480274958279E-2</v>
      </c>
      <c r="E63" s="259">
        <f>'Input - GNPA'!E27</f>
        <v>2.8285877397326811E-2</v>
      </c>
      <c r="F63" s="259">
        <f>'Input - GNPA'!F27</f>
        <v>2.9039538569737296E-2</v>
      </c>
      <c r="G63" s="259">
        <f>'Input - GNPA'!G27</f>
        <v>2.9905123269296955E-2</v>
      </c>
      <c r="H63" s="259">
        <f>'Input - GNPA'!H27</f>
        <v>3.0647583013217999E-2</v>
      </c>
      <c r="I63" s="259">
        <f>'Input - GNPA'!I27</f>
        <v>3.0832674117130161E-2</v>
      </c>
      <c r="J63" s="259">
        <f>'Input - GNPA'!J27</f>
        <v>3.2021388589240238E-2</v>
      </c>
      <c r="K63" s="259">
        <f>'Input - GNPA'!K27</f>
        <v>3.3149133724956391E-2</v>
      </c>
      <c r="L63" s="259">
        <f>'Input - GNPA'!L27</f>
        <v>3.3354109087165046E-2</v>
      </c>
      <c r="M63" s="259">
        <f>'Input - GNPA'!M27</f>
        <v>3.4525101872755905E-2</v>
      </c>
      <c r="N63" s="259">
        <f>'Input - GNPA'!N27</f>
        <v>3.4635101896793502E-2</v>
      </c>
      <c r="O63" s="260">
        <f>'Input - GNPA'!O27</f>
        <v>3.5715321591722395E-2</v>
      </c>
      <c r="P63" s="259">
        <f>'Input - GNPA'!P27</f>
        <v>3.7204293961442467E-2</v>
      </c>
      <c r="Q63" s="259">
        <f>'Input - GNPA'!Q27</f>
        <v>3.8552473643481737E-2</v>
      </c>
      <c r="R63" s="259">
        <f>'Input - GNPA'!R27</f>
        <v>3.9926314890605809E-2</v>
      </c>
      <c r="S63" s="259">
        <f>'Input - GNPA'!S27</f>
        <v>4.156796927370552E-2</v>
      </c>
      <c r="T63" s="259">
        <f>'Input - GNPA'!T27</f>
        <v>4.3120328998473775E-2</v>
      </c>
      <c r="U63" s="259">
        <f>'Input - GNPA'!U27</f>
        <v>4.4579176821596359E-2</v>
      </c>
      <c r="V63" s="259">
        <f>'Input - GNPA'!V27</f>
        <v>4.3853042492220044E-2</v>
      </c>
      <c r="W63" s="259">
        <f>'Input - GNPA'!W27</f>
        <v>4.3039967260492557E-2</v>
      </c>
      <c r="X63" s="259">
        <f>'Input - GNPA'!X27</f>
        <v>4.0977698422985265E-2</v>
      </c>
      <c r="Y63" s="259">
        <f>'Input - GNPA'!Y27</f>
        <v>4.0249080259844576E-2</v>
      </c>
      <c r="Z63" s="259">
        <f>'Input - GNPA'!Z27</f>
        <v>3.8274124985279004E-2</v>
      </c>
      <c r="AA63" s="260">
        <f>'Input - GNPA'!AA27</f>
        <v>3.7408137630949342E-2</v>
      </c>
      <c r="AB63" s="259">
        <f>'Input - GNPA'!AB27</f>
        <v>3.6597871476106138E-2</v>
      </c>
      <c r="AC63" s="259">
        <f>'Input - GNPA'!AC27</f>
        <v>3.5316822150241386E-2</v>
      </c>
      <c r="AD63" s="259">
        <f>'Input - GNPA'!AD27</f>
        <v>3.414151502003944E-2</v>
      </c>
      <c r="AE63" s="259">
        <f>'Input - GNPA'!AE27</f>
        <v>3.31585562586348E-2</v>
      </c>
      <c r="AF63" s="259">
        <f>'Input - GNPA'!AF27</f>
        <v>3.208128730215197E-2</v>
      </c>
      <c r="AG63" s="259">
        <f>'Input - GNPA'!AG27</f>
        <v>3.0817429319946701E-2</v>
      </c>
      <c r="AH63" s="259">
        <f>'Input - GNPA'!AH27</f>
        <v>2.9811228863674807E-2</v>
      </c>
      <c r="AI63" s="259">
        <f>'Input - GNPA'!AI27</f>
        <v>2.8778069792955371E-2</v>
      </c>
      <c r="AJ63" s="259">
        <f>'Input - GNPA'!AJ27</f>
        <v>2.7279884051795707E-2</v>
      </c>
      <c r="AK63" s="259">
        <f>'Input - GNPA'!AK27</f>
        <v>2.6313069421384241E-2</v>
      </c>
      <c r="AL63" s="259">
        <f>'Input - GNPA'!AL27</f>
        <v>2.4906091349162187E-2</v>
      </c>
      <c r="AM63" s="260">
        <f>'Input - GNPA'!AM27</f>
        <v>2.3801643745639575E-2</v>
      </c>
      <c r="AN63" s="17">
        <f t="shared" ref="AN63:BJ63" si="414">SUM(AN64:AN66)</f>
        <v>0</v>
      </c>
      <c r="AO63" s="17">
        <f t="shared" si="414"/>
        <v>0</v>
      </c>
      <c r="AP63" s="17">
        <f t="shared" si="414"/>
        <v>0</v>
      </c>
      <c r="AQ63" s="17">
        <f t="shared" si="414"/>
        <v>0</v>
      </c>
      <c r="AR63" s="17">
        <f t="shared" si="414"/>
        <v>0</v>
      </c>
      <c r="AS63" s="17">
        <f t="shared" si="414"/>
        <v>0</v>
      </c>
      <c r="AT63" s="17">
        <f t="shared" si="414"/>
        <v>0</v>
      </c>
      <c r="AU63" s="17">
        <f t="shared" si="414"/>
        <v>0</v>
      </c>
      <c r="AV63" s="17">
        <f t="shared" si="414"/>
        <v>0</v>
      </c>
      <c r="AW63" s="17">
        <f t="shared" si="414"/>
        <v>0</v>
      </c>
      <c r="AX63" s="18">
        <f t="shared" si="414"/>
        <v>0</v>
      </c>
      <c r="AY63" s="17">
        <f t="shared" si="414"/>
        <v>0</v>
      </c>
      <c r="AZ63" s="17">
        <f t="shared" si="414"/>
        <v>0</v>
      </c>
      <c r="BA63" s="17">
        <f t="shared" si="414"/>
        <v>0</v>
      </c>
      <c r="BB63" s="17">
        <f t="shared" si="414"/>
        <v>0</v>
      </c>
      <c r="BC63" s="17">
        <f t="shared" si="414"/>
        <v>0</v>
      </c>
      <c r="BD63" s="17">
        <f t="shared" si="414"/>
        <v>0</v>
      </c>
      <c r="BE63" s="17">
        <f t="shared" si="414"/>
        <v>0</v>
      </c>
      <c r="BF63" s="17">
        <f t="shared" si="414"/>
        <v>0</v>
      </c>
      <c r="BG63" s="17">
        <f t="shared" si="414"/>
        <v>0</v>
      </c>
      <c r="BH63" s="17">
        <f t="shared" si="414"/>
        <v>0</v>
      </c>
      <c r="BI63" s="17">
        <f t="shared" si="414"/>
        <v>0</v>
      </c>
      <c r="BJ63" s="18">
        <f t="shared" si="414"/>
        <v>0</v>
      </c>
      <c r="BM63" s="258">
        <f>O63</f>
        <v>3.5715321591722395E-2</v>
      </c>
      <c r="BN63" s="260">
        <f>AA63</f>
        <v>3.7408137630949342E-2</v>
      </c>
      <c r="BO63" s="260">
        <f>AM63</f>
        <v>2.3801643745639575E-2</v>
      </c>
    </row>
    <row r="64" spans="1:67" x14ac:dyDescent="0.35">
      <c r="A64" s="1" t="str">
        <f t="shared" ref="A64:A66" si="415">A63</f>
        <v>GNPA% - (Stress)-CV</v>
      </c>
      <c r="B64" s="1" t="s">
        <v>157</v>
      </c>
      <c r="C64" s="261">
        <f>'Input - GNPA'!C28</f>
        <v>2.3654983282357805E-2</v>
      </c>
      <c r="D64" s="262">
        <f>'Input - GNPA'!D28</f>
        <v>2.4016591673001166E-2</v>
      </c>
      <c r="E64" s="262">
        <f>'Input - GNPA'!E28</f>
        <v>2.4272062615547957E-2</v>
      </c>
      <c r="F64" s="262">
        <f>'Input - GNPA'!F28</f>
        <v>2.448959039059578E-2</v>
      </c>
      <c r="G64" s="262">
        <f>'Input - GNPA'!G28</f>
        <v>2.4848754249123181E-2</v>
      </c>
      <c r="H64" s="262">
        <f>'Input - GNPA'!H28</f>
        <v>2.5102688135458906E-2</v>
      </c>
      <c r="I64" s="262">
        <f>'Input - GNPA'!I28</f>
        <v>2.5384044445181286E-2</v>
      </c>
      <c r="J64" s="262">
        <f>'Input - GNPA'!J28</f>
        <v>2.6037857770148439E-2</v>
      </c>
      <c r="K64" s="262">
        <f>'Input - GNPA'!K28</f>
        <v>2.6660272994933329E-2</v>
      </c>
      <c r="L64" s="262">
        <f>'Input - GNPA'!L28</f>
        <v>2.7300860880038816E-2</v>
      </c>
      <c r="M64" s="262">
        <f>'Input - GNPA'!M28</f>
        <v>2.7972601015363616E-2</v>
      </c>
      <c r="N64" s="262">
        <f>'Input - GNPA'!N28</f>
        <v>2.8631202096617927E-2</v>
      </c>
      <c r="O64" s="263">
        <f>'Input - GNPA'!O28</f>
        <v>2.9237406676605088E-2</v>
      </c>
      <c r="P64" s="262">
        <f>'Input - GNPA'!P28</f>
        <v>3.0241944517349625E-2</v>
      </c>
      <c r="Q64" s="262">
        <f>'Input - GNPA'!Q28</f>
        <v>3.0921305814192543E-2</v>
      </c>
      <c r="R64" s="262">
        <f>'Input - GNPA'!R28</f>
        <v>3.1629674365685735E-2</v>
      </c>
      <c r="S64" s="262">
        <f>'Input - GNPA'!S28</f>
        <v>3.2558004217555628E-2</v>
      </c>
      <c r="T64" s="262">
        <f>'Input - GNPA'!T28</f>
        <v>3.3375859534600288E-2</v>
      </c>
      <c r="U64" s="262">
        <f>'Input - GNPA'!U28</f>
        <v>3.4062698278280096E-2</v>
      </c>
      <c r="V64" s="262">
        <f>'Input - GNPA'!V28</f>
        <v>3.3515197577000076E-2</v>
      </c>
      <c r="W64" s="262">
        <f>'Input - GNPA'!W28</f>
        <v>3.2889643669730351E-2</v>
      </c>
      <c r="X64" s="262">
        <f>'Input - GNPA'!X28</f>
        <v>3.2265719158936321E-2</v>
      </c>
      <c r="Y64" s="262">
        <f>'Input - GNPA'!Y28</f>
        <v>3.1674194451350599E-2</v>
      </c>
      <c r="Z64" s="262">
        <f>'Input - GNPA'!Z28</f>
        <v>3.1028293937485841E-2</v>
      </c>
      <c r="AA64" s="263">
        <f>'Input - GNPA'!AA28</f>
        <v>3.0292120583253191E-2</v>
      </c>
      <c r="AB64" s="262">
        <f>'Input - GNPA'!AB28</f>
        <v>2.990878125842459E-2</v>
      </c>
      <c r="AC64" s="262">
        <f>'Input - GNPA'!AC28</f>
        <v>2.8908653491738531E-2</v>
      </c>
      <c r="AD64" s="262">
        <f>'Input - GNPA'!AD28</f>
        <v>2.796508191155251E-2</v>
      </c>
      <c r="AE64" s="262">
        <f>'Input - GNPA'!AE28</f>
        <v>2.7208382792848707E-2</v>
      </c>
      <c r="AF64" s="262">
        <f>'Input - GNPA'!AF28</f>
        <v>2.6365314056956832E-2</v>
      </c>
      <c r="AG64" s="262">
        <f>'Input - GNPA'!AG28</f>
        <v>2.5581373171272882E-2</v>
      </c>
      <c r="AH64" s="262">
        <f>'Input - GNPA'!AH28</f>
        <v>2.4939206755642214E-2</v>
      </c>
      <c r="AI64" s="262">
        <f>'Input - GNPA'!AI28</f>
        <v>2.4258627633458648E-2</v>
      </c>
      <c r="AJ64" s="262">
        <f>'Input - GNPA'!AJ28</f>
        <v>2.3574494309563893E-2</v>
      </c>
      <c r="AK64" s="262">
        <f>'Input - GNPA'!AK28</f>
        <v>2.2919038473245661E-2</v>
      </c>
      <c r="AL64" s="262">
        <f>'Input - GNPA'!AL28</f>
        <v>2.2219845667565422E-2</v>
      </c>
      <c r="AM64" s="263">
        <f>'Input - GNPA'!AM28</f>
        <v>2.1453853739495213E-2</v>
      </c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4"/>
      <c r="AY64" s="53"/>
      <c r="AZ64" s="53"/>
      <c r="BA64" s="53"/>
      <c r="BB64" s="53"/>
      <c r="BC64" s="53"/>
      <c r="BD64" s="53"/>
      <c r="BE64" s="53"/>
      <c r="BF64" s="53"/>
      <c r="BG64" s="53"/>
      <c r="BH64" s="53"/>
      <c r="BI64" s="53"/>
      <c r="BJ64" s="54"/>
      <c r="BM64" s="261">
        <f>O64</f>
        <v>2.9237406676605088E-2</v>
      </c>
      <c r="BN64" s="262">
        <f>AA64</f>
        <v>3.0292120583253191E-2</v>
      </c>
      <c r="BO64" s="263">
        <f>AM64</f>
        <v>2.1453853739495213E-2</v>
      </c>
    </row>
    <row r="65" spans="1:67" x14ac:dyDescent="0.35">
      <c r="A65" s="2" t="str">
        <f t="shared" si="415"/>
        <v>GNPA% - (Stress)-CV</v>
      </c>
      <c r="B65" s="2" t="s">
        <v>158</v>
      </c>
      <c r="C65" s="264">
        <f>'Input - GNPA'!C29</f>
        <v>4.4148123775266723E-2</v>
      </c>
      <c r="D65" s="265">
        <f>'Input - GNPA'!D29</f>
        <v>4.6252005612240243E-2</v>
      </c>
      <c r="E65" s="265">
        <f>'Input - GNPA'!E29</f>
        <v>4.8122221673137393E-2</v>
      </c>
      <c r="F65" s="265">
        <f>'Input - GNPA'!F29</f>
        <v>4.9818066702214149E-2</v>
      </c>
      <c r="G65" s="265">
        <f>'Input - GNPA'!G29</f>
        <v>5.1613198629984473E-2</v>
      </c>
      <c r="H65" s="265">
        <f>'Input - GNPA'!H29</f>
        <v>5.3206212135271748E-2</v>
      </c>
      <c r="I65" s="265">
        <f>'Input - GNPA'!I29</f>
        <v>5.464067740401022E-2</v>
      </c>
      <c r="J65" s="265">
        <f>'Input - GNPA'!J29</f>
        <v>5.7014200537991992E-2</v>
      </c>
      <c r="K65" s="265">
        <f>'Input - GNPA'!K29</f>
        <v>5.9145690327494116E-2</v>
      </c>
      <c r="L65" s="265">
        <f>'Input - GNPA'!L29</f>
        <v>6.1244899683678078E-2</v>
      </c>
      <c r="M65" s="265">
        <f>'Input - GNPA'!M29</f>
        <v>6.3443934766571758E-2</v>
      </c>
      <c r="N65" s="265">
        <f>'Input - GNPA'!N29</f>
        <v>6.5458112078637054E-2</v>
      </c>
      <c r="O65" s="266">
        <f>'Input - GNPA'!O29</f>
        <v>6.7422113479334342E-2</v>
      </c>
      <c r="P65" s="265">
        <f>'Input - GNPA'!P29</f>
        <v>7.0049792867206653E-2</v>
      </c>
      <c r="Q65" s="265">
        <f>'Input - GNPA'!Q29</f>
        <v>7.3045006157045719E-2</v>
      </c>
      <c r="R65" s="265">
        <f>'Input - GNPA'!R29</f>
        <v>7.6043035873205184E-2</v>
      </c>
      <c r="S65" s="265">
        <f>'Input - GNPA'!S29</f>
        <v>7.9401576815795905E-2</v>
      </c>
      <c r="T65" s="265">
        <f>'Input - GNPA'!T29</f>
        <v>8.2706333531054027E-2</v>
      </c>
      <c r="U65" s="265">
        <f>'Input - GNPA'!U29</f>
        <v>8.5954808359832935E-2</v>
      </c>
      <c r="V65" s="265">
        <f>'Input - GNPA'!V29</f>
        <v>8.3698422997816477E-2</v>
      </c>
      <c r="W65" s="265">
        <f>'Input - GNPA'!W29</f>
        <v>8.1326416831805914E-2</v>
      </c>
      <c r="X65" s="265">
        <f>'Input - GNPA'!X29</f>
        <v>7.8954365221261577E-2</v>
      </c>
      <c r="Y65" s="265">
        <f>'Input - GNPA'!Y29</f>
        <v>7.6628748757879589E-2</v>
      </c>
      <c r="Z65" s="265">
        <f>'Input - GNPA'!Z29</f>
        <v>7.4146323917429827E-2</v>
      </c>
      <c r="AA65" s="266">
        <f>'Input - GNPA'!AA29</f>
        <v>7.1581637745213617E-2</v>
      </c>
      <c r="AB65" s="265">
        <f>'Input - GNPA'!AB29</f>
        <v>6.8198157956814762E-2</v>
      </c>
      <c r="AC65" s="265">
        <f>'Input - GNPA'!AC29</f>
        <v>6.5211286048582146E-2</v>
      </c>
      <c r="AD65" s="265">
        <f>'Input - GNPA'!AD29</f>
        <v>6.229516983275224E-2</v>
      </c>
      <c r="AE65" s="265">
        <f>'Input - GNPA'!AE29</f>
        <v>5.9759199024299207E-2</v>
      </c>
      <c r="AF65" s="265">
        <f>'Input - GNPA'!AF29</f>
        <v>5.7203157404673542E-2</v>
      </c>
      <c r="AG65" s="265">
        <f>'Input - GNPA'!AG29</f>
        <v>5.4668063706059623E-2</v>
      </c>
      <c r="AH65" s="265">
        <f>'Input - GNPA'!AH29</f>
        <v>5.2184151872564498E-2</v>
      </c>
      <c r="AI65" s="265">
        <f>'Input - GNPA'!AI29</f>
        <v>4.9615953967836968E-2</v>
      </c>
      <c r="AJ65" s="265">
        <f>'Input - GNPA'!AJ29</f>
        <v>4.7046064102760535E-2</v>
      </c>
      <c r="AK65" s="265">
        <f>'Input - GNPA'!AK29</f>
        <v>4.4496879573783205E-2</v>
      </c>
      <c r="AL65" s="265">
        <f>'Input - GNPA'!AL29</f>
        <v>4.1822569270312235E-2</v>
      </c>
      <c r="AM65" s="266">
        <f>'Input - GNPA'!AM29</f>
        <v>3.9088140533311458E-2</v>
      </c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7"/>
      <c r="AY65" s="56"/>
      <c r="AZ65" s="56"/>
      <c r="BA65" s="56"/>
      <c r="BB65" s="56"/>
      <c r="BC65" s="56"/>
      <c r="BD65" s="56"/>
      <c r="BE65" s="56"/>
      <c r="BF65" s="56"/>
      <c r="BG65" s="56"/>
      <c r="BH65" s="56"/>
      <c r="BI65" s="56"/>
      <c r="BJ65" s="57"/>
      <c r="BM65" s="264">
        <f t="shared" ref="BM65:BM66" si="416">O65</f>
        <v>6.7422113479334342E-2</v>
      </c>
      <c r="BN65" s="265">
        <f t="shared" ref="BN65:BN66" si="417">AA65</f>
        <v>7.1581637745213617E-2</v>
      </c>
      <c r="BO65" s="266">
        <f t="shared" ref="BO65:BO66" si="418">AM65</f>
        <v>3.9088140533311458E-2</v>
      </c>
    </row>
    <row r="66" spans="1:67" x14ac:dyDescent="0.35">
      <c r="A66" s="3" t="str">
        <f t="shared" si="415"/>
        <v>GNPA% - (Stress)-CV</v>
      </c>
      <c r="B66" s="3" t="s">
        <v>159</v>
      </c>
      <c r="C66" s="267">
        <f>'Input - GNPA'!C30</f>
        <v>0</v>
      </c>
      <c r="D66" s="268">
        <f>'Input - GNPA'!D30</f>
        <v>1.2176981750107541E-3</v>
      </c>
      <c r="E66" s="268">
        <f>'Input - GNPA'!E30</f>
        <v>1.2148573473617092E-3</v>
      </c>
      <c r="F66" s="268">
        <f>'Input - GNPA'!F30</f>
        <v>1.2042320827807807E-3</v>
      </c>
      <c r="G66" s="268">
        <f>'Input - GNPA'!G30</f>
        <v>1.182872322658509E-3</v>
      </c>
      <c r="H66" s="268">
        <f>'Input - GNPA'!H30</f>
        <v>1.1525643024686656E-3</v>
      </c>
      <c r="I66" s="268">
        <f>'Input - GNPA'!I30</f>
        <v>1.1186940208208977E-3</v>
      </c>
      <c r="J66" s="268">
        <f>'Input - GNPA'!J30</f>
        <v>1.0823128873122822E-3</v>
      </c>
      <c r="K66" s="268">
        <f>'Input - GNPA'!K30</f>
        <v>1.0503480348453107E-3</v>
      </c>
      <c r="L66" s="268">
        <f>'Input - GNPA'!L30</f>
        <v>1.0164217145032135E-3</v>
      </c>
      <c r="M66" s="268">
        <f>'Input - GNPA'!M30</f>
        <v>9.8130914415235702E-4</v>
      </c>
      <c r="N66" s="268">
        <f>'Input - GNPA'!N30</f>
        <v>9.4811685455051405E-4</v>
      </c>
      <c r="O66" s="269">
        <f>'Input - GNPA'!O30</f>
        <v>8.9871262207699449E-4</v>
      </c>
      <c r="P66" s="268">
        <f>'Input - GNPA'!P30</f>
        <v>9.1021828367262528E-4</v>
      </c>
      <c r="Q66" s="268">
        <f>'Input - GNPA'!Q30</f>
        <v>9.1587473511002679E-4</v>
      </c>
      <c r="R66" s="268">
        <f>'Input - GNPA'!R30</f>
        <v>9.1585185559355659E-4</v>
      </c>
      <c r="S66" s="268">
        <f>'Input - GNPA'!S30</f>
        <v>9.0787742381335482E-4</v>
      </c>
      <c r="T66" s="268">
        <f>'Input - GNPA'!T30</f>
        <v>8.9284906849071649E-4</v>
      </c>
      <c r="U66" s="268">
        <f>'Input - GNPA'!U30</f>
        <v>8.7432755037081527E-4</v>
      </c>
      <c r="V66" s="268">
        <f>'Input - GNPA'!V30</f>
        <v>8.5301290346471764E-4</v>
      </c>
      <c r="W66" s="268">
        <f>'Input - GNPA'!W30</f>
        <v>8.3398731955136151E-4</v>
      </c>
      <c r="X66" s="268">
        <f>'Input - GNPA'!X30</f>
        <v>8.1270281306080705E-4</v>
      </c>
      <c r="Y66" s="268">
        <f>'Input - GNPA'!Y30</f>
        <v>7.897488921907881E-4</v>
      </c>
      <c r="Z66" s="268">
        <f>'Input - GNPA'!Z30</f>
        <v>7.6753029855832031E-4</v>
      </c>
      <c r="AA66" s="269">
        <f>'Input - GNPA'!AA30</f>
        <v>7.321306278622624E-4</v>
      </c>
      <c r="AB66" s="268">
        <f>'Input - GNPA'!AB30</f>
        <v>7.4418516841620358E-4</v>
      </c>
      <c r="AC66" s="268">
        <f>'Input - GNPA'!AC30</f>
        <v>7.5169023851568871E-4</v>
      </c>
      <c r="AD66" s="268">
        <f>'Input - GNPA'!AD30</f>
        <v>7.5467817350341406E-4</v>
      </c>
      <c r="AE66" s="268">
        <f>'Input - GNPA'!AE30</f>
        <v>7.5127481290903264E-4</v>
      </c>
      <c r="AF66" s="268">
        <f>'Input - GNPA'!AF30</f>
        <v>7.420491524407041E-4</v>
      </c>
      <c r="AG66" s="268">
        <f>'Input - GNPA'!AG30</f>
        <v>7.2971748149658257E-4</v>
      </c>
      <c r="AH66" s="268">
        <f>'Input - GNPA'!AH30</f>
        <v>7.1480020132289154E-4</v>
      </c>
      <c r="AI66" s="268">
        <f>'Input - GNPA'!AI30</f>
        <v>7.013829162420697E-4</v>
      </c>
      <c r="AJ66" s="268">
        <f>'Input - GNPA'!AJ30</f>
        <v>6.858305237425321E-4</v>
      </c>
      <c r="AK66" s="268">
        <f>'Input - GNPA'!AK30</f>
        <v>6.686149873054815E-4</v>
      </c>
      <c r="AL66" s="268">
        <f>'Input - GNPA'!AL30</f>
        <v>6.5171848228205524E-4</v>
      </c>
      <c r="AM66" s="269">
        <f>'Input - GNPA'!AM30</f>
        <v>6.2364155572436743E-4</v>
      </c>
      <c r="AN66" s="59"/>
      <c r="AO66" s="59"/>
      <c r="AP66" s="59"/>
      <c r="AQ66" s="59"/>
      <c r="AR66" s="59"/>
      <c r="AS66" s="59"/>
      <c r="AT66" s="59"/>
      <c r="AU66" s="59"/>
      <c r="AV66" s="59"/>
      <c r="AW66" s="59"/>
      <c r="AX66" s="60"/>
      <c r="AY66" s="59"/>
      <c r="AZ66" s="59"/>
      <c r="BA66" s="59"/>
      <c r="BB66" s="59"/>
      <c r="BC66" s="59"/>
      <c r="BD66" s="59"/>
      <c r="BE66" s="59"/>
      <c r="BF66" s="59"/>
      <c r="BG66" s="59"/>
      <c r="BH66" s="59"/>
      <c r="BI66" s="59"/>
      <c r="BJ66" s="60"/>
      <c r="BM66" s="267">
        <f t="shared" si="416"/>
        <v>8.9871262207699449E-4</v>
      </c>
      <c r="BN66" s="268">
        <f t="shared" si="417"/>
        <v>7.321306278622624E-4</v>
      </c>
      <c r="BO66" s="269">
        <f t="shared" si="418"/>
        <v>6.2364155572436743E-4</v>
      </c>
    </row>
    <row r="68" spans="1:67" x14ac:dyDescent="0.35">
      <c r="A68" s="25" t="s">
        <v>272</v>
      </c>
      <c r="B68" s="4" t="s">
        <v>3</v>
      </c>
      <c r="C68" s="19">
        <f>C62</f>
        <v>45352</v>
      </c>
      <c r="D68" s="20">
        <f>EDATE(C68,1)</f>
        <v>45383</v>
      </c>
      <c r="E68" s="20">
        <f>EDATE(D68,1)</f>
        <v>45413</v>
      </c>
      <c r="F68" s="20">
        <f>EDATE(E68,1)</f>
        <v>45444</v>
      </c>
      <c r="G68" s="20">
        <f t="shared" ref="G68:BJ68" si="419">EDATE(F68,1)</f>
        <v>45474</v>
      </c>
      <c r="H68" s="20">
        <f t="shared" si="419"/>
        <v>45505</v>
      </c>
      <c r="I68" s="20">
        <f t="shared" si="419"/>
        <v>45536</v>
      </c>
      <c r="J68" s="20">
        <f t="shared" si="419"/>
        <v>45566</v>
      </c>
      <c r="K68" s="20">
        <f t="shared" si="419"/>
        <v>45597</v>
      </c>
      <c r="L68" s="20">
        <f t="shared" si="419"/>
        <v>45627</v>
      </c>
      <c r="M68" s="20">
        <f t="shared" si="419"/>
        <v>45658</v>
      </c>
      <c r="N68" s="20">
        <f t="shared" si="419"/>
        <v>45689</v>
      </c>
      <c r="O68" s="21">
        <f t="shared" si="419"/>
        <v>45717</v>
      </c>
      <c r="P68" s="20">
        <f t="shared" si="419"/>
        <v>45748</v>
      </c>
      <c r="Q68" s="20">
        <f t="shared" si="419"/>
        <v>45778</v>
      </c>
      <c r="R68" s="20">
        <f t="shared" si="419"/>
        <v>45809</v>
      </c>
      <c r="S68" s="20">
        <f t="shared" si="419"/>
        <v>45839</v>
      </c>
      <c r="T68" s="20">
        <f t="shared" si="419"/>
        <v>45870</v>
      </c>
      <c r="U68" s="20">
        <f t="shared" si="419"/>
        <v>45901</v>
      </c>
      <c r="V68" s="20">
        <f t="shared" si="419"/>
        <v>45931</v>
      </c>
      <c r="W68" s="20">
        <f t="shared" si="419"/>
        <v>45962</v>
      </c>
      <c r="X68" s="20">
        <f t="shared" si="419"/>
        <v>45992</v>
      </c>
      <c r="Y68" s="20">
        <f t="shared" si="419"/>
        <v>46023</v>
      </c>
      <c r="Z68" s="20">
        <f t="shared" si="419"/>
        <v>46054</v>
      </c>
      <c r="AA68" s="21">
        <f t="shared" si="419"/>
        <v>46082</v>
      </c>
      <c r="AB68" s="20">
        <f t="shared" si="419"/>
        <v>46113</v>
      </c>
      <c r="AC68" s="20">
        <f t="shared" si="419"/>
        <v>46143</v>
      </c>
      <c r="AD68" s="20">
        <f t="shared" si="419"/>
        <v>46174</v>
      </c>
      <c r="AE68" s="20">
        <f t="shared" si="419"/>
        <v>46204</v>
      </c>
      <c r="AF68" s="20">
        <f t="shared" si="419"/>
        <v>46235</v>
      </c>
      <c r="AG68" s="20">
        <f t="shared" si="419"/>
        <v>46266</v>
      </c>
      <c r="AH68" s="20">
        <f t="shared" si="419"/>
        <v>46296</v>
      </c>
      <c r="AI68" s="20">
        <f t="shared" si="419"/>
        <v>46327</v>
      </c>
      <c r="AJ68" s="20">
        <f t="shared" si="419"/>
        <v>46357</v>
      </c>
      <c r="AK68" s="20">
        <f t="shared" si="419"/>
        <v>46388</v>
      </c>
      <c r="AL68" s="20">
        <f t="shared" si="419"/>
        <v>46419</v>
      </c>
      <c r="AM68" s="21">
        <f t="shared" si="419"/>
        <v>46447</v>
      </c>
      <c r="AN68" s="20">
        <f t="shared" si="419"/>
        <v>46478</v>
      </c>
      <c r="AO68" s="20">
        <f t="shared" si="419"/>
        <v>46508</v>
      </c>
      <c r="AP68" s="20">
        <f t="shared" si="419"/>
        <v>46539</v>
      </c>
      <c r="AQ68" s="20">
        <f t="shared" si="419"/>
        <v>46569</v>
      </c>
      <c r="AR68" s="20">
        <f t="shared" si="419"/>
        <v>46600</v>
      </c>
      <c r="AS68" s="20">
        <f t="shared" si="419"/>
        <v>46631</v>
      </c>
      <c r="AT68" s="20">
        <f t="shared" si="419"/>
        <v>46661</v>
      </c>
      <c r="AU68" s="20">
        <f t="shared" si="419"/>
        <v>46692</v>
      </c>
      <c r="AV68" s="20">
        <f t="shared" si="419"/>
        <v>46722</v>
      </c>
      <c r="AW68" s="20">
        <f t="shared" si="419"/>
        <v>46753</v>
      </c>
      <c r="AX68" s="21">
        <f t="shared" si="419"/>
        <v>46784</v>
      </c>
      <c r="AY68" s="20">
        <f t="shared" si="419"/>
        <v>46813</v>
      </c>
      <c r="AZ68" s="20">
        <f t="shared" si="419"/>
        <v>46844</v>
      </c>
      <c r="BA68" s="20">
        <f t="shared" si="419"/>
        <v>46874</v>
      </c>
      <c r="BB68" s="20">
        <f t="shared" si="419"/>
        <v>46905</v>
      </c>
      <c r="BC68" s="20">
        <f t="shared" si="419"/>
        <v>46935</v>
      </c>
      <c r="BD68" s="20">
        <f t="shared" si="419"/>
        <v>46966</v>
      </c>
      <c r="BE68" s="20">
        <f t="shared" si="419"/>
        <v>46997</v>
      </c>
      <c r="BF68" s="20">
        <f t="shared" si="419"/>
        <v>47027</v>
      </c>
      <c r="BG68" s="20">
        <f t="shared" si="419"/>
        <v>47058</v>
      </c>
      <c r="BH68" s="20">
        <f t="shared" si="419"/>
        <v>47088</v>
      </c>
      <c r="BI68" s="20">
        <f t="shared" si="419"/>
        <v>47119</v>
      </c>
      <c r="BJ68" s="21">
        <f t="shared" si="419"/>
        <v>47150</v>
      </c>
      <c r="BM68" s="138" t="str">
        <f>BM62</f>
        <v>FY24</v>
      </c>
      <c r="BN68" s="139" t="str">
        <f t="shared" ref="BN68:BO68" si="420">BN62</f>
        <v>FY25</v>
      </c>
      <c r="BO68" s="140" t="str">
        <f t="shared" si="420"/>
        <v>FY26</v>
      </c>
    </row>
    <row r="69" spans="1:67" x14ac:dyDescent="0.35">
      <c r="A69" s="15" t="str">
        <f>A68</f>
        <v>NNPA% - (Stress)-CV</v>
      </c>
      <c r="B69" s="15" t="s">
        <v>188</v>
      </c>
      <c r="C69" s="258">
        <f>'Input - GNPA'!C33</f>
        <v>1.6703051248971652E-2</v>
      </c>
      <c r="D69" s="259">
        <f>'Input - GNPA'!D33</f>
        <v>1.7403230708683982E-2</v>
      </c>
      <c r="E69" s="259">
        <f>'Input - GNPA'!E33</f>
        <v>1.8007106997259888E-2</v>
      </c>
      <c r="F69" s="259">
        <f>'Input - GNPA'!F33</f>
        <v>1.8559089309629347E-2</v>
      </c>
      <c r="G69" s="259">
        <f>'Input - GNPA'!G33</f>
        <v>1.9195281751250026E-2</v>
      </c>
      <c r="H69" s="259">
        <f>'Input - GNPA'!H33</f>
        <v>1.9757106774939092E-2</v>
      </c>
      <c r="I69" s="259">
        <f>'Input - GNPA'!I33</f>
        <v>1.9893629903848305E-2</v>
      </c>
      <c r="J69" s="259">
        <f>'Input - GNPA'!J33</f>
        <v>1.940511752125652E-2</v>
      </c>
      <c r="K69" s="259">
        <f>'Input - GNPA'!K33</f>
        <v>2.0143633185100627E-2</v>
      </c>
      <c r="L69" s="259">
        <f>'Input - GNPA'!L33</f>
        <v>2.0244235264293753E-2</v>
      </c>
      <c r="M69" s="259">
        <f>'Input - GNPA'!M33</f>
        <v>2.1111139189167395E-2</v>
      </c>
      <c r="N69" s="259">
        <f>'Input - GNPA'!N33</f>
        <v>2.1113466485002463E-2</v>
      </c>
      <c r="O69" s="260">
        <f>'Input - GNPA'!O33</f>
        <v>2.1573256951494542E-2</v>
      </c>
      <c r="P69" s="259">
        <f>'Input - GNPA'!P33</f>
        <v>2.2771264507509353E-2</v>
      </c>
      <c r="Q69" s="259">
        <f>'Input - GNPA'!Q33</f>
        <v>2.3656605799307569E-2</v>
      </c>
      <c r="R69" s="259">
        <f>'Input - GNPA'!R33</f>
        <v>2.4554527633440456E-2</v>
      </c>
      <c r="S69" s="259">
        <f>'Input - GNPA'!S33</f>
        <v>2.5703436128207816E-2</v>
      </c>
      <c r="T69" s="259">
        <f>'Input - GNPA'!T33</f>
        <v>2.6733099968671351E-2</v>
      </c>
      <c r="U69" s="259">
        <f>'Input - GNPA'!U33</f>
        <v>2.7742415880146889E-2</v>
      </c>
      <c r="V69" s="259">
        <f>'Input - GNPA'!V33</f>
        <v>2.7282974441723683E-2</v>
      </c>
      <c r="W69" s="259">
        <f>'Input - GNPA'!W33</f>
        <v>2.6786246733688738E-2</v>
      </c>
      <c r="X69" s="259">
        <f>'Input - GNPA'!X33</f>
        <v>2.540799882803027E-2</v>
      </c>
      <c r="Y69" s="259">
        <f>'Input - GNPA'!Y33</f>
        <v>2.496603346962871E-2</v>
      </c>
      <c r="Z69" s="259">
        <f>'Input - GNPA'!Z33</f>
        <v>2.3648411290453735E-2</v>
      </c>
      <c r="AA69" s="260">
        <f>'Input - GNPA'!AA33</f>
        <v>2.3134959731704867E-2</v>
      </c>
      <c r="AB69" s="259">
        <f>'Input - GNPA'!AB33</f>
        <v>2.2734550383403773E-2</v>
      </c>
      <c r="AC69" s="259">
        <f>'Input - GNPA'!AC33</f>
        <v>2.1934221256136928E-2</v>
      </c>
      <c r="AD69" s="259">
        <f>'Input - GNPA'!AD33</f>
        <v>2.1213833188586023E-2</v>
      </c>
      <c r="AE69" s="259">
        <f>'Input - GNPA'!AE33</f>
        <v>2.0636278475202396E-2</v>
      </c>
      <c r="AF69" s="259">
        <f>'Input - GNPA'!AF33</f>
        <v>2.0024771496157855E-2</v>
      </c>
      <c r="AG69" s="259">
        <f>'Input - GNPA'!AG33</f>
        <v>1.925424651581794E-2</v>
      </c>
      <c r="AH69" s="259">
        <f>'Input - GNPA'!AH33</f>
        <v>1.8653593068173022E-2</v>
      </c>
      <c r="AI69" s="259">
        <f>'Input - GNPA'!AI33</f>
        <v>1.803329454675389E-2</v>
      </c>
      <c r="AJ69" s="259">
        <f>'Input - GNPA'!AJ33</f>
        <v>1.706185384771295E-2</v>
      </c>
      <c r="AK69" s="259">
        <f>'Input - GNPA'!AK33</f>
        <v>1.646439380791551E-2</v>
      </c>
      <c r="AL69" s="259">
        <f>'Input - GNPA'!AL33</f>
        <v>1.555569403531131E-2</v>
      </c>
      <c r="AM69" s="260">
        <f>'Input - GNPA'!AM33</f>
        <v>1.4874649696951974E-2</v>
      </c>
      <c r="AN69" s="17">
        <f t="shared" ref="AN69:BJ69" si="421">SUM(AN70:AN72)</f>
        <v>0</v>
      </c>
      <c r="AO69" s="17">
        <f t="shared" si="421"/>
        <v>0</v>
      </c>
      <c r="AP69" s="17">
        <f t="shared" si="421"/>
        <v>0</v>
      </c>
      <c r="AQ69" s="17">
        <f t="shared" si="421"/>
        <v>0</v>
      </c>
      <c r="AR69" s="17">
        <f t="shared" si="421"/>
        <v>0</v>
      </c>
      <c r="AS69" s="17">
        <f t="shared" si="421"/>
        <v>0</v>
      </c>
      <c r="AT69" s="17">
        <f t="shared" si="421"/>
        <v>0</v>
      </c>
      <c r="AU69" s="17">
        <f t="shared" si="421"/>
        <v>0</v>
      </c>
      <c r="AV69" s="17">
        <f t="shared" si="421"/>
        <v>0</v>
      </c>
      <c r="AW69" s="17">
        <f t="shared" si="421"/>
        <v>0</v>
      </c>
      <c r="AX69" s="18">
        <f t="shared" si="421"/>
        <v>0</v>
      </c>
      <c r="AY69" s="17">
        <f t="shared" si="421"/>
        <v>0</v>
      </c>
      <c r="AZ69" s="17">
        <f t="shared" si="421"/>
        <v>0</v>
      </c>
      <c r="BA69" s="17">
        <f t="shared" si="421"/>
        <v>0</v>
      </c>
      <c r="BB69" s="17">
        <f t="shared" si="421"/>
        <v>0</v>
      </c>
      <c r="BC69" s="17">
        <f t="shared" si="421"/>
        <v>0</v>
      </c>
      <c r="BD69" s="17">
        <f t="shared" si="421"/>
        <v>0</v>
      </c>
      <c r="BE69" s="17">
        <f t="shared" si="421"/>
        <v>0</v>
      </c>
      <c r="BF69" s="17">
        <f t="shared" si="421"/>
        <v>0</v>
      </c>
      <c r="BG69" s="17">
        <f t="shared" si="421"/>
        <v>0</v>
      </c>
      <c r="BH69" s="17">
        <f t="shared" si="421"/>
        <v>0</v>
      </c>
      <c r="BI69" s="17">
        <f t="shared" si="421"/>
        <v>0</v>
      </c>
      <c r="BJ69" s="18">
        <f t="shared" si="421"/>
        <v>0</v>
      </c>
      <c r="BM69" s="258">
        <f>O69</f>
        <v>2.1573256951494542E-2</v>
      </c>
      <c r="BN69" s="259">
        <f>AA69</f>
        <v>2.3134959731704867E-2</v>
      </c>
      <c r="BO69" s="260">
        <f>AM69</f>
        <v>1.4874649696951974E-2</v>
      </c>
    </row>
    <row r="70" spans="1:67" x14ac:dyDescent="0.35">
      <c r="A70" s="1" t="str">
        <f t="shared" ref="A70:A72" si="422">A69</f>
        <v>NNPA% - (Stress)-CV</v>
      </c>
      <c r="B70" s="1" t="s">
        <v>157</v>
      </c>
      <c r="C70" s="261">
        <f>'Input - GNPA'!C34</f>
        <v>1.4600840773242467E-2</v>
      </c>
      <c r="D70" s="262">
        <f>'Input - GNPA'!D34</f>
        <v>1.4818427631598356E-2</v>
      </c>
      <c r="E70" s="262">
        <f>'Input - GNPA'!E34</f>
        <v>1.4986237576865602E-2</v>
      </c>
      <c r="F70" s="262">
        <f>'Input - GNPA'!F34</f>
        <v>1.5149235392574208E-2</v>
      </c>
      <c r="G70" s="262">
        <f>'Input - GNPA'!G34</f>
        <v>1.5414876081064672E-2</v>
      </c>
      <c r="H70" s="262">
        <f>'Input - GNPA'!H34</f>
        <v>1.5617757690128029E-2</v>
      </c>
      <c r="I70" s="262">
        <f>'Input - GNPA'!I34</f>
        <v>1.5837006539055697E-2</v>
      </c>
      <c r="J70" s="262">
        <f>'Input - GNPA'!J34</f>
        <v>1.5122789387668775E-2</v>
      </c>
      <c r="K70" s="262">
        <f>'Input - GNPA'!K34</f>
        <v>1.551552622321147E-2</v>
      </c>
      <c r="L70" s="262">
        <f>'Input - GNPA'!L34</f>
        <v>1.5915947543528212E-2</v>
      </c>
      <c r="M70" s="262">
        <f>'Input - GNPA'!M34</f>
        <v>1.6354994153132348E-2</v>
      </c>
      <c r="N70" s="262">
        <f>'Input - GNPA'!N34</f>
        <v>1.6773115312134049E-2</v>
      </c>
      <c r="O70" s="263">
        <f>'Input - GNPA'!O34</f>
        <v>1.6938401733481386E-2</v>
      </c>
      <c r="P70" s="262">
        <f>'Input - GNPA'!P34</f>
        <v>1.7764229395720119E-2</v>
      </c>
      <c r="Q70" s="262">
        <f>'Input - GNPA'!Q34</f>
        <v>1.8181787766922041E-2</v>
      </c>
      <c r="R70" s="262">
        <f>'Input - GNPA'!R34</f>
        <v>1.8619997219744163E-2</v>
      </c>
      <c r="S70" s="262">
        <f>'Input - GNPA'!S34</f>
        <v>1.9313059760668695E-2</v>
      </c>
      <c r="T70" s="262">
        <f>'Input - GNPA'!T34</f>
        <v>1.9848775966044525E-2</v>
      </c>
      <c r="U70" s="262">
        <f>'Input - GNPA'!U34</f>
        <v>2.0317777415696365E-2</v>
      </c>
      <c r="V70" s="262">
        <f>'Input - GNPA'!V34</f>
        <v>1.9979378549709426E-2</v>
      </c>
      <c r="W70" s="262">
        <f>'Input - GNPA'!W34</f>
        <v>1.9613576105990162E-2</v>
      </c>
      <c r="X70" s="262">
        <f>'Input - GNPA'!X34</f>
        <v>1.9235399369096701E-2</v>
      </c>
      <c r="Y70" s="262">
        <f>'Input - GNPA'!Y34</f>
        <v>1.8878975910995448E-2</v>
      </c>
      <c r="Z70" s="262">
        <f>'Input - GNPA'!Z34</f>
        <v>1.8489121799833429E-2</v>
      </c>
      <c r="AA70" s="263">
        <f>'Input - GNPA'!AA34</f>
        <v>1.8054692427760904E-2</v>
      </c>
      <c r="AB70" s="262">
        <f>'Input - GNPA'!AB34</f>
        <v>1.7964163117292757E-2</v>
      </c>
      <c r="AC70" s="262">
        <f>'Input - GNPA'!AC34</f>
        <v>1.7355811863380269E-2</v>
      </c>
      <c r="AD70" s="262">
        <f>'Input - GNPA'!AD34</f>
        <v>1.6793246906830796E-2</v>
      </c>
      <c r="AE70" s="262">
        <f>'Input - GNPA'!AE34</f>
        <v>1.6368251300007165E-2</v>
      </c>
      <c r="AF70" s="262">
        <f>'Input - GNPA'!AF34</f>
        <v>1.5920750360597577E-2</v>
      </c>
      <c r="AG70" s="262">
        <f>'Input - GNPA'!AG34</f>
        <v>1.5485433149483538E-2</v>
      </c>
      <c r="AH70" s="262">
        <f>'Input - GNPA'!AH34</f>
        <v>1.5118491770702716E-2</v>
      </c>
      <c r="AI70" s="262">
        <f>'Input - GNPA'!AI34</f>
        <v>1.4733294398810817E-2</v>
      </c>
      <c r="AJ70" s="262">
        <f>'Input - GNPA'!AJ34</f>
        <v>1.4326184995635365E-2</v>
      </c>
      <c r="AK70" s="262">
        <f>'Input - GNPA'!AK34</f>
        <v>1.393757260023407E-2</v>
      </c>
      <c r="AL70" s="262">
        <f>'Input - GNPA'!AL34</f>
        <v>1.3520628921030594E-2</v>
      </c>
      <c r="AM70" s="263">
        <f>'Input - GNPA'!AM34</f>
        <v>1.3061285581986663E-2</v>
      </c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4"/>
      <c r="AY70" s="53"/>
      <c r="AZ70" s="53"/>
      <c r="BA70" s="53"/>
      <c r="BB70" s="53"/>
      <c r="BC70" s="53"/>
      <c r="BD70" s="53"/>
      <c r="BE70" s="53"/>
      <c r="BF70" s="53"/>
      <c r="BG70" s="53"/>
      <c r="BH70" s="53"/>
      <c r="BI70" s="53"/>
      <c r="BJ70" s="54"/>
      <c r="BM70" s="264">
        <f>O70</f>
        <v>1.6938401733481386E-2</v>
      </c>
      <c r="BN70" s="265">
        <f>AA70</f>
        <v>1.8054692427760904E-2</v>
      </c>
      <c r="BO70" s="266">
        <f>AM70</f>
        <v>1.3061285581986663E-2</v>
      </c>
    </row>
    <row r="71" spans="1:67" x14ac:dyDescent="0.35">
      <c r="A71" s="2" t="str">
        <f t="shared" si="422"/>
        <v>NNPA% - (Stress)-CV</v>
      </c>
      <c r="B71" s="2" t="s">
        <v>158</v>
      </c>
      <c r="C71" s="264">
        <f>'Input - GNPA'!C35</f>
        <v>2.9102133321601057E-2</v>
      </c>
      <c r="D71" s="265">
        <f>'Input - GNPA'!D35</f>
        <v>3.0190597366683756E-2</v>
      </c>
      <c r="E71" s="265">
        <f>'Input - GNPA'!E35</f>
        <v>3.1681710597584824E-2</v>
      </c>
      <c r="F71" s="265">
        <f>'Input - GNPA'!F35</f>
        <v>3.2976459809285284E-2</v>
      </c>
      <c r="G71" s="265">
        <f>'Input - GNPA'!G35</f>
        <v>3.4348981539102957E-2</v>
      </c>
      <c r="H71" s="265">
        <f>'Input - GNPA'!H35</f>
        <v>3.5593392645018325E-2</v>
      </c>
      <c r="I71" s="265">
        <f>'Input - GNPA'!I35</f>
        <v>3.6600921405161108E-2</v>
      </c>
      <c r="J71" s="265">
        <f>'Input - GNPA'!J35</f>
        <v>3.6188120912975165E-2</v>
      </c>
      <c r="K71" s="265">
        <f>'Input - GNPA'!K35</f>
        <v>3.7647273960760216E-2</v>
      </c>
      <c r="L71" s="265">
        <f>'Input - GNPA'!L35</f>
        <v>3.9030137921427212E-2</v>
      </c>
      <c r="M71" s="265">
        <f>'Input - GNPA'!M35</f>
        <v>4.0919896258687236E-2</v>
      </c>
      <c r="N71" s="265">
        <f>'Input - GNPA'!N35</f>
        <v>4.2109670743251559E-2</v>
      </c>
      <c r="O71" s="266">
        <f>'Input - GNPA'!O35</f>
        <v>4.303173758360241E-2</v>
      </c>
      <c r="P71" s="265">
        <f>'Input - GNPA'!P35</f>
        <v>4.5233923355968389E-2</v>
      </c>
      <c r="Q71" s="265">
        <f>'Input - GNPA'!Q35</f>
        <v>4.7304928781520532E-2</v>
      </c>
      <c r="R71" s="265">
        <f>'Input - GNPA'!R35</f>
        <v>4.9351272266825438E-2</v>
      </c>
      <c r="S71" s="265">
        <f>'Input - GNPA'!S35</f>
        <v>5.1609093902981379E-2</v>
      </c>
      <c r="T71" s="265">
        <f>'Input - GNPA'!T35</f>
        <v>5.3833854113620079E-2</v>
      </c>
      <c r="U71" s="265">
        <f>'Input - GNPA'!U35</f>
        <v>5.6136324750654089E-2</v>
      </c>
      <c r="V71" s="265">
        <f>'Input - GNPA'!V35</f>
        <v>5.4661381137612257E-2</v>
      </c>
      <c r="W71" s="265">
        <f>'Input - GNPA'!W35</f>
        <v>5.3117090039295822E-2</v>
      </c>
      <c r="X71" s="265">
        <f>'Input - GNPA'!X35</f>
        <v>5.1511754767409212E-2</v>
      </c>
      <c r="Y71" s="265">
        <f>'Input - GNPA'!Y35</f>
        <v>5.001992907350826E-2</v>
      </c>
      <c r="Z71" s="265">
        <f>'Input - GNPA'!Z35</f>
        <v>4.8316963740247187E-2</v>
      </c>
      <c r="AA71" s="266">
        <f>'Input - GNPA'!AA35</f>
        <v>4.6676748287236357E-2</v>
      </c>
      <c r="AB71" s="265">
        <f>'Input - GNPA'!AB35</f>
        <v>4.4486650122360888E-2</v>
      </c>
      <c r="AC71" s="265">
        <f>'Input - GNPA'!AC35</f>
        <v>4.2544758220293799E-2</v>
      </c>
      <c r="AD71" s="265">
        <f>'Input - GNPA'!AD35</f>
        <v>4.0645343289897572E-2</v>
      </c>
      <c r="AE71" s="265">
        <f>'Input - GNPA'!AE35</f>
        <v>3.9017394717094193E-2</v>
      </c>
      <c r="AF71" s="265">
        <f>'Input - GNPA'!AF35</f>
        <v>3.7388230796589476E-2</v>
      </c>
      <c r="AG71" s="265">
        <f>'Input - GNPA'!AG35</f>
        <v>3.5730480536332349E-2</v>
      </c>
      <c r="AH71" s="265">
        <f>'Input - GNPA'!AH35</f>
        <v>3.4143235805323559E-2</v>
      </c>
      <c r="AI71" s="265">
        <f>'Input - GNPA'!AI35</f>
        <v>3.247934312468953E-2</v>
      </c>
      <c r="AJ71" s="265">
        <f>'Input - GNPA'!AJ35</f>
        <v>3.0754420309611605E-2</v>
      </c>
      <c r="AK71" s="265">
        <f>'Input - GNPA'!AK35</f>
        <v>2.9077910868880806E-2</v>
      </c>
      <c r="AL71" s="265">
        <f>'Input - GNPA'!AL35</f>
        <v>2.7284996724286827E-2</v>
      </c>
      <c r="AM71" s="266">
        <f>'Input - GNPA'!AM35</f>
        <v>2.5511848315601507E-2</v>
      </c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7"/>
      <c r="AY71" s="56"/>
      <c r="AZ71" s="56"/>
      <c r="BA71" s="56"/>
      <c r="BB71" s="56"/>
      <c r="BC71" s="56"/>
      <c r="BD71" s="56"/>
      <c r="BE71" s="56"/>
      <c r="BF71" s="56"/>
      <c r="BG71" s="56"/>
      <c r="BH71" s="56"/>
      <c r="BI71" s="56"/>
      <c r="BJ71" s="57"/>
      <c r="BM71" s="264">
        <f t="shared" ref="BM71:BM72" si="423">O71</f>
        <v>4.303173758360241E-2</v>
      </c>
      <c r="BN71" s="265">
        <f t="shared" ref="BN71:BN72" si="424">AA71</f>
        <v>4.6676748287236357E-2</v>
      </c>
      <c r="BO71" s="266">
        <f t="shared" ref="BO71:BO72" si="425">AM71</f>
        <v>2.5511848315601507E-2</v>
      </c>
    </row>
    <row r="72" spans="1:67" x14ac:dyDescent="0.35">
      <c r="A72" s="3" t="str">
        <f t="shared" si="422"/>
        <v>NNPA% - (Stress)-CV</v>
      </c>
      <c r="B72" s="3" t="s">
        <v>159</v>
      </c>
      <c r="C72" s="267">
        <f>'Input - GNPA'!C36</f>
        <v>0</v>
      </c>
      <c r="D72" s="268">
        <f>'Input - GNPA'!D36</f>
        <v>1.2176981750107541E-3</v>
      </c>
      <c r="E72" s="268">
        <f>'Input - GNPA'!E36</f>
        <v>1.2148573473617095E-3</v>
      </c>
      <c r="F72" s="268">
        <f>'Input - GNPA'!F36</f>
        <v>1.2042320827807807E-3</v>
      </c>
      <c r="G72" s="268">
        <f>'Input - GNPA'!G36</f>
        <v>1.182872322658509E-3</v>
      </c>
      <c r="H72" s="268">
        <f>'Input - GNPA'!H36</f>
        <v>1.1525643024686656E-3</v>
      </c>
      <c r="I72" s="268">
        <f>'Input - GNPA'!I36</f>
        <v>1.1186940208208977E-3</v>
      </c>
      <c r="J72" s="268">
        <f>'Input - GNPA'!J36</f>
        <v>1.0823128873122822E-3</v>
      </c>
      <c r="K72" s="268">
        <f>'Input - GNPA'!K36</f>
        <v>1.0503480348453109E-3</v>
      </c>
      <c r="L72" s="268">
        <f>'Input - GNPA'!L36</f>
        <v>1.0164217145032135E-3</v>
      </c>
      <c r="M72" s="268">
        <f>'Input - GNPA'!M36</f>
        <v>9.8130914415235702E-4</v>
      </c>
      <c r="N72" s="268">
        <f>'Input - GNPA'!N36</f>
        <v>9.4811685455051405E-4</v>
      </c>
      <c r="O72" s="269">
        <f>'Input - GNPA'!O36</f>
        <v>8.9871262207699449E-4</v>
      </c>
      <c r="P72" s="268">
        <f>'Input - GNPA'!P36</f>
        <v>9.1021828367262528E-4</v>
      </c>
      <c r="Q72" s="268">
        <f>'Input - GNPA'!Q36</f>
        <v>9.1587473511002679E-4</v>
      </c>
      <c r="R72" s="268">
        <f>'Input - GNPA'!R36</f>
        <v>9.1585185559355659E-4</v>
      </c>
      <c r="S72" s="268">
        <f>'Input - GNPA'!S36</f>
        <v>9.0787742381335504E-4</v>
      </c>
      <c r="T72" s="268">
        <f>'Input - GNPA'!T36</f>
        <v>8.928490684907166E-4</v>
      </c>
      <c r="U72" s="268">
        <f>'Input - GNPA'!U36</f>
        <v>8.7432755037081527E-4</v>
      </c>
      <c r="V72" s="268">
        <f>'Input - GNPA'!V36</f>
        <v>8.5301290346471764E-4</v>
      </c>
      <c r="W72" s="268">
        <f>'Input - GNPA'!W36</f>
        <v>8.3398731955136151E-4</v>
      </c>
      <c r="X72" s="268">
        <f>'Input - GNPA'!X36</f>
        <v>8.1270281306080705E-4</v>
      </c>
      <c r="Y72" s="268">
        <f>'Input - GNPA'!Y36</f>
        <v>7.897488921907881E-4</v>
      </c>
      <c r="Z72" s="268">
        <f>'Input - GNPA'!Z36</f>
        <v>7.6753029855832031E-4</v>
      </c>
      <c r="AA72" s="269">
        <f>'Input - GNPA'!AA36</f>
        <v>7.321306278622624E-4</v>
      </c>
      <c r="AB72" s="268">
        <f>'Input - GNPA'!AB36</f>
        <v>7.4418516841620358E-4</v>
      </c>
      <c r="AC72" s="268">
        <f>'Input - GNPA'!AC36</f>
        <v>7.5169023851568871E-4</v>
      </c>
      <c r="AD72" s="268">
        <f>'Input - GNPA'!AD36</f>
        <v>7.5467817350341406E-4</v>
      </c>
      <c r="AE72" s="268">
        <f>'Input - GNPA'!AE36</f>
        <v>7.5127481290903264E-4</v>
      </c>
      <c r="AF72" s="268">
        <f>'Input - GNPA'!AF36</f>
        <v>7.420491524407041E-4</v>
      </c>
      <c r="AG72" s="268">
        <f>'Input - GNPA'!AG36</f>
        <v>7.2971748149658268E-4</v>
      </c>
      <c r="AH72" s="268">
        <f>'Input - GNPA'!AH36</f>
        <v>7.1480020132289154E-4</v>
      </c>
      <c r="AI72" s="268">
        <f>'Input - GNPA'!AI36</f>
        <v>7.013829162420697E-4</v>
      </c>
      <c r="AJ72" s="268">
        <f>'Input - GNPA'!AJ36</f>
        <v>6.858305237425321E-4</v>
      </c>
      <c r="AK72" s="268">
        <f>'Input - GNPA'!AK36</f>
        <v>6.6861498730548161E-4</v>
      </c>
      <c r="AL72" s="268">
        <f>'Input - GNPA'!AL36</f>
        <v>6.5171848228205524E-4</v>
      </c>
      <c r="AM72" s="269">
        <f>'Input - GNPA'!AM36</f>
        <v>6.2364155572436743E-4</v>
      </c>
      <c r="AN72" s="59"/>
      <c r="AO72" s="59"/>
      <c r="AP72" s="59"/>
      <c r="AQ72" s="59"/>
      <c r="AR72" s="59"/>
      <c r="AS72" s="59"/>
      <c r="AT72" s="59"/>
      <c r="AU72" s="59"/>
      <c r="AV72" s="59"/>
      <c r="AW72" s="59"/>
      <c r="AX72" s="60"/>
      <c r="AY72" s="59"/>
      <c r="AZ72" s="59"/>
      <c r="BA72" s="59"/>
      <c r="BB72" s="59"/>
      <c r="BC72" s="59"/>
      <c r="BD72" s="59"/>
      <c r="BE72" s="59"/>
      <c r="BF72" s="59"/>
      <c r="BG72" s="59"/>
      <c r="BH72" s="59"/>
      <c r="BI72" s="59"/>
      <c r="BJ72" s="60"/>
      <c r="BM72" s="267">
        <f t="shared" si="423"/>
        <v>8.9871262207699449E-4</v>
      </c>
      <c r="BN72" s="268">
        <f t="shared" si="424"/>
        <v>7.321306278622624E-4</v>
      </c>
      <c r="BO72" s="269">
        <f t="shared" si="425"/>
        <v>6.2364155572436743E-4</v>
      </c>
    </row>
  </sheetData>
  <mergeCells count="1">
    <mergeCell ref="BM1:BO1"/>
  </mergeCells>
  <conditionalFormatting sqref="C3:BJ3">
    <cfRule type="expression" dxfId="362" priority="214">
      <formula>C$1="SL3"</formula>
    </cfRule>
    <cfRule type="expression" dxfId="361" priority="215">
      <formula>C$1="SL2"</formula>
    </cfRule>
    <cfRule type="expression" dxfId="360" priority="216">
      <formula>C$1="SL1"</formula>
    </cfRule>
  </conditionalFormatting>
  <conditionalFormatting sqref="C9:BJ9">
    <cfRule type="expression" dxfId="359" priority="211">
      <formula>C$1="SL3"</formula>
    </cfRule>
    <cfRule type="expression" dxfId="358" priority="212">
      <formula>C$1="SL2"</formula>
    </cfRule>
    <cfRule type="expression" dxfId="357" priority="213">
      <formula>C$1="SL1"</formula>
    </cfRule>
  </conditionalFormatting>
  <conditionalFormatting sqref="C15:BJ15">
    <cfRule type="expression" dxfId="356" priority="166">
      <formula>C$1="SL3"</formula>
    </cfRule>
    <cfRule type="expression" dxfId="355" priority="167">
      <formula>C$1="SL2"</formula>
    </cfRule>
    <cfRule type="expression" dxfId="354" priority="168">
      <formula>C$1="SL1"</formula>
    </cfRule>
  </conditionalFormatting>
  <conditionalFormatting sqref="C21:BJ21">
    <cfRule type="expression" dxfId="353" priority="163">
      <formula>C$1="SL3"</formula>
    </cfRule>
    <cfRule type="expression" dxfId="352" priority="164">
      <formula>C$1="SL2"</formula>
    </cfRule>
    <cfRule type="expression" dxfId="351" priority="165">
      <formula>C$1="SL1"</formula>
    </cfRule>
  </conditionalFormatting>
  <conditionalFormatting sqref="C27:BJ27">
    <cfRule type="expression" dxfId="350" priority="154">
      <formula>C$1="SL3"</formula>
    </cfRule>
    <cfRule type="expression" dxfId="349" priority="155">
      <formula>C$1="SL2"</formula>
    </cfRule>
    <cfRule type="expression" dxfId="348" priority="156">
      <formula>C$1="SL1"</formula>
    </cfRule>
  </conditionalFormatting>
  <conditionalFormatting sqref="C33:BJ33">
    <cfRule type="expression" dxfId="347" priority="151">
      <formula>C$1="SL3"</formula>
    </cfRule>
    <cfRule type="expression" dxfId="346" priority="152">
      <formula>C$1="SL2"</formula>
    </cfRule>
    <cfRule type="expression" dxfId="345" priority="153">
      <formula>C$1="SL1"</formula>
    </cfRule>
  </conditionalFormatting>
  <conditionalFormatting sqref="C39:BJ39">
    <cfRule type="expression" dxfId="344" priority="148">
      <formula>C$1="SL3"</formula>
    </cfRule>
    <cfRule type="expression" dxfId="343" priority="149">
      <formula>C$1="SL2"</formula>
    </cfRule>
    <cfRule type="expression" dxfId="342" priority="150">
      <formula>C$1="SL1"</formula>
    </cfRule>
  </conditionalFormatting>
  <conditionalFormatting sqref="C45:BJ45">
    <cfRule type="expression" dxfId="341" priority="139">
      <formula>C$1="SL3"</formula>
    </cfRule>
    <cfRule type="expression" dxfId="340" priority="140">
      <formula>C$1="SL2"</formula>
    </cfRule>
    <cfRule type="expression" dxfId="339" priority="141">
      <formula>C$1="SL1"</formula>
    </cfRule>
  </conditionalFormatting>
  <conditionalFormatting sqref="C51:BJ51">
    <cfRule type="expression" dxfId="338" priority="145">
      <formula>C$1="SL3"</formula>
    </cfRule>
    <cfRule type="expression" dxfId="337" priority="146">
      <formula>C$1="SL2"</formula>
    </cfRule>
    <cfRule type="expression" dxfId="336" priority="147">
      <formula>C$1="SL1"</formula>
    </cfRule>
  </conditionalFormatting>
  <conditionalFormatting sqref="C57:BJ57">
    <cfRule type="expression" dxfId="335" priority="142">
      <formula>C$1="SL3"</formula>
    </cfRule>
    <cfRule type="expression" dxfId="334" priority="143">
      <formula>C$1="SL2"</formula>
    </cfRule>
    <cfRule type="expression" dxfId="333" priority="144">
      <formula>C$1="SL1"</formula>
    </cfRule>
  </conditionalFormatting>
  <conditionalFormatting sqref="C63:BJ63">
    <cfRule type="expression" dxfId="332" priority="160">
      <formula>C$1="SL3"</formula>
    </cfRule>
    <cfRule type="expression" dxfId="331" priority="161">
      <formula>C$1="SL2"</formula>
    </cfRule>
    <cfRule type="expression" dxfId="330" priority="162">
      <formula>C$1="SL1"</formula>
    </cfRule>
  </conditionalFormatting>
  <conditionalFormatting sqref="C69:BJ69">
    <cfRule type="expression" dxfId="329" priority="157">
      <formula>C$1="SL3"</formula>
    </cfRule>
    <cfRule type="expression" dxfId="328" priority="158">
      <formula>C$1="SL2"</formula>
    </cfRule>
    <cfRule type="expression" dxfId="327" priority="159">
      <formula>C$1="SL1"</formula>
    </cfRule>
  </conditionalFormatting>
  <conditionalFormatting sqref="BM3:BO3">
    <cfRule type="expression" dxfId="326" priority="136">
      <formula>BM$1="SL3"</formula>
    </cfRule>
    <cfRule type="expression" dxfId="325" priority="137">
      <formula>BM$1="SL2"</formula>
    </cfRule>
    <cfRule type="expression" dxfId="324" priority="138">
      <formula>BM$1="SL1"</formula>
    </cfRule>
  </conditionalFormatting>
  <conditionalFormatting sqref="BM9:BO9">
    <cfRule type="expression" dxfId="323" priority="25">
      <formula>BM$1="SL3"</formula>
    </cfRule>
    <cfRule type="expression" dxfId="322" priority="26">
      <formula>BM$1="SL2"</formula>
    </cfRule>
    <cfRule type="expression" dxfId="321" priority="27">
      <formula>BM$1="SL1"</formula>
    </cfRule>
  </conditionalFormatting>
  <conditionalFormatting sqref="BM15:BO15">
    <cfRule type="expression" dxfId="320" priority="22">
      <formula>BM$1="SL3"</formula>
    </cfRule>
    <cfRule type="expression" dxfId="319" priority="23">
      <formula>BM$1="SL2"</formula>
    </cfRule>
    <cfRule type="expression" dxfId="318" priority="24">
      <formula>BM$1="SL1"</formula>
    </cfRule>
  </conditionalFormatting>
  <conditionalFormatting sqref="BM21:BO21">
    <cfRule type="expression" dxfId="317" priority="19">
      <formula>BM$1="SL3"</formula>
    </cfRule>
    <cfRule type="expression" dxfId="316" priority="20">
      <formula>BM$1="SL2"</formula>
    </cfRule>
    <cfRule type="expression" dxfId="315" priority="21">
      <formula>BM$1="SL1"</formula>
    </cfRule>
  </conditionalFormatting>
  <conditionalFormatting sqref="BM27:BO27">
    <cfRule type="expression" dxfId="314" priority="16">
      <formula>BM$1="SL3"</formula>
    </cfRule>
    <cfRule type="expression" dxfId="313" priority="17">
      <formula>BM$1="SL2"</formula>
    </cfRule>
    <cfRule type="expression" dxfId="312" priority="18">
      <formula>BM$1="SL1"</formula>
    </cfRule>
  </conditionalFormatting>
  <conditionalFormatting sqref="BM33:BO33">
    <cfRule type="expression" dxfId="311" priority="13">
      <formula>BM$1="SL3"</formula>
    </cfRule>
    <cfRule type="expression" dxfId="310" priority="14">
      <formula>BM$1="SL2"</formula>
    </cfRule>
    <cfRule type="expression" dxfId="309" priority="15">
      <formula>BM$1="SL1"</formula>
    </cfRule>
  </conditionalFormatting>
  <conditionalFormatting sqref="BM39:BO39">
    <cfRule type="expression" dxfId="308" priority="10">
      <formula>BM$1="SL3"</formula>
    </cfRule>
    <cfRule type="expression" dxfId="307" priority="11">
      <formula>BM$1="SL2"</formula>
    </cfRule>
    <cfRule type="expression" dxfId="306" priority="12">
      <formula>BM$1="SL1"</formula>
    </cfRule>
  </conditionalFormatting>
  <conditionalFormatting sqref="BM45:BO45">
    <cfRule type="expression" dxfId="305" priority="7">
      <formula>BM$1="SL3"</formula>
    </cfRule>
    <cfRule type="expression" dxfId="304" priority="8">
      <formula>BM$1="SL2"</formula>
    </cfRule>
    <cfRule type="expression" dxfId="303" priority="9">
      <formula>BM$1="SL1"</formula>
    </cfRule>
  </conditionalFormatting>
  <conditionalFormatting sqref="BM51:BO51">
    <cfRule type="expression" dxfId="302" priority="4">
      <formula>BM$1="SL3"</formula>
    </cfRule>
    <cfRule type="expression" dxfId="301" priority="5">
      <formula>BM$1="SL2"</formula>
    </cfRule>
    <cfRule type="expression" dxfId="300" priority="6">
      <formula>BM$1="SL1"</formula>
    </cfRule>
  </conditionalFormatting>
  <conditionalFormatting sqref="BM57:BO57">
    <cfRule type="expression" dxfId="299" priority="1">
      <formula>BM$1="SL3"</formula>
    </cfRule>
    <cfRule type="expression" dxfId="298" priority="2">
      <formula>BM$1="SL2"</formula>
    </cfRule>
    <cfRule type="expression" dxfId="297" priority="3">
      <formula>BM$1="SL1"</formula>
    </cfRule>
  </conditionalFormatting>
  <conditionalFormatting sqref="BM63:BO63">
    <cfRule type="expression" dxfId="296" priority="28">
      <formula>BM$1="SL3"</formula>
    </cfRule>
    <cfRule type="expression" dxfId="295" priority="29">
      <formula>BM$1="SL2"</formula>
    </cfRule>
    <cfRule type="expression" dxfId="294" priority="30">
      <formula>BM$1="SL1"</formula>
    </cfRule>
  </conditionalFormatting>
  <conditionalFormatting sqref="BM69:BO69">
    <cfRule type="expression" dxfId="293" priority="31">
      <formula>BM$1="SL3"</formula>
    </cfRule>
    <cfRule type="expression" dxfId="292" priority="32">
      <formula>BM$1="SL2"</formula>
    </cfRule>
    <cfRule type="expression" dxfId="291" priority="33">
      <formula>BM$1="SL1"</formula>
    </cfRule>
  </conditionalFormatting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B1:N17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I16" sqref="I16"/>
    </sheetView>
  </sheetViews>
  <sheetFormatPr defaultRowHeight="14.5" x14ac:dyDescent="0.35"/>
  <cols>
    <col min="1" max="1" width="5.81640625" customWidth="1"/>
    <col min="2" max="2" width="9.81640625" bestFit="1" customWidth="1"/>
    <col min="3" max="3" width="10.1796875" bestFit="1" customWidth="1"/>
    <col min="7" max="7" width="5.81640625" customWidth="1"/>
    <col min="11" max="11" width="5.81640625" customWidth="1"/>
  </cols>
  <sheetData>
    <row r="1" spans="2:14" x14ac:dyDescent="0.35">
      <c r="D1" s="344" t="s">
        <v>19</v>
      </c>
      <c r="E1" s="345"/>
      <c r="F1" s="346"/>
      <c r="H1" s="344" t="s">
        <v>20</v>
      </c>
      <c r="I1" s="345"/>
      <c r="J1" s="346"/>
      <c r="L1" s="344" t="s">
        <v>150</v>
      </c>
      <c r="M1" s="345"/>
      <c r="N1" s="346"/>
    </row>
    <row r="2" spans="2:14" x14ac:dyDescent="0.35">
      <c r="B2" s="15" t="s">
        <v>18</v>
      </c>
      <c r="C2" s="176" t="s">
        <v>13</v>
      </c>
      <c r="D2" s="22" t="s">
        <v>21</v>
      </c>
      <c r="E2" s="23" t="s">
        <v>22</v>
      </c>
      <c r="F2" s="24" t="s">
        <v>23</v>
      </c>
      <c r="H2" s="22" t="s">
        <v>21</v>
      </c>
      <c r="I2" s="23" t="s">
        <v>22</v>
      </c>
      <c r="J2" s="24" t="s">
        <v>23</v>
      </c>
      <c r="L2" s="22" t="s">
        <v>21</v>
      </c>
      <c r="M2" s="23" t="s">
        <v>22</v>
      </c>
      <c r="N2" s="24" t="s">
        <v>23</v>
      </c>
    </row>
    <row r="3" spans="2:14" x14ac:dyDescent="0.35">
      <c r="B3" s="1" t="s">
        <v>188</v>
      </c>
      <c r="C3" s="151" t="s">
        <v>147</v>
      </c>
      <c r="D3" s="209">
        <f>SUM(D7,D11,D15)</f>
        <v>197.57232193589351</v>
      </c>
      <c r="E3" s="210">
        <f t="shared" ref="E3:F3" si="0">SUM(E7,E11,E15)</f>
        <v>601.98460122413212</v>
      </c>
      <c r="F3" s="211">
        <f t="shared" si="0"/>
        <v>542.51289384851191</v>
      </c>
      <c r="H3" s="218">
        <f>SUM(H7,H11,H15)</f>
        <v>198.18763909977434</v>
      </c>
      <c r="I3" s="221">
        <f t="shared" ref="I3:J3" si="1">SUM(I7,I11,I15)</f>
        <v>680.59102142544612</v>
      </c>
      <c r="J3" s="224">
        <f t="shared" si="1"/>
        <v>733.4163736584818</v>
      </c>
      <c r="L3" s="209">
        <f>H3-D3</f>
        <v>0.61531716388083169</v>
      </c>
      <c r="M3" s="210">
        <f t="shared" ref="M3:M5" si="2">I3-E3</f>
        <v>78.606420201313995</v>
      </c>
      <c r="N3" s="211">
        <f t="shared" ref="N3:N5" si="3">J3-F3</f>
        <v>190.90347980996989</v>
      </c>
    </row>
    <row r="4" spans="2:14" x14ac:dyDescent="0.35">
      <c r="B4" s="2" t="str">
        <f>B3</f>
        <v>SMHFC</v>
      </c>
      <c r="C4" s="152" t="s">
        <v>148</v>
      </c>
      <c r="D4" s="212">
        <f t="shared" ref="D4:F4" si="4">SUM(D8,D12,D16)</f>
        <v>124.14198954069336</v>
      </c>
      <c r="E4" s="213">
        <f t="shared" si="4"/>
        <v>160.88566894709317</v>
      </c>
      <c r="F4" s="214">
        <f t="shared" si="4"/>
        <v>340.22177649957365</v>
      </c>
      <c r="H4" s="219">
        <f t="shared" ref="H4:J4" si="5">SUM(H8,H12,H16)</f>
        <v>272.44621446044738</v>
      </c>
      <c r="I4" s="222">
        <f t="shared" si="5"/>
        <v>542.14003998812916</v>
      </c>
      <c r="J4" s="225">
        <f t="shared" si="5"/>
        <v>-298.04612299527741</v>
      </c>
      <c r="L4" s="212">
        <f t="shared" ref="L4:L5" si="6">H4-D4</f>
        <v>148.30422491975401</v>
      </c>
      <c r="M4" s="213">
        <f t="shared" si="2"/>
        <v>381.25437104103599</v>
      </c>
      <c r="N4" s="214">
        <f t="shared" si="3"/>
        <v>-638.26789949485101</v>
      </c>
    </row>
    <row r="5" spans="2:14" x14ac:dyDescent="0.35">
      <c r="B5" s="3" t="str">
        <f>B3</f>
        <v>SMHFC</v>
      </c>
      <c r="C5" s="153" t="s">
        <v>149</v>
      </c>
      <c r="D5" s="215">
        <f t="shared" ref="D5:F5" si="7">SUM(D9,D13,D17)</f>
        <v>321.71431147658689</v>
      </c>
      <c r="E5" s="216">
        <f t="shared" si="7"/>
        <v>762.87027017122534</v>
      </c>
      <c r="F5" s="217">
        <f t="shared" si="7"/>
        <v>882.7346703480855</v>
      </c>
      <c r="H5" s="220">
        <f t="shared" ref="H5:J5" si="8">SUM(H9,H13,H17)</f>
        <v>470.63385356022172</v>
      </c>
      <c r="I5" s="223">
        <f t="shared" si="8"/>
        <v>1222.7310614135752</v>
      </c>
      <c r="J5" s="226">
        <f t="shared" si="8"/>
        <v>435.37025066320439</v>
      </c>
      <c r="L5" s="215">
        <f t="shared" si="6"/>
        <v>148.91954208363484</v>
      </c>
      <c r="M5" s="216">
        <f t="shared" si="2"/>
        <v>459.86079124234982</v>
      </c>
      <c r="N5" s="217">
        <f t="shared" si="3"/>
        <v>-447.36441968488111</v>
      </c>
    </row>
    <row r="7" spans="2:14" x14ac:dyDescent="0.35">
      <c r="B7" s="1" t="s">
        <v>157</v>
      </c>
      <c r="C7" s="151" t="s">
        <v>147</v>
      </c>
      <c r="D7" s="209">
        <f>SUMIF('Calculation - NCL and ECL'!$E$1:$AN$1,$D$2,'Calculation - NCL and ECL'!$E7:$AN7)</f>
        <v>107.03861820878925</v>
      </c>
      <c r="E7" s="210">
        <f>SUMIF('Calculation - NCL and ECL'!$E$1:$AN$1,$E$2,'Calculation - NCL and ECL'!$E7:$AN7)</f>
        <v>299.21568186062524</v>
      </c>
      <c r="F7" s="211">
        <f>SUMIF('Calculation - NCL and ECL'!$E$1:$AN$1,$F$2,'Calculation - NCL and ECL'!$E7:$AN7)</f>
        <v>378.03542916215389</v>
      </c>
      <c r="H7" s="218">
        <f>SUMIF('Calculation - NCL and ECL'!$E$1:$AN$1,$H$2,'Calculation - NCL and ECL'!$E16:$AN16)</f>
        <v>108.28747239894918</v>
      </c>
      <c r="I7" s="221">
        <f>SUMIF('Calculation - NCL and ECL'!$E$1:$AN$1,$I$2,'Calculation - NCL and ECL'!$E16:$AN16)</f>
        <v>346.02410300323794</v>
      </c>
      <c r="J7" s="224">
        <f>SUMIF('Calculation - NCL and ECL'!$E$1:$AN$1,$J$2,'Calculation - NCL and ECL'!$E16:$AN16)</f>
        <v>529.10787258655057</v>
      </c>
      <c r="L7" s="209">
        <f>H7-D7</f>
        <v>1.2488541901599319</v>
      </c>
      <c r="M7" s="210">
        <f t="shared" ref="M7:M9" si="9">I7-E7</f>
        <v>46.808421142612701</v>
      </c>
      <c r="N7" s="211">
        <f t="shared" ref="N7:N9" si="10">J7-F7</f>
        <v>151.07244342439668</v>
      </c>
    </row>
    <row r="8" spans="2:14" x14ac:dyDescent="0.35">
      <c r="B8" s="2" t="str">
        <f>B7</f>
        <v>HL</v>
      </c>
      <c r="C8" s="152" t="s">
        <v>148</v>
      </c>
      <c r="D8" s="212">
        <f>SUMIF('Calculation - NCL and ECL'!$E$1:$AN$1,$D$2,'Calculation - NCL and ECL'!$E19:$AN19)+SUMIF('Calculation - NCL and ECL'!$E$1:$AN$1,$D$2,'Calculation - NCL and ECL'!$E37:$AN37)</f>
        <v>105.34105935339969</v>
      </c>
      <c r="E8" s="213">
        <f>SUMIF('Calculation - NCL and ECL'!$E$1:$AN$1,$E$2,'Calculation - NCL and ECL'!$E19:$AN19)+SUMIF('Calculation - NCL and ECL'!$E$1:$AN$1,$E$2,'Calculation - NCL and ECL'!$E37:$AN37)</f>
        <v>201.29441539236672</v>
      </c>
      <c r="F8" s="214">
        <f>SUMIF('Calculation - NCL and ECL'!$E$1:$AN$1,$F$2,'Calculation - NCL and ECL'!$E19:$AN19)+SUMIF('Calculation - NCL and ECL'!$E$1:$AN$1,$F$2,'Calculation - NCL and ECL'!$E37:$AN37)</f>
        <v>277.89182665812137</v>
      </c>
      <c r="H8" s="219">
        <f>SUMIF('Calculation - NCL and ECL'!$E$1:$AN$1,$H$2,'Calculation - NCL and ECL'!$E22:$AN22)+SUMIF('Calculation - NCL and ECL'!$E$1:$AN$1,$H$2,'Calculation - NCL and ECL'!$E37:$AN37)</f>
        <v>172.26822235541167</v>
      </c>
      <c r="I8" s="222">
        <f>SUMIF('Calculation - NCL and ECL'!$E$1:$AN$1,$E$2,'Calculation - NCL and ECL'!$E22:$AN22)+SUMIF('Calculation - NCL and ECL'!$E$1:$AN$1,$E$2,'Calculation - NCL and ECL'!$E37:$AN37)</f>
        <v>389.62508313840004</v>
      </c>
      <c r="J8" s="225">
        <f>SUMIF('Calculation - NCL and ECL'!$E$1:$AN$1,$F$2,'Calculation - NCL and ECL'!$E22:$AN22)+SUMIF('Calculation - NCL and ECL'!$E$1:$AN$1,$F$2,'Calculation - NCL and ECL'!$E37:$AN37)</f>
        <v>-130.82360740569078</v>
      </c>
      <c r="L8" s="212">
        <f t="shared" ref="L8:L9" si="11">H8-D8</f>
        <v>66.92716300201198</v>
      </c>
      <c r="M8" s="213">
        <f t="shared" si="9"/>
        <v>188.33066774603333</v>
      </c>
      <c r="N8" s="214">
        <f t="shared" si="10"/>
        <v>-408.71543406381215</v>
      </c>
    </row>
    <row r="9" spans="2:14" x14ac:dyDescent="0.35">
      <c r="B9" s="3" t="str">
        <f>B7</f>
        <v>HL</v>
      </c>
      <c r="C9" s="153" t="s">
        <v>149</v>
      </c>
      <c r="D9" s="215">
        <f>SUM(D7:D8)</f>
        <v>212.37967756218893</v>
      </c>
      <c r="E9" s="216">
        <f t="shared" ref="E9:F9" si="12">SUM(E7:E8)</f>
        <v>500.51009725299195</v>
      </c>
      <c r="F9" s="217">
        <f t="shared" si="12"/>
        <v>655.92725582027526</v>
      </c>
      <c r="H9" s="220">
        <f>SUM(H7:H8)</f>
        <v>280.55569475436084</v>
      </c>
      <c r="I9" s="223">
        <f t="shared" ref="I9" si="13">SUM(I7:I8)</f>
        <v>735.64918614163798</v>
      </c>
      <c r="J9" s="226">
        <f t="shared" ref="J9" si="14">SUM(J7:J8)</f>
        <v>398.28426518085979</v>
      </c>
      <c r="L9" s="215">
        <f t="shared" si="11"/>
        <v>68.176017192171912</v>
      </c>
      <c r="M9" s="216">
        <f t="shared" si="9"/>
        <v>235.13908888864603</v>
      </c>
      <c r="N9" s="217">
        <f t="shared" si="10"/>
        <v>-257.64299063941547</v>
      </c>
    </row>
    <row r="11" spans="2:14" x14ac:dyDescent="0.35">
      <c r="B11" s="1" t="s">
        <v>158</v>
      </c>
      <c r="C11" s="151" t="s">
        <v>147</v>
      </c>
      <c r="D11" s="209">
        <f>SUMIF('Calculation - NCL and ECL'!$E$1:$AN$1,$D$2,'Calculation - NCL and ECL'!$E8:$AN8)</f>
        <v>90.533703727104253</v>
      </c>
      <c r="E11" s="210">
        <f>SUMIF('Calculation - NCL and ECL'!$E$1:$AN$1,$E$2,'Calculation - NCL and ECL'!$E8:$AN8)</f>
        <v>302.76891936350682</v>
      </c>
      <c r="F11" s="211">
        <f>SUMIF('Calculation - NCL and ECL'!$E$1:$AN$1,$F$2,'Calculation - NCL and ECL'!$E8:$AN8)</f>
        <v>164.47746468635799</v>
      </c>
      <c r="H11" s="218">
        <f>SUMIF('Calculation - NCL and ECL'!$E$1:$AN$1,$H$2,'Calculation - NCL and ECL'!$E17:$AN17)</f>
        <v>89.900166700825167</v>
      </c>
      <c r="I11" s="221">
        <f>SUMIF('Calculation - NCL and ECL'!$E$1:$AN$1,$I$2,'Calculation - NCL and ECL'!$E17:$AN17)</f>
        <v>334.56691842220823</v>
      </c>
      <c r="J11" s="224">
        <f>SUMIF('Calculation - NCL and ECL'!$E$1:$AN$1,$J$2,'Calculation - NCL and ECL'!$E17:$AN17)</f>
        <v>204.30850107193126</v>
      </c>
      <c r="L11" s="209">
        <f>H11-D11</f>
        <v>-0.63353702627908604</v>
      </c>
      <c r="M11" s="210">
        <f t="shared" ref="M11:M13" si="15">I11-E11</f>
        <v>31.797999058701407</v>
      </c>
      <c r="N11" s="211">
        <f t="shared" ref="N11:N13" si="16">J11-F11</f>
        <v>39.83103638557327</v>
      </c>
    </row>
    <row r="12" spans="2:14" x14ac:dyDescent="0.35">
      <c r="B12" s="2" t="str">
        <f>B11</f>
        <v>LAP</v>
      </c>
      <c r="C12" s="152" t="s">
        <v>148</v>
      </c>
      <c r="D12" s="212">
        <f>SUMIF('Calculation - NCL and ECL'!$E$1:$AN$1,$D$2,'Calculation - NCL and ECL'!$E20:$AN20)+SUMIF('Calculation - NCL and ECL'!$E$1:$AN$1,$D$2,'Calculation - NCL and ECL'!$E38:$AN38)</f>
        <v>12.445882681703166</v>
      </c>
      <c r="E12" s="213">
        <f>SUMIF('Calculation - NCL and ECL'!$E$1:$AN$1,$E$2,'Calculation - NCL and ECL'!$E20:$AN20)+SUMIF('Calculation - NCL and ECL'!$E$1:$AN$1,$E$2,'Calculation - NCL and ECL'!$E38:$AN38)</f>
        <v>-63.456252242058738</v>
      </c>
      <c r="F12" s="214">
        <f>SUMIF('Calculation - NCL and ECL'!$E$1:$AN$1,$F$2,'Calculation - NCL and ECL'!$E20:$AN20)+SUMIF('Calculation - NCL and ECL'!$E$1:$AN$1,$F$2,'Calculation - NCL and ECL'!$E38:$AN38)</f>
        <v>41.420749872812344</v>
      </c>
      <c r="H12" s="219">
        <f>SUMIF('Calculation - NCL and ECL'!$E$1:$AN$1,$H$2,'Calculation - NCL and ECL'!$E23:$AN23)+SUMIF('Calculation - NCL and ECL'!$E$1:$AN$1,$H$2,'Calculation - NCL and ECL'!$E38:$AN38)</f>
        <v>112.40271135744236</v>
      </c>
      <c r="I12" s="222">
        <f>SUMIF('Calculation - NCL and ECL'!$E$1:$AN$1,$E$2,'Calculation - NCL and ECL'!$E23:$AN23)+SUMIF('Calculation - NCL and ECL'!$E$1:$AN$1,$E$2,'Calculation - NCL and ECL'!$E38:$AN38)</f>
        <v>177.45644642022106</v>
      </c>
      <c r="J12" s="225">
        <f>SUMIF('Calculation - NCL and ECL'!$E$1:$AN$1,$F$2,'Calculation - NCL and ECL'!$E23:$AN23)+SUMIF('Calculation - NCL and ECL'!$E$1:$AN$1,$F$2,'Calculation - NCL and ECL'!$E38:$AN38)</f>
        <v>-178.93009655381962</v>
      </c>
      <c r="L12" s="212">
        <f t="shared" ref="L12:L13" si="17">H12-D12</f>
        <v>99.956828675739189</v>
      </c>
      <c r="M12" s="213">
        <f t="shared" si="15"/>
        <v>240.91269866227981</v>
      </c>
      <c r="N12" s="214">
        <f t="shared" si="16"/>
        <v>-220.35084642663196</v>
      </c>
    </row>
    <row r="13" spans="2:14" x14ac:dyDescent="0.35">
      <c r="B13" s="3" t="str">
        <f>B11</f>
        <v>LAP</v>
      </c>
      <c r="C13" s="153" t="s">
        <v>149</v>
      </c>
      <c r="D13" s="215">
        <f>SUM(D11:D12)</f>
        <v>102.97958640880742</v>
      </c>
      <c r="E13" s="216">
        <f t="shared" ref="E13" si="18">SUM(E11:E12)</f>
        <v>239.3126671214481</v>
      </c>
      <c r="F13" s="217">
        <f t="shared" ref="F13" si="19">SUM(F11:F12)</f>
        <v>205.89821455917033</v>
      </c>
      <c r="H13" s="220">
        <f>SUM(H11:H12)</f>
        <v>202.30287805826754</v>
      </c>
      <c r="I13" s="223">
        <f t="shared" ref="I13" si="20">SUM(I11:I12)</f>
        <v>512.02336484242926</v>
      </c>
      <c r="J13" s="226">
        <f t="shared" ref="J13" si="21">SUM(J11:J12)</f>
        <v>25.378404518111637</v>
      </c>
      <c r="L13" s="215">
        <f t="shared" si="17"/>
        <v>99.323291649460117</v>
      </c>
      <c r="M13" s="216">
        <f t="shared" si="15"/>
        <v>272.71069772098116</v>
      </c>
      <c r="N13" s="217">
        <f t="shared" si="16"/>
        <v>-180.51981004105869</v>
      </c>
    </row>
    <row r="15" spans="2:14" x14ac:dyDescent="0.35">
      <c r="B15" s="1" t="s">
        <v>159</v>
      </c>
      <c r="C15" s="151" t="s">
        <v>147</v>
      </c>
      <c r="D15" s="209">
        <f>SUMIF('Calculation - NCL and ECL'!$E$1:$AN$1,$D$2,'Calculation - NCL and ECL'!$E9:$AN9)</f>
        <v>0</v>
      </c>
      <c r="E15" s="210">
        <f>SUMIF('Calculation - NCL and ECL'!$E$1:$AN$1,$E$2,'Calculation - NCL and ECL'!$E9:$AN9)</f>
        <v>0</v>
      </c>
      <c r="F15" s="211">
        <f>SUMIF('Calculation - NCL and ECL'!$E$1:$AN$1,$F$2,'Calculation - NCL and ECL'!$E9:$AN9)</f>
        <v>0</v>
      </c>
      <c r="H15" s="218">
        <f>IFERROR(SUMIF('Calculation - NCL and ECL'!$E$1:$AN$1,$H$2,'Calculation - NCL and ECL'!$E18:$AN18),0)</f>
        <v>0</v>
      </c>
      <c r="I15" s="221">
        <f>IFERROR(SUMIF('Calculation - NCL and ECL'!$E$1:$AN$1,$H$2,'Calculation - NCL and ECL'!$E18:$AN18),0)</f>
        <v>0</v>
      </c>
      <c r="J15" s="224">
        <f>IFERROR(SUMIF('Calculation - NCL and ECL'!$E$1:$AN$1,$H$2,'Calculation - NCL and ECL'!$E18:$AN18),0)</f>
        <v>0</v>
      </c>
      <c r="L15" s="209">
        <f>H15-D15</f>
        <v>0</v>
      </c>
      <c r="M15" s="210">
        <f t="shared" ref="M15:M17" si="22">I15-E15</f>
        <v>0</v>
      </c>
      <c r="N15" s="211">
        <f t="shared" ref="N15:N17" si="23">J15-F15</f>
        <v>0</v>
      </c>
    </row>
    <row r="16" spans="2:14" x14ac:dyDescent="0.35">
      <c r="B16" s="2" t="str">
        <f>B15</f>
        <v>DF</v>
      </c>
      <c r="C16" s="152" t="s">
        <v>148</v>
      </c>
      <c r="D16" s="212">
        <f>SUMIF('Calculation - NCL and ECL'!$E$1:$AN$1,$D$2,'Calculation - NCL and ECL'!$E21:$AN21)+SUMIF('Calculation - NCL and ECL'!$E$1:$AN$1,$D$2,'Calculation - NCL and ECL'!$E39:$AN39)</f>
        <v>6.3550475055905054</v>
      </c>
      <c r="E16" s="213">
        <f>SUMIF('Calculation - NCL and ECL'!$E$1:$AN$1,$E$2,'Calculation - NCL and ECL'!$E21:$AN21)+SUMIF('Calculation - NCL and ECL'!$E$1:$AN$1,$E$2,'Calculation - NCL and ECL'!$E39:$AN39)</f>
        <v>23.047505796785188</v>
      </c>
      <c r="F16" s="214">
        <f>SUMIF('Calculation - NCL and ECL'!$E$1:$AN$1,$F$2,'Calculation - NCL and ECL'!$E21:$AN21)+SUMIF('Calculation - NCL and ECL'!$E$1:$AN$1,$F$2,'Calculation - NCL and ECL'!$E39:$AN39)</f>
        <v>20.909199968639925</v>
      </c>
      <c r="H16" s="219">
        <f>IFERROR(SUMIF('Calculation - NCL and ECL'!$E$1:$AN$1,$H$2,'Calculation - NCL and ECL'!$E24:$AN24),0)+IFERROR(SUMIF('Calculation - NCL and ECL'!$E$1:$AN$1,$H$2,'Calculation - NCL and ECL'!$E39:$AN39),0)</f>
        <v>-12.224719252406658</v>
      </c>
      <c r="I16" s="222">
        <f>IFERROR(SUMIF('Calculation - NCL and ECL'!$E$1:$AN$1,$E$2,'Calculation - NCL and ECL'!$E24:$AN24),0)+IFERROR(SUMIF('Calculation - NCL and ECL'!$E$1:$AN$1,$E$2,'Calculation - NCL and ECL'!$E39:$AN39),0)</f>
        <v>-24.941489570492003</v>
      </c>
      <c r="J16" s="225">
        <f>IFERROR(SUMIF('Calculation - NCL and ECL'!$E$1:$AN$1,$F$2,'Calculation - NCL and ECL'!$E24:$AN24),0)+IFERROR(SUMIF('Calculation - NCL and ECL'!$E$1:$AN$1,$F$2,'Calculation - NCL and ECL'!$E39:$AN39),0)</f>
        <v>11.707580964232967</v>
      </c>
      <c r="L16" s="212">
        <f t="shared" ref="L16:L17" si="24">H16-D16</f>
        <v>-18.579766757997163</v>
      </c>
      <c r="M16" s="213">
        <f t="shared" si="22"/>
        <v>-47.988995367277191</v>
      </c>
      <c r="N16" s="214">
        <f t="shared" si="23"/>
        <v>-9.2016190044069575</v>
      </c>
    </row>
    <row r="17" spans="2:14" x14ac:dyDescent="0.35">
      <c r="B17" s="3" t="str">
        <f>B15</f>
        <v>DF</v>
      </c>
      <c r="C17" s="153" t="s">
        <v>149</v>
      </c>
      <c r="D17" s="215">
        <f>SUM(D15:D16)</f>
        <v>6.3550475055905054</v>
      </c>
      <c r="E17" s="216">
        <f t="shared" ref="E17" si="25">SUM(E15:E16)</f>
        <v>23.047505796785188</v>
      </c>
      <c r="F17" s="217">
        <f t="shared" ref="F17" si="26">SUM(F15:F16)</f>
        <v>20.909199968639925</v>
      </c>
      <c r="H17" s="220">
        <f>SUM(H15:H16)</f>
        <v>-12.224719252406658</v>
      </c>
      <c r="I17" s="223">
        <f t="shared" ref="I17" si="27">SUM(I15:I16)</f>
        <v>-24.941489570492003</v>
      </c>
      <c r="J17" s="226">
        <f t="shared" ref="J17" si="28">SUM(J15:J16)</f>
        <v>11.707580964232967</v>
      </c>
      <c r="L17" s="215">
        <f t="shared" si="24"/>
        <v>-18.579766757997163</v>
      </c>
      <c r="M17" s="216">
        <f t="shared" si="22"/>
        <v>-47.988995367277191</v>
      </c>
      <c r="N17" s="217">
        <f t="shared" si="23"/>
        <v>-9.2016190044069575</v>
      </c>
    </row>
  </sheetData>
  <autoFilter ref="B2:C17"/>
  <mergeCells count="3">
    <mergeCell ref="D1:F1"/>
    <mergeCell ref="H1:J1"/>
    <mergeCell ref="L1:N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:BJ28"/>
  <sheetViews>
    <sheetView showGridLines="0" workbookViewId="0">
      <pane xSplit="2" topLeftCell="C1" activePane="topRight" state="frozen"/>
      <selection pane="topRight" activeCell="A9" sqref="A9"/>
    </sheetView>
  </sheetViews>
  <sheetFormatPr defaultRowHeight="14.5" x14ac:dyDescent="0.35"/>
  <cols>
    <col min="1" max="1" width="3.81640625" customWidth="1"/>
    <col min="2" max="2" width="20.1796875" bestFit="1" customWidth="1"/>
    <col min="3" max="14" width="11.453125" customWidth="1"/>
  </cols>
  <sheetData>
    <row r="1" spans="2:62" x14ac:dyDescent="0.35">
      <c r="B1" s="121" t="s">
        <v>117</v>
      </c>
      <c r="T1" t="s">
        <v>47</v>
      </c>
    </row>
    <row r="2" spans="2:62" x14ac:dyDescent="0.35">
      <c r="B2" s="27" t="s">
        <v>151</v>
      </c>
      <c r="C2" s="102">
        <v>45352</v>
      </c>
    </row>
    <row r="3" spans="2:62" x14ac:dyDescent="0.35">
      <c r="B3" s="27" t="s">
        <v>46</v>
      </c>
      <c r="C3" s="102">
        <v>45383</v>
      </c>
    </row>
    <row r="4" spans="2:62" x14ac:dyDescent="0.35">
      <c r="B4" s="101" t="s">
        <v>40</v>
      </c>
      <c r="C4" s="22" t="s">
        <v>21</v>
      </c>
      <c r="D4" s="23" t="s">
        <v>22</v>
      </c>
      <c r="E4" s="24" t="s">
        <v>23</v>
      </c>
      <c r="K4" s="26" t="s">
        <v>44</v>
      </c>
      <c r="L4" s="26" t="s">
        <v>45</v>
      </c>
    </row>
    <row r="5" spans="2:62" x14ac:dyDescent="0.35">
      <c r="C5" s="97">
        <v>7</v>
      </c>
      <c r="D5" s="98">
        <v>25</v>
      </c>
      <c r="E5" s="99">
        <v>5</v>
      </c>
      <c r="G5" s="15" t="s">
        <v>118</v>
      </c>
      <c r="H5" s="347" t="s">
        <v>41</v>
      </c>
      <c r="I5" s="347"/>
      <c r="J5" s="100">
        <v>6</v>
      </c>
      <c r="K5" s="26">
        <f>C3</f>
        <v>45383</v>
      </c>
      <c r="L5" s="26">
        <f>EDATE(K5,(J5-1))</f>
        <v>45536</v>
      </c>
    </row>
    <row r="6" spans="2:62" x14ac:dyDescent="0.35">
      <c r="G6" s="3" t="s">
        <v>120</v>
      </c>
      <c r="H6" s="347" t="s">
        <v>43</v>
      </c>
      <c r="I6" s="347"/>
      <c r="J6" s="100">
        <v>12</v>
      </c>
      <c r="K6" s="26">
        <f>EDATE(L5,1)</f>
        <v>45566</v>
      </c>
      <c r="L6" s="26">
        <f>EDATE(K6,(J6-1))</f>
        <v>45901</v>
      </c>
    </row>
    <row r="7" spans="2:62" x14ac:dyDescent="0.35">
      <c r="G7" s="3" t="s">
        <v>119</v>
      </c>
      <c r="H7" s="347" t="s">
        <v>42</v>
      </c>
      <c r="I7" s="347"/>
      <c r="J7" s="100">
        <v>12</v>
      </c>
      <c r="K7" s="26">
        <f>EDATE(L6,1)</f>
        <v>45931</v>
      </c>
      <c r="L7" s="26">
        <f>EDATE(K7,(J7-1))</f>
        <v>46266</v>
      </c>
    </row>
    <row r="8" spans="2:62" x14ac:dyDescent="0.35">
      <c r="B8" s="37">
        <f ca="1">EOMONTH(TODAY(),-1)+1</f>
        <v>45444</v>
      </c>
    </row>
    <row r="9" spans="2:62" x14ac:dyDescent="0.35">
      <c r="B9" s="4" t="s">
        <v>74</v>
      </c>
      <c r="C9" s="20">
        <f>C2</f>
        <v>45352</v>
      </c>
      <c r="D9" s="20">
        <f>EDATE(C9,1)</f>
        <v>45383</v>
      </c>
      <c r="E9" s="20">
        <f>EDATE(D9,1)</f>
        <v>45413</v>
      </c>
      <c r="F9" s="20">
        <f>EDATE(E9,1)</f>
        <v>45444</v>
      </c>
      <c r="G9" s="20">
        <f t="shared" ref="G9:BJ9" si="0">EDATE(F9,1)</f>
        <v>45474</v>
      </c>
      <c r="H9" s="20">
        <f t="shared" si="0"/>
        <v>45505</v>
      </c>
      <c r="I9" s="20">
        <f t="shared" si="0"/>
        <v>45536</v>
      </c>
      <c r="J9" s="20">
        <f t="shared" si="0"/>
        <v>45566</v>
      </c>
      <c r="K9" s="20">
        <f t="shared" si="0"/>
        <v>45597</v>
      </c>
      <c r="L9" s="20">
        <f t="shared" si="0"/>
        <v>45627</v>
      </c>
      <c r="M9" s="20">
        <f t="shared" si="0"/>
        <v>45658</v>
      </c>
      <c r="N9" s="21">
        <f t="shared" si="0"/>
        <v>45689</v>
      </c>
      <c r="O9" s="20">
        <f t="shared" si="0"/>
        <v>45717</v>
      </c>
      <c r="P9" s="20">
        <f t="shared" si="0"/>
        <v>45748</v>
      </c>
      <c r="Q9" s="20">
        <f t="shared" si="0"/>
        <v>45778</v>
      </c>
      <c r="R9" s="20">
        <f t="shared" si="0"/>
        <v>45809</v>
      </c>
      <c r="S9" s="20">
        <f t="shared" si="0"/>
        <v>45839</v>
      </c>
      <c r="T9" s="20">
        <f t="shared" si="0"/>
        <v>45870</v>
      </c>
      <c r="U9" s="20">
        <f t="shared" si="0"/>
        <v>45901</v>
      </c>
      <c r="V9" s="20">
        <f t="shared" si="0"/>
        <v>45931</v>
      </c>
      <c r="W9" s="20">
        <f t="shared" si="0"/>
        <v>45962</v>
      </c>
      <c r="X9" s="20">
        <f t="shared" si="0"/>
        <v>45992</v>
      </c>
      <c r="Y9" s="20">
        <f t="shared" si="0"/>
        <v>46023</v>
      </c>
      <c r="Z9" s="21">
        <f t="shared" si="0"/>
        <v>46054</v>
      </c>
      <c r="AA9" s="20">
        <f t="shared" si="0"/>
        <v>46082</v>
      </c>
      <c r="AB9" s="20">
        <f t="shared" si="0"/>
        <v>46113</v>
      </c>
      <c r="AC9" s="20">
        <f t="shared" si="0"/>
        <v>46143</v>
      </c>
      <c r="AD9" s="20">
        <f t="shared" si="0"/>
        <v>46174</v>
      </c>
      <c r="AE9" s="20">
        <f t="shared" si="0"/>
        <v>46204</v>
      </c>
      <c r="AF9" s="20">
        <f t="shared" si="0"/>
        <v>46235</v>
      </c>
      <c r="AG9" s="20">
        <f t="shared" si="0"/>
        <v>46266</v>
      </c>
      <c r="AH9" s="20">
        <f t="shared" si="0"/>
        <v>46296</v>
      </c>
      <c r="AI9" s="20">
        <f t="shared" si="0"/>
        <v>46327</v>
      </c>
      <c r="AJ9" s="20">
        <f t="shared" si="0"/>
        <v>46357</v>
      </c>
      <c r="AK9" s="20">
        <f t="shared" si="0"/>
        <v>46388</v>
      </c>
      <c r="AL9" s="21">
        <f t="shared" si="0"/>
        <v>46419</v>
      </c>
      <c r="AM9" s="20">
        <f t="shared" si="0"/>
        <v>46447</v>
      </c>
      <c r="AN9" s="20">
        <f t="shared" si="0"/>
        <v>46478</v>
      </c>
      <c r="AO9" s="20">
        <f t="shared" si="0"/>
        <v>46508</v>
      </c>
      <c r="AP9" s="20">
        <f t="shared" si="0"/>
        <v>46539</v>
      </c>
      <c r="AQ9" s="20">
        <f t="shared" si="0"/>
        <v>46569</v>
      </c>
      <c r="AR9" s="20">
        <f t="shared" si="0"/>
        <v>46600</v>
      </c>
      <c r="AS9" s="20">
        <f t="shared" si="0"/>
        <v>46631</v>
      </c>
      <c r="AT9" s="20">
        <f t="shared" si="0"/>
        <v>46661</v>
      </c>
      <c r="AU9" s="20">
        <f t="shared" si="0"/>
        <v>46692</v>
      </c>
      <c r="AV9" s="20">
        <f t="shared" si="0"/>
        <v>46722</v>
      </c>
      <c r="AW9" s="20">
        <f t="shared" si="0"/>
        <v>46753</v>
      </c>
      <c r="AX9" s="21">
        <f t="shared" si="0"/>
        <v>46784</v>
      </c>
      <c r="AY9" s="20">
        <f t="shared" si="0"/>
        <v>46813</v>
      </c>
      <c r="AZ9" s="20">
        <f t="shared" si="0"/>
        <v>46844</v>
      </c>
      <c r="BA9" s="20">
        <f t="shared" si="0"/>
        <v>46874</v>
      </c>
      <c r="BB9" s="20">
        <f t="shared" si="0"/>
        <v>46905</v>
      </c>
      <c r="BC9" s="20">
        <f t="shared" si="0"/>
        <v>46935</v>
      </c>
      <c r="BD9" s="20">
        <f t="shared" si="0"/>
        <v>46966</v>
      </c>
      <c r="BE9" s="20">
        <f t="shared" si="0"/>
        <v>46997</v>
      </c>
      <c r="BF9" s="20">
        <f t="shared" si="0"/>
        <v>47027</v>
      </c>
      <c r="BG9" s="20">
        <f t="shared" si="0"/>
        <v>47058</v>
      </c>
      <c r="BH9" s="20">
        <f t="shared" si="0"/>
        <v>47088</v>
      </c>
      <c r="BI9" s="20">
        <f t="shared" si="0"/>
        <v>47119</v>
      </c>
      <c r="BJ9" s="21">
        <f t="shared" si="0"/>
        <v>47150</v>
      </c>
    </row>
    <row r="10" spans="2:62" x14ac:dyDescent="0.35">
      <c r="B10" s="3" t="s">
        <v>49</v>
      </c>
      <c r="C10" s="105">
        <f t="shared" ref="C10:AB10" si="1">IF(C9&lt;$K$5,1,IF(C9&gt;$L$5,IF(C9&gt;$L$6,IF(C9&gt;$L$7,1,$E$5),$D$5),$C$5))</f>
        <v>1</v>
      </c>
      <c r="D10" s="105">
        <f t="shared" si="1"/>
        <v>7</v>
      </c>
      <c r="E10" s="105">
        <f t="shared" si="1"/>
        <v>7</v>
      </c>
      <c r="F10" s="105">
        <f t="shared" si="1"/>
        <v>7</v>
      </c>
      <c r="G10" s="105">
        <f t="shared" si="1"/>
        <v>7</v>
      </c>
      <c r="H10" s="105">
        <f t="shared" si="1"/>
        <v>7</v>
      </c>
      <c r="I10" s="105">
        <f t="shared" si="1"/>
        <v>7</v>
      </c>
      <c r="J10" s="105">
        <f t="shared" si="1"/>
        <v>25</v>
      </c>
      <c r="K10" s="105">
        <f t="shared" si="1"/>
        <v>25</v>
      </c>
      <c r="L10" s="105">
        <f t="shared" si="1"/>
        <v>25</v>
      </c>
      <c r="M10" s="105">
        <f t="shared" si="1"/>
        <v>25</v>
      </c>
      <c r="N10" s="106">
        <f t="shared" si="1"/>
        <v>25</v>
      </c>
      <c r="O10" s="105">
        <f t="shared" si="1"/>
        <v>25</v>
      </c>
      <c r="P10" s="105">
        <f t="shared" si="1"/>
        <v>25</v>
      </c>
      <c r="Q10" s="105">
        <f t="shared" si="1"/>
        <v>25</v>
      </c>
      <c r="R10" s="105">
        <f t="shared" si="1"/>
        <v>25</v>
      </c>
      <c r="S10" s="105">
        <f t="shared" si="1"/>
        <v>25</v>
      </c>
      <c r="T10" s="105">
        <f t="shared" si="1"/>
        <v>25</v>
      </c>
      <c r="U10" s="105">
        <f t="shared" si="1"/>
        <v>25</v>
      </c>
      <c r="V10" s="105">
        <f t="shared" si="1"/>
        <v>5</v>
      </c>
      <c r="W10" s="105">
        <f t="shared" si="1"/>
        <v>5</v>
      </c>
      <c r="X10" s="105">
        <f t="shared" si="1"/>
        <v>5</v>
      </c>
      <c r="Y10" s="105">
        <f t="shared" si="1"/>
        <v>5</v>
      </c>
      <c r="Z10" s="106">
        <f t="shared" si="1"/>
        <v>5</v>
      </c>
      <c r="AA10" s="105">
        <f t="shared" si="1"/>
        <v>5</v>
      </c>
      <c r="AB10" s="105">
        <f t="shared" si="1"/>
        <v>5</v>
      </c>
      <c r="AC10" s="105">
        <f>IF(AC9&lt;$K$5,1,IF(AC9&gt;$L$5,IF(AC9&gt;$L$6,IF(AC9&gt;$L$7,1,$E$5),$D$5),$C$5))</f>
        <v>5</v>
      </c>
      <c r="AD10" s="105">
        <f t="shared" ref="AD10:BJ10" si="2">IF(AD9&lt;$K$5,1,IF(AD9&gt;$L$5,IF(AD9&gt;$L$6,IF(AD9&gt;$L$7,1,$E$5),$D$5),$C$5))</f>
        <v>5</v>
      </c>
      <c r="AE10" s="105">
        <f t="shared" si="2"/>
        <v>5</v>
      </c>
      <c r="AF10" s="105">
        <f t="shared" si="2"/>
        <v>5</v>
      </c>
      <c r="AG10" s="105">
        <f t="shared" si="2"/>
        <v>5</v>
      </c>
      <c r="AH10" s="105">
        <f t="shared" si="2"/>
        <v>1</v>
      </c>
      <c r="AI10" s="105">
        <f t="shared" si="2"/>
        <v>1</v>
      </c>
      <c r="AJ10" s="105">
        <f t="shared" si="2"/>
        <v>1</v>
      </c>
      <c r="AK10" s="105">
        <f t="shared" si="2"/>
        <v>1</v>
      </c>
      <c r="AL10" s="106">
        <f t="shared" si="2"/>
        <v>1</v>
      </c>
      <c r="AM10" s="105">
        <f t="shared" si="2"/>
        <v>1</v>
      </c>
      <c r="AN10" s="105">
        <f t="shared" si="2"/>
        <v>1</v>
      </c>
      <c r="AO10" s="105">
        <f t="shared" si="2"/>
        <v>1</v>
      </c>
      <c r="AP10" s="105">
        <f t="shared" si="2"/>
        <v>1</v>
      </c>
      <c r="AQ10" s="105">
        <f t="shared" si="2"/>
        <v>1</v>
      </c>
      <c r="AR10" s="105">
        <f t="shared" si="2"/>
        <v>1</v>
      </c>
      <c r="AS10" s="105">
        <f t="shared" si="2"/>
        <v>1</v>
      </c>
      <c r="AT10" s="105">
        <f t="shared" si="2"/>
        <v>1</v>
      </c>
      <c r="AU10" s="105">
        <f t="shared" si="2"/>
        <v>1</v>
      </c>
      <c r="AV10" s="105">
        <f t="shared" si="2"/>
        <v>1</v>
      </c>
      <c r="AW10" s="105">
        <f t="shared" si="2"/>
        <v>1</v>
      </c>
      <c r="AX10" s="106">
        <f t="shared" si="2"/>
        <v>1</v>
      </c>
      <c r="AY10" s="105">
        <f t="shared" si="2"/>
        <v>1</v>
      </c>
      <c r="AZ10" s="105">
        <f t="shared" si="2"/>
        <v>1</v>
      </c>
      <c r="BA10" s="105">
        <f t="shared" si="2"/>
        <v>1</v>
      </c>
      <c r="BB10" s="105">
        <f t="shared" si="2"/>
        <v>1</v>
      </c>
      <c r="BC10" s="105">
        <f t="shared" si="2"/>
        <v>1</v>
      </c>
      <c r="BD10" s="105">
        <f t="shared" si="2"/>
        <v>1</v>
      </c>
      <c r="BE10" s="105">
        <f t="shared" si="2"/>
        <v>1</v>
      </c>
      <c r="BF10" s="105">
        <f t="shared" si="2"/>
        <v>1</v>
      </c>
      <c r="BG10" s="105">
        <f t="shared" si="2"/>
        <v>1</v>
      </c>
      <c r="BH10" s="105">
        <f t="shared" si="2"/>
        <v>1</v>
      </c>
      <c r="BI10" s="105">
        <f t="shared" si="2"/>
        <v>1</v>
      </c>
      <c r="BJ10" s="106">
        <f t="shared" si="2"/>
        <v>1</v>
      </c>
    </row>
    <row r="11" spans="2:62" x14ac:dyDescent="0.35">
      <c r="B11" s="3" t="s">
        <v>50</v>
      </c>
      <c r="C11" s="103" t="str">
        <f>IF(C10=$C$5,$C$4,IF(C10=$D$5,$D$4,IF(C10=$E$5,$E$4,"N")))</f>
        <v>N</v>
      </c>
      <c r="D11" s="103" t="str">
        <f t="shared" ref="D11:BJ11" si="3">IF(D10=$C$5,$C$4,IF(D10=$D$5,$D$4,IF(D10=$E$5,$E$4,"N")))</f>
        <v>SL1</v>
      </c>
      <c r="E11" s="103" t="str">
        <f t="shared" si="3"/>
        <v>SL1</v>
      </c>
      <c r="F11" s="103" t="str">
        <f t="shared" si="3"/>
        <v>SL1</v>
      </c>
      <c r="G11" s="103" t="str">
        <f t="shared" si="3"/>
        <v>SL1</v>
      </c>
      <c r="H11" s="103" t="str">
        <f t="shared" si="3"/>
        <v>SL1</v>
      </c>
      <c r="I11" s="103" t="str">
        <f t="shared" si="3"/>
        <v>SL1</v>
      </c>
      <c r="J11" s="103" t="str">
        <f t="shared" si="3"/>
        <v>SL2</v>
      </c>
      <c r="K11" s="103" t="str">
        <f t="shared" si="3"/>
        <v>SL2</v>
      </c>
      <c r="L11" s="103" t="str">
        <f t="shared" si="3"/>
        <v>SL2</v>
      </c>
      <c r="M11" s="103" t="str">
        <f t="shared" si="3"/>
        <v>SL2</v>
      </c>
      <c r="N11" s="104" t="str">
        <f t="shared" si="3"/>
        <v>SL2</v>
      </c>
      <c r="O11" s="103" t="str">
        <f t="shared" si="3"/>
        <v>SL2</v>
      </c>
      <c r="P11" s="103" t="str">
        <f t="shared" si="3"/>
        <v>SL2</v>
      </c>
      <c r="Q11" s="103" t="str">
        <f t="shared" si="3"/>
        <v>SL2</v>
      </c>
      <c r="R11" s="103" t="str">
        <f t="shared" si="3"/>
        <v>SL2</v>
      </c>
      <c r="S11" s="103" t="str">
        <f t="shared" si="3"/>
        <v>SL2</v>
      </c>
      <c r="T11" s="103" t="str">
        <f t="shared" si="3"/>
        <v>SL2</v>
      </c>
      <c r="U11" s="103" t="str">
        <f t="shared" si="3"/>
        <v>SL2</v>
      </c>
      <c r="V11" s="103" t="str">
        <f t="shared" si="3"/>
        <v>SL3</v>
      </c>
      <c r="W11" s="103" t="str">
        <f t="shared" si="3"/>
        <v>SL3</v>
      </c>
      <c r="X11" s="103" t="str">
        <f t="shared" si="3"/>
        <v>SL3</v>
      </c>
      <c r="Y11" s="103" t="str">
        <f t="shared" si="3"/>
        <v>SL3</v>
      </c>
      <c r="Z11" s="104" t="str">
        <f t="shared" si="3"/>
        <v>SL3</v>
      </c>
      <c r="AA11" s="103" t="str">
        <f t="shared" si="3"/>
        <v>SL3</v>
      </c>
      <c r="AB11" s="103" t="str">
        <f t="shared" si="3"/>
        <v>SL3</v>
      </c>
      <c r="AC11" s="103" t="str">
        <f t="shared" si="3"/>
        <v>SL3</v>
      </c>
      <c r="AD11" s="103" t="str">
        <f t="shared" si="3"/>
        <v>SL3</v>
      </c>
      <c r="AE11" s="103" t="str">
        <f t="shared" si="3"/>
        <v>SL3</v>
      </c>
      <c r="AF11" s="103" t="str">
        <f t="shared" si="3"/>
        <v>SL3</v>
      </c>
      <c r="AG11" s="103" t="str">
        <f t="shared" si="3"/>
        <v>SL3</v>
      </c>
      <c r="AH11" s="103" t="str">
        <f t="shared" si="3"/>
        <v>N</v>
      </c>
      <c r="AI11" s="103" t="str">
        <f t="shared" si="3"/>
        <v>N</v>
      </c>
      <c r="AJ11" s="103" t="str">
        <f t="shared" si="3"/>
        <v>N</v>
      </c>
      <c r="AK11" s="103" t="str">
        <f t="shared" si="3"/>
        <v>N</v>
      </c>
      <c r="AL11" s="104" t="str">
        <f t="shared" si="3"/>
        <v>N</v>
      </c>
      <c r="AM11" s="103" t="str">
        <f t="shared" si="3"/>
        <v>N</v>
      </c>
      <c r="AN11" s="103" t="str">
        <f t="shared" si="3"/>
        <v>N</v>
      </c>
      <c r="AO11" s="103" t="str">
        <f t="shared" si="3"/>
        <v>N</v>
      </c>
      <c r="AP11" s="103" t="str">
        <f t="shared" si="3"/>
        <v>N</v>
      </c>
      <c r="AQ11" s="103" t="str">
        <f t="shared" si="3"/>
        <v>N</v>
      </c>
      <c r="AR11" s="103" t="str">
        <f t="shared" si="3"/>
        <v>N</v>
      </c>
      <c r="AS11" s="103" t="str">
        <f t="shared" si="3"/>
        <v>N</v>
      </c>
      <c r="AT11" s="103" t="str">
        <f t="shared" si="3"/>
        <v>N</v>
      </c>
      <c r="AU11" s="103" t="str">
        <f t="shared" si="3"/>
        <v>N</v>
      </c>
      <c r="AV11" s="103" t="str">
        <f t="shared" si="3"/>
        <v>N</v>
      </c>
      <c r="AW11" s="103" t="str">
        <f t="shared" si="3"/>
        <v>N</v>
      </c>
      <c r="AX11" s="104" t="str">
        <f t="shared" si="3"/>
        <v>N</v>
      </c>
      <c r="AY11" s="103" t="str">
        <f t="shared" si="3"/>
        <v>N</v>
      </c>
      <c r="AZ11" s="103" t="str">
        <f t="shared" si="3"/>
        <v>N</v>
      </c>
      <c r="BA11" s="103" t="str">
        <f t="shared" si="3"/>
        <v>N</v>
      </c>
      <c r="BB11" s="103" t="str">
        <f t="shared" si="3"/>
        <v>N</v>
      </c>
      <c r="BC11" s="103" t="str">
        <f t="shared" si="3"/>
        <v>N</v>
      </c>
      <c r="BD11" s="103" t="str">
        <f t="shared" si="3"/>
        <v>N</v>
      </c>
      <c r="BE11" s="103" t="str">
        <f t="shared" si="3"/>
        <v>N</v>
      </c>
      <c r="BF11" s="103" t="str">
        <f t="shared" si="3"/>
        <v>N</v>
      </c>
      <c r="BG11" s="103" t="str">
        <f t="shared" si="3"/>
        <v>N</v>
      </c>
      <c r="BH11" s="103" t="str">
        <f t="shared" si="3"/>
        <v>N</v>
      </c>
      <c r="BI11" s="103" t="str">
        <f t="shared" si="3"/>
        <v>N</v>
      </c>
      <c r="BJ11" s="104" t="str">
        <f t="shared" si="3"/>
        <v>N</v>
      </c>
    </row>
    <row r="12" spans="2:62" x14ac:dyDescent="0.35">
      <c r="B12" s="150" t="s">
        <v>125</v>
      </c>
      <c r="C12" s="29" t="str">
        <f t="shared" ref="C12:D12" si="4">IF(C11="N",C11,IF(C9&gt;$B$17,"SL4P",IF(C9&gt;$B$16,"SL3P",IF(C9&gt;$B$15,"SL2P","SL1P"))))</f>
        <v>N</v>
      </c>
      <c r="D12" s="30" t="str">
        <f t="shared" si="4"/>
        <v>SL1P</v>
      </c>
      <c r="E12" s="30" t="str">
        <f>IF(E11="N",E11,IF(E9&gt;$B$17,"SL4P",IF(E9&gt;$B$16,"SL3P",IF(E9&gt;$B$15,"SL2P","SL1P"))))</f>
        <v>SL1P</v>
      </c>
      <c r="F12" s="30" t="str">
        <f t="shared" ref="F12:BJ12" si="5">IF(F11="N",F11,IF(F9&gt;$B$17,"SL4P",IF(F9&gt;$B$16,"SL3P",IF(F9&gt;$B$15,"SL2P","SL1P"))))</f>
        <v>SL1P</v>
      </c>
      <c r="G12" s="30" t="str">
        <f t="shared" si="5"/>
        <v>SL1P</v>
      </c>
      <c r="H12" s="30" t="str">
        <f t="shared" si="5"/>
        <v>SL1P</v>
      </c>
      <c r="I12" s="30" t="str">
        <f t="shared" si="5"/>
        <v>SL1P</v>
      </c>
      <c r="J12" s="30" t="str">
        <f t="shared" si="5"/>
        <v>SL2P</v>
      </c>
      <c r="K12" s="30" t="str">
        <f t="shared" si="5"/>
        <v>SL2P</v>
      </c>
      <c r="L12" s="30" t="str">
        <f t="shared" si="5"/>
        <v>SL2P</v>
      </c>
      <c r="M12" s="30" t="str">
        <f t="shared" si="5"/>
        <v>SL2P</v>
      </c>
      <c r="N12" s="31" t="str">
        <f t="shared" si="5"/>
        <v>SL2P</v>
      </c>
      <c r="O12" s="30" t="str">
        <f t="shared" si="5"/>
        <v>SL2P</v>
      </c>
      <c r="P12" s="30" t="str">
        <f t="shared" si="5"/>
        <v>SL2P</v>
      </c>
      <c r="Q12" s="30" t="str">
        <f t="shared" si="5"/>
        <v>SL2P</v>
      </c>
      <c r="R12" s="30" t="str">
        <f t="shared" si="5"/>
        <v>SL2P</v>
      </c>
      <c r="S12" s="30" t="str">
        <f t="shared" si="5"/>
        <v>SL2P</v>
      </c>
      <c r="T12" s="30" t="str">
        <f t="shared" si="5"/>
        <v>SL2P</v>
      </c>
      <c r="U12" s="30" t="str">
        <f t="shared" si="5"/>
        <v>SL2P</v>
      </c>
      <c r="V12" s="30" t="str">
        <f t="shared" si="5"/>
        <v>SL3P</v>
      </c>
      <c r="W12" s="30" t="str">
        <f t="shared" si="5"/>
        <v>SL3P</v>
      </c>
      <c r="X12" s="30" t="str">
        <f t="shared" si="5"/>
        <v>SL3P</v>
      </c>
      <c r="Y12" s="30" t="str">
        <f t="shared" si="5"/>
        <v>SL4P</v>
      </c>
      <c r="Z12" s="31" t="str">
        <f t="shared" si="5"/>
        <v>SL4P</v>
      </c>
      <c r="AA12" s="30" t="str">
        <f>IF(AA11="N",AA11,IF(AA9&gt;$B$19,"SL4P",IF(AA9&gt;$B$16,"SL3P",IF(AA9&gt;$B$15,"SL2P","SL1P"))))</f>
        <v>SL3P</v>
      </c>
      <c r="AB12" s="30" t="str">
        <f>IF(AB11="N",AB11,IF(AB9&gt;$B$19,"SL4P",IF(AB9&gt;$B$16,"SL3P",IF(AB9&gt;$B$15,"SL2P","SL1P"))))</f>
        <v>SL3P</v>
      </c>
      <c r="AC12" s="30" t="str">
        <f>IF(AC11="N",AC11,IF(AC9&gt;$B$19,"SL4P",IF(AC9&gt;$B$16,"SL3P",IF(AC9&gt;$B$15,"SL2P","SL1P"))))</f>
        <v>SL3P</v>
      </c>
      <c r="AD12" s="30" t="str">
        <f>IF(AD11="N",AD11,IF(AD9&gt;$B$19,"SL4P",IF(AD9&gt;$B$16,"SL3P",IF(AD9&gt;$B$15,"SL2P","SL1P"))))</f>
        <v>SL3P</v>
      </c>
      <c r="AE12" s="30" t="str">
        <f t="shared" ref="AE12:AL12" si="6">IF(AE11="N",AE11,IF(AE9&gt;$B$19,"SL4P",IF(AE9&gt;$B$16,"SL3P",IF(AE9&gt;$B$15,"SL2P","SL1P"))))</f>
        <v>SL3P</v>
      </c>
      <c r="AF12" s="30" t="str">
        <f t="shared" si="6"/>
        <v>SL3P</v>
      </c>
      <c r="AG12" s="30" t="str">
        <f t="shared" si="6"/>
        <v>SL3P</v>
      </c>
      <c r="AH12" s="30" t="str">
        <f t="shared" si="6"/>
        <v>N</v>
      </c>
      <c r="AI12" s="30" t="str">
        <f t="shared" si="6"/>
        <v>N</v>
      </c>
      <c r="AJ12" s="30" t="str">
        <f t="shared" si="6"/>
        <v>N</v>
      </c>
      <c r="AK12" s="30" t="str">
        <f t="shared" si="6"/>
        <v>N</v>
      </c>
      <c r="AL12" s="30" t="str">
        <f t="shared" si="6"/>
        <v>N</v>
      </c>
      <c r="AM12" s="30" t="str">
        <f t="shared" si="5"/>
        <v>N</v>
      </c>
      <c r="AN12" s="30" t="str">
        <f t="shared" si="5"/>
        <v>N</v>
      </c>
      <c r="AO12" s="30" t="str">
        <f t="shared" si="5"/>
        <v>N</v>
      </c>
      <c r="AP12" s="30" t="str">
        <f t="shared" si="5"/>
        <v>N</v>
      </c>
      <c r="AQ12" s="30" t="str">
        <f t="shared" si="5"/>
        <v>N</v>
      </c>
      <c r="AR12" s="30" t="str">
        <f t="shared" si="5"/>
        <v>N</v>
      </c>
      <c r="AS12" s="30" t="str">
        <f t="shared" si="5"/>
        <v>N</v>
      </c>
      <c r="AT12" s="30" t="str">
        <f t="shared" si="5"/>
        <v>N</v>
      </c>
      <c r="AU12" s="30" t="str">
        <f t="shared" si="5"/>
        <v>N</v>
      </c>
      <c r="AV12" s="30" t="str">
        <f t="shared" si="5"/>
        <v>N</v>
      </c>
      <c r="AW12" s="30" t="str">
        <f t="shared" si="5"/>
        <v>N</v>
      </c>
      <c r="AX12" s="31" t="str">
        <f t="shared" si="5"/>
        <v>N</v>
      </c>
      <c r="AY12" s="30" t="str">
        <f t="shared" si="5"/>
        <v>N</v>
      </c>
      <c r="AZ12" s="30" t="str">
        <f t="shared" si="5"/>
        <v>N</v>
      </c>
      <c r="BA12" s="30" t="str">
        <f t="shared" si="5"/>
        <v>N</v>
      </c>
      <c r="BB12" s="30" t="str">
        <f t="shared" si="5"/>
        <v>N</v>
      </c>
      <c r="BC12" s="30" t="str">
        <f t="shared" si="5"/>
        <v>N</v>
      </c>
      <c r="BD12" s="30" t="str">
        <f t="shared" si="5"/>
        <v>N</v>
      </c>
      <c r="BE12" s="30" t="str">
        <f t="shared" si="5"/>
        <v>N</v>
      </c>
      <c r="BF12" s="30" t="str">
        <f t="shared" si="5"/>
        <v>N</v>
      </c>
      <c r="BG12" s="30" t="str">
        <f t="shared" si="5"/>
        <v>N</v>
      </c>
      <c r="BH12" s="30" t="str">
        <f t="shared" si="5"/>
        <v>N</v>
      </c>
      <c r="BI12" s="30" t="str">
        <f t="shared" si="5"/>
        <v>N</v>
      </c>
      <c r="BJ12" s="31" t="str">
        <f t="shared" si="5"/>
        <v>N</v>
      </c>
    </row>
    <row r="13" spans="2:62" x14ac:dyDescent="0.35">
      <c r="R13" s="126"/>
    </row>
    <row r="14" spans="2:62" x14ac:dyDescent="0.35">
      <c r="F14">
        <v>1</v>
      </c>
      <c r="G14">
        <f>F14+1</f>
        <v>2</v>
      </c>
      <c r="H14">
        <f t="shared" ref="H14:AC14" si="7">G14+1</f>
        <v>3</v>
      </c>
      <c r="I14">
        <f t="shared" si="7"/>
        <v>4</v>
      </c>
      <c r="J14" s="154">
        <f t="shared" si="7"/>
        <v>5</v>
      </c>
      <c r="K14">
        <f t="shared" si="7"/>
        <v>6</v>
      </c>
      <c r="L14">
        <f t="shared" si="7"/>
        <v>7</v>
      </c>
      <c r="M14">
        <f t="shared" si="7"/>
        <v>8</v>
      </c>
      <c r="N14">
        <f t="shared" si="7"/>
        <v>9</v>
      </c>
      <c r="O14">
        <f t="shared" si="7"/>
        <v>10</v>
      </c>
      <c r="P14">
        <f t="shared" si="7"/>
        <v>11</v>
      </c>
      <c r="Q14" s="154">
        <f t="shared" si="7"/>
        <v>12</v>
      </c>
      <c r="R14">
        <f t="shared" si="7"/>
        <v>13</v>
      </c>
      <c r="S14">
        <f t="shared" si="7"/>
        <v>14</v>
      </c>
      <c r="T14">
        <f t="shared" si="7"/>
        <v>15</v>
      </c>
      <c r="U14">
        <f t="shared" si="7"/>
        <v>16</v>
      </c>
      <c r="V14">
        <f t="shared" si="7"/>
        <v>17</v>
      </c>
      <c r="W14">
        <f t="shared" si="7"/>
        <v>18</v>
      </c>
      <c r="X14">
        <f t="shared" si="7"/>
        <v>19</v>
      </c>
      <c r="Y14" s="154">
        <f t="shared" si="7"/>
        <v>20</v>
      </c>
      <c r="Z14">
        <f t="shared" si="7"/>
        <v>21</v>
      </c>
      <c r="AA14">
        <f t="shared" si="7"/>
        <v>22</v>
      </c>
      <c r="AB14">
        <f t="shared" si="7"/>
        <v>23</v>
      </c>
      <c r="AC14">
        <f t="shared" si="7"/>
        <v>24</v>
      </c>
    </row>
    <row r="15" spans="2:62" x14ac:dyDescent="0.35">
      <c r="B15" s="123">
        <f>EDATE(K5,(D15-1))</f>
        <v>45536</v>
      </c>
      <c r="C15" s="151" t="s">
        <v>135</v>
      </c>
      <c r="D15">
        <v>6</v>
      </c>
    </row>
    <row r="16" spans="2:62" x14ac:dyDescent="0.35">
      <c r="B16" s="124">
        <f>EDATE(K5,(D16-1))</f>
        <v>45901</v>
      </c>
      <c r="C16" s="152" t="s">
        <v>136</v>
      </c>
      <c r="D16">
        <v>18</v>
      </c>
      <c r="E16" s="137">
        <f>D16-D15</f>
        <v>12</v>
      </c>
    </row>
    <row r="17" spans="2:62" x14ac:dyDescent="0.35">
      <c r="B17" s="125">
        <f>EDATE(K5,(D17-1))</f>
        <v>45992</v>
      </c>
      <c r="C17" s="153" t="s">
        <v>137</v>
      </c>
      <c r="D17">
        <v>21</v>
      </c>
      <c r="E17" s="137">
        <f>D17-D16</f>
        <v>3</v>
      </c>
    </row>
    <row r="18" spans="2:62" x14ac:dyDescent="0.35">
      <c r="B18" s="237" t="s">
        <v>162</v>
      </c>
      <c r="E18" s="137">
        <f>SUM(J5:J7)-D17</f>
        <v>9</v>
      </c>
    </row>
    <row r="19" spans="2:62" x14ac:dyDescent="0.35">
      <c r="B19" s="125">
        <f>EDATE(K5,(D19-1))</f>
        <v>46631</v>
      </c>
      <c r="C19" s="153" t="s">
        <v>137</v>
      </c>
      <c r="D19">
        <v>42</v>
      </c>
      <c r="E19" s="137">
        <v>24</v>
      </c>
      <c r="F19" s="137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  <c r="Z19" s="137"/>
      <c r="AA19" s="137"/>
      <c r="AB19" s="137"/>
      <c r="AC19" s="137"/>
      <c r="AD19" s="137"/>
    </row>
    <row r="20" spans="2:62" x14ac:dyDescent="0.35">
      <c r="D20" s="137" t="str">
        <f>_xlfn.IFNA(VLOOKUP(D9,$B$15:$C$17,2,),D11)</f>
        <v>SL1</v>
      </c>
    </row>
    <row r="24" spans="2:62" x14ac:dyDescent="0.35">
      <c r="B24" s="15" t="s">
        <v>119</v>
      </c>
      <c r="C24" s="347" t="s">
        <v>166</v>
      </c>
      <c r="D24" s="347"/>
      <c r="E24" s="100">
        <f>J7/2</f>
        <v>6</v>
      </c>
      <c r="F24" s="26">
        <f>K7</f>
        <v>45931</v>
      </c>
      <c r="G24" s="26">
        <f>EDATE(F24,(E24-1))</f>
        <v>46082</v>
      </c>
      <c r="H24" s="15" t="s">
        <v>164</v>
      </c>
    </row>
    <row r="25" spans="2:62" x14ac:dyDescent="0.35">
      <c r="B25" s="15" t="s">
        <v>119</v>
      </c>
      <c r="C25" s="347" t="s">
        <v>167</v>
      </c>
      <c r="D25" s="347"/>
      <c r="E25" s="100">
        <f>J7/2</f>
        <v>6</v>
      </c>
      <c r="F25" s="26">
        <f>EDATE(G24,1)</f>
        <v>46113</v>
      </c>
      <c r="G25" s="26">
        <f>EDATE(F25,(E25-1))</f>
        <v>46266</v>
      </c>
      <c r="H25" s="3" t="s">
        <v>165</v>
      </c>
    </row>
    <row r="27" spans="2:62" x14ac:dyDescent="0.35">
      <c r="B27" s="4" t="s">
        <v>74</v>
      </c>
      <c r="C27" s="138">
        <f>C2</f>
        <v>45352</v>
      </c>
      <c r="D27" s="139">
        <f>EDATE(C27,1)</f>
        <v>45383</v>
      </c>
      <c r="E27" s="139">
        <f>EDATE(D27,1)</f>
        <v>45413</v>
      </c>
      <c r="F27" s="139">
        <f>EDATE(E27,1)</f>
        <v>45444</v>
      </c>
      <c r="G27" s="139">
        <f t="shared" ref="G27:BJ27" si="8">EDATE(F27,1)</f>
        <v>45474</v>
      </c>
      <c r="H27" s="139">
        <f t="shared" si="8"/>
        <v>45505</v>
      </c>
      <c r="I27" s="139">
        <f t="shared" si="8"/>
        <v>45536</v>
      </c>
      <c r="J27" s="139">
        <f t="shared" si="8"/>
        <v>45566</v>
      </c>
      <c r="K27" s="139">
        <f t="shared" si="8"/>
        <v>45597</v>
      </c>
      <c r="L27" s="139">
        <f t="shared" si="8"/>
        <v>45627</v>
      </c>
      <c r="M27" s="139">
        <f t="shared" si="8"/>
        <v>45658</v>
      </c>
      <c r="N27" s="140">
        <f t="shared" si="8"/>
        <v>45689</v>
      </c>
      <c r="O27" s="139">
        <f t="shared" si="8"/>
        <v>45717</v>
      </c>
      <c r="P27" s="139">
        <f t="shared" si="8"/>
        <v>45748</v>
      </c>
      <c r="Q27" s="139">
        <f t="shared" si="8"/>
        <v>45778</v>
      </c>
      <c r="R27" s="139">
        <f t="shared" si="8"/>
        <v>45809</v>
      </c>
      <c r="S27" s="139">
        <f t="shared" si="8"/>
        <v>45839</v>
      </c>
      <c r="T27" s="139">
        <f t="shared" si="8"/>
        <v>45870</v>
      </c>
      <c r="U27" s="139">
        <f t="shared" si="8"/>
        <v>45901</v>
      </c>
      <c r="V27" s="139">
        <f t="shared" si="8"/>
        <v>45931</v>
      </c>
      <c r="W27" s="139">
        <f t="shared" si="8"/>
        <v>45962</v>
      </c>
      <c r="X27" s="139">
        <f t="shared" si="8"/>
        <v>45992</v>
      </c>
      <c r="Y27" s="139">
        <f t="shared" si="8"/>
        <v>46023</v>
      </c>
      <c r="Z27" s="140">
        <f t="shared" si="8"/>
        <v>46054</v>
      </c>
      <c r="AA27" s="139">
        <f t="shared" si="8"/>
        <v>46082</v>
      </c>
      <c r="AB27" s="139">
        <f t="shared" si="8"/>
        <v>46113</v>
      </c>
      <c r="AC27" s="139">
        <f t="shared" si="8"/>
        <v>46143</v>
      </c>
      <c r="AD27" s="139">
        <f t="shared" si="8"/>
        <v>46174</v>
      </c>
      <c r="AE27" s="139">
        <f t="shared" si="8"/>
        <v>46204</v>
      </c>
      <c r="AF27" s="139">
        <f t="shared" si="8"/>
        <v>46235</v>
      </c>
      <c r="AG27" s="139">
        <f t="shared" si="8"/>
        <v>46266</v>
      </c>
      <c r="AH27" s="139">
        <f t="shared" si="8"/>
        <v>46296</v>
      </c>
      <c r="AI27" s="139">
        <f t="shared" si="8"/>
        <v>46327</v>
      </c>
      <c r="AJ27" s="139">
        <f t="shared" si="8"/>
        <v>46357</v>
      </c>
      <c r="AK27" s="139">
        <f t="shared" si="8"/>
        <v>46388</v>
      </c>
      <c r="AL27" s="140">
        <f t="shared" si="8"/>
        <v>46419</v>
      </c>
      <c r="AM27" s="139">
        <f t="shared" si="8"/>
        <v>46447</v>
      </c>
      <c r="AN27" s="139">
        <f t="shared" si="8"/>
        <v>46478</v>
      </c>
      <c r="AO27" s="139">
        <f t="shared" si="8"/>
        <v>46508</v>
      </c>
      <c r="AP27" s="139">
        <f t="shared" si="8"/>
        <v>46539</v>
      </c>
      <c r="AQ27" s="139">
        <f t="shared" si="8"/>
        <v>46569</v>
      </c>
      <c r="AR27" s="139">
        <f t="shared" si="8"/>
        <v>46600</v>
      </c>
      <c r="AS27" s="139">
        <f t="shared" si="8"/>
        <v>46631</v>
      </c>
      <c r="AT27" s="139">
        <f t="shared" si="8"/>
        <v>46661</v>
      </c>
      <c r="AU27" s="139">
        <f t="shared" si="8"/>
        <v>46692</v>
      </c>
      <c r="AV27" s="139">
        <f t="shared" si="8"/>
        <v>46722</v>
      </c>
      <c r="AW27" s="139">
        <f t="shared" si="8"/>
        <v>46753</v>
      </c>
      <c r="AX27" s="140">
        <f t="shared" si="8"/>
        <v>46784</v>
      </c>
      <c r="AY27" s="139">
        <f t="shared" si="8"/>
        <v>46813</v>
      </c>
      <c r="AZ27" s="139">
        <f t="shared" si="8"/>
        <v>46844</v>
      </c>
      <c r="BA27" s="139">
        <f t="shared" si="8"/>
        <v>46874</v>
      </c>
      <c r="BB27" s="139">
        <f t="shared" si="8"/>
        <v>46905</v>
      </c>
      <c r="BC27" s="139">
        <f t="shared" si="8"/>
        <v>46935</v>
      </c>
      <c r="BD27" s="139">
        <f t="shared" si="8"/>
        <v>46966</v>
      </c>
      <c r="BE27" s="139">
        <f t="shared" si="8"/>
        <v>46997</v>
      </c>
      <c r="BF27" s="139">
        <f t="shared" si="8"/>
        <v>47027</v>
      </c>
      <c r="BG27" s="139">
        <f t="shared" si="8"/>
        <v>47058</v>
      </c>
      <c r="BH27" s="139">
        <f t="shared" si="8"/>
        <v>47088</v>
      </c>
      <c r="BI27" s="139">
        <f t="shared" si="8"/>
        <v>47119</v>
      </c>
      <c r="BJ27" s="140">
        <f t="shared" si="8"/>
        <v>47150</v>
      </c>
    </row>
    <row r="28" spans="2:62" x14ac:dyDescent="0.35">
      <c r="B28" s="3" t="s">
        <v>50</v>
      </c>
      <c r="C28" s="243" t="str">
        <f>IF(C27&gt;=$F$24,IF(C27&lt;=$G$24,$H$24,IF(C27&gt;=$F$25,IF(C27&lt;=$G$25,$H$25,C11))),C11)</f>
        <v>N</v>
      </c>
      <c r="D28" s="244" t="str">
        <f t="shared" ref="D28:BJ28" si="9">IF(D27&gt;=$F$24,IF(D27&lt;=$G$24,$H$24,IF(D27&gt;=$F$25,IF(D27&lt;=$G$25,$H$25,D11))),D11)</f>
        <v>SL1</v>
      </c>
      <c r="E28" s="244" t="str">
        <f t="shared" si="9"/>
        <v>SL1</v>
      </c>
      <c r="F28" s="244" t="str">
        <f t="shared" si="9"/>
        <v>SL1</v>
      </c>
      <c r="G28" s="244" t="str">
        <f t="shared" si="9"/>
        <v>SL1</v>
      </c>
      <c r="H28" s="244" t="str">
        <f t="shared" si="9"/>
        <v>SL1</v>
      </c>
      <c r="I28" s="244" t="str">
        <f t="shared" si="9"/>
        <v>SL1</v>
      </c>
      <c r="J28" s="244" t="str">
        <f t="shared" si="9"/>
        <v>SL2</v>
      </c>
      <c r="K28" s="244" t="str">
        <f t="shared" si="9"/>
        <v>SL2</v>
      </c>
      <c r="L28" s="244" t="str">
        <f t="shared" si="9"/>
        <v>SL2</v>
      </c>
      <c r="M28" s="244" t="str">
        <f t="shared" si="9"/>
        <v>SL2</v>
      </c>
      <c r="N28" s="153" t="str">
        <f t="shared" si="9"/>
        <v>SL2</v>
      </c>
      <c r="O28" s="244" t="str">
        <f t="shared" si="9"/>
        <v>SL2</v>
      </c>
      <c r="P28" s="244" t="str">
        <f t="shared" si="9"/>
        <v>SL2</v>
      </c>
      <c r="Q28" s="244" t="str">
        <f t="shared" si="9"/>
        <v>SL2</v>
      </c>
      <c r="R28" s="244" t="str">
        <f t="shared" si="9"/>
        <v>SL2</v>
      </c>
      <c r="S28" s="244" t="str">
        <f t="shared" si="9"/>
        <v>SL2</v>
      </c>
      <c r="T28" s="244" t="str">
        <f t="shared" si="9"/>
        <v>SL2</v>
      </c>
      <c r="U28" s="244" t="str">
        <f t="shared" si="9"/>
        <v>SL2</v>
      </c>
      <c r="V28" s="244" t="str">
        <f t="shared" si="9"/>
        <v>SL31</v>
      </c>
      <c r="W28" s="244" t="str">
        <f t="shared" si="9"/>
        <v>SL31</v>
      </c>
      <c r="X28" s="244" t="str">
        <f t="shared" si="9"/>
        <v>SL31</v>
      </c>
      <c r="Y28" s="244" t="str">
        <f t="shared" si="9"/>
        <v>SL31</v>
      </c>
      <c r="Z28" s="153" t="str">
        <f t="shared" si="9"/>
        <v>SL31</v>
      </c>
      <c r="AA28" s="244" t="str">
        <f t="shared" si="9"/>
        <v>SL31</v>
      </c>
      <c r="AB28" s="244" t="str">
        <f t="shared" si="9"/>
        <v>SL32</v>
      </c>
      <c r="AC28" s="244" t="str">
        <f t="shared" si="9"/>
        <v>SL32</v>
      </c>
      <c r="AD28" s="244" t="str">
        <f t="shared" si="9"/>
        <v>SL32</v>
      </c>
      <c r="AE28" s="244" t="str">
        <f t="shared" si="9"/>
        <v>SL32</v>
      </c>
      <c r="AF28" s="244" t="str">
        <f t="shared" si="9"/>
        <v>SL32</v>
      </c>
      <c r="AG28" s="244" t="str">
        <f t="shared" si="9"/>
        <v>SL32</v>
      </c>
      <c r="AH28" s="244" t="str">
        <f t="shared" si="9"/>
        <v>N</v>
      </c>
      <c r="AI28" s="244" t="str">
        <f t="shared" si="9"/>
        <v>N</v>
      </c>
      <c r="AJ28" s="244" t="str">
        <f t="shared" si="9"/>
        <v>N</v>
      </c>
      <c r="AK28" s="244" t="str">
        <f t="shared" si="9"/>
        <v>N</v>
      </c>
      <c r="AL28" s="153" t="str">
        <f t="shared" si="9"/>
        <v>N</v>
      </c>
      <c r="AM28" s="244" t="str">
        <f t="shared" si="9"/>
        <v>N</v>
      </c>
      <c r="AN28" s="244" t="str">
        <f t="shared" si="9"/>
        <v>N</v>
      </c>
      <c r="AO28" s="244" t="str">
        <f t="shared" si="9"/>
        <v>N</v>
      </c>
      <c r="AP28" s="244" t="str">
        <f t="shared" si="9"/>
        <v>N</v>
      </c>
      <c r="AQ28" s="244" t="str">
        <f t="shared" si="9"/>
        <v>N</v>
      </c>
      <c r="AR28" s="244" t="str">
        <f t="shared" si="9"/>
        <v>N</v>
      </c>
      <c r="AS28" s="244" t="str">
        <f t="shared" si="9"/>
        <v>N</v>
      </c>
      <c r="AT28" s="244" t="str">
        <f t="shared" si="9"/>
        <v>N</v>
      </c>
      <c r="AU28" s="244" t="str">
        <f t="shared" si="9"/>
        <v>N</v>
      </c>
      <c r="AV28" s="244" t="str">
        <f t="shared" si="9"/>
        <v>N</v>
      </c>
      <c r="AW28" s="244" t="str">
        <f t="shared" si="9"/>
        <v>N</v>
      </c>
      <c r="AX28" s="153" t="str">
        <f t="shared" si="9"/>
        <v>N</v>
      </c>
      <c r="AY28" s="244" t="str">
        <f t="shared" si="9"/>
        <v>N</v>
      </c>
      <c r="AZ28" s="244" t="str">
        <f t="shared" si="9"/>
        <v>N</v>
      </c>
      <c r="BA28" s="244" t="str">
        <f t="shared" si="9"/>
        <v>N</v>
      </c>
      <c r="BB28" s="244" t="str">
        <f t="shared" si="9"/>
        <v>N</v>
      </c>
      <c r="BC28" s="244" t="str">
        <f t="shared" si="9"/>
        <v>N</v>
      </c>
      <c r="BD28" s="244" t="str">
        <f t="shared" si="9"/>
        <v>N</v>
      </c>
      <c r="BE28" s="244" t="str">
        <f t="shared" si="9"/>
        <v>N</v>
      </c>
      <c r="BF28" s="244" t="str">
        <f t="shared" si="9"/>
        <v>N</v>
      </c>
      <c r="BG28" s="244" t="str">
        <f t="shared" si="9"/>
        <v>N</v>
      </c>
      <c r="BH28" s="244" t="str">
        <f t="shared" si="9"/>
        <v>N</v>
      </c>
      <c r="BI28" s="244" t="str">
        <f t="shared" si="9"/>
        <v>N</v>
      </c>
      <c r="BJ28" s="153" t="str">
        <f t="shared" si="9"/>
        <v>N</v>
      </c>
    </row>
  </sheetData>
  <mergeCells count="5">
    <mergeCell ref="H5:I5"/>
    <mergeCell ref="H6:I6"/>
    <mergeCell ref="H7:I7"/>
    <mergeCell ref="C24:D24"/>
    <mergeCell ref="C25:D25"/>
  </mergeCells>
  <dataValidations count="1">
    <dataValidation type="date" allowBlank="1" showInputMessage="1" showErrorMessage="1" sqref="C2:C3">
      <formula1>B7</formula1>
      <formula2>EOMONTH(B7,24)+1</formula2>
    </dataValidation>
  </dataValidations>
  <hyperlinks>
    <hyperlink ref="B1" location="Index!C3" display="Back - Index"/>
  </hyperlinks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BJ18"/>
  <sheetViews>
    <sheetView showGridLines="0" workbookViewId="0">
      <pane xSplit="2" ySplit="2" topLeftCell="C3" activePane="bottomRight" state="frozen"/>
      <selection activeCell="T1" sqref="T1:Y1"/>
      <selection pane="topRight" activeCell="T1" sqref="T1:Y1"/>
      <selection pane="bottomLeft" activeCell="T1" sqref="T1:Y1"/>
      <selection pane="bottomRight" activeCell="F4" sqref="F4"/>
    </sheetView>
  </sheetViews>
  <sheetFormatPr defaultRowHeight="14.5" x14ac:dyDescent="0.35"/>
  <cols>
    <col min="1" max="1" width="33" bestFit="1" customWidth="1"/>
    <col min="2" max="2" width="11.1796875" bestFit="1" customWidth="1"/>
    <col min="3" max="8" width="10.54296875" bestFit="1" customWidth="1"/>
    <col min="9" max="9" width="11.1796875" bestFit="1" customWidth="1"/>
    <col min="10" max="38" width="10.54296875" bestFit="1" customWidth="1"/>
    <col min="39" max="39" width="10.54296875" customWidth="1"/>
    <col min="40" max="62" width="10.54296875" hidden="1" customWidth="1"/>
  </cols>
  <sheetData>
    <row r="1" spans="1:62" x14ac:dyDescent="0.35">
      <c r="A1" s="122" t="s">
        <v>117</v>
      </c>
      <c r="C1" s="29" t="str">
        <f>LOOKUP(C2,'Input-Stress Parameters'!$C$9:$BJ$9,'Input-Stress Parameters'!$C$11:$BJ$11)</f>
        <v>N</v>
      </c>
      <c r="D1" s="30" t="str">
        <f>LOOKUP(D2,'Input-Stress Parameters'!$C$9:$BJ$9,'Input-Stress Parameters'!$C$11:$BJ$11)</f>
        <v>SL1</v>
      </c>
      <c r="E1" s="30" t="str">
        <f>LOOKUP(E2,'Input-Stress Parameters'!$C$9:$BJ$9,'Input-Stress Parameters'!$C$11:$BJ$11)</f>
        <v>SL1</v>
      </c>
      <c r="F1" s="30" t="str">
        <f>LOOKUP(F2,'Input-Stress Parameters'!$C$9:$BJ$9,'Input-Stress Parameters'!$C$11:$BJ$11)</f>
        <v>SL1</v>
      </c>
      <c r="G1" s="30" t="str">
        <f>LOOKUP(G2,'Input-Stress Parameters'!$C$9:$BJ$9,'Input-Stress Parameters'!$C$11:$BJ$11)</f>
        <v>SL1</v>
      </c>
      <c r="H1" s="30" t="str">
        <f>LOOKUP(H2,'Input-Stress Parameters'!$C$9:$BJ$9,'Input-Stress Parameters'!$C$11:$BJ$11)</f>
        <v>SL1</v>
      </c>
      <c r="I1" s="30" t="str">
        <f>LOOKUP(I2,'Input-Stress Parameters'!$C$9:$BJ$9,'Input-Stress Parameters'!$C$11:$BJ$11)</f>
        <v>SL1</v>
      </c>
      <c r="J1" s="30" t="str">
        <f>LOOKUP(J2,'Input-Stress Parameters'!$C$9:$BJ$9,'Input-Stress Parameters'!$C$11:$BJ$11)</f>
        <v>SL2</v>
      </c>
      <c r="K1" s="30" t="str">
        <f>LOOKUP(K2,'Input-Stress Parameters'!$C$9:$BJ$9,'Input-Stress Parameters'!$C$11:$BJ$11)</f>
        <v>SL2</v>
      </c>
      <c r="L1" s="30" t="str">
        <f>LOOKUP(L2,'Input-Stress Parameters'!$C$9:$BJ$9,'Input-Stress Parameters'!$C$11:$BJ$11)</f>
        <v>SL2</v>
      </c>
      <c r="M1" s="30" t="str">
        <f>LOOKUP(M2,'Input-Stress Parameters'!$C$9:$BJ$9,'Input-Stress Parameters'!$C$11:$BJ$11)</f>
        <v>SL2</v>
      </c>
      <c r="N1" s="31" t="str">
        <f>LOOKUP(N2,'Input-Stress Parameters'!$C$9:$BJ$9,'Input-Stress Parameters'!$C$11:$BJ$11)</f>
        <v>SL2</v>
      </c>
      <c r="O1" s="28" t="str">
        <f>LOOKUP(O2,'Input-Stress Parameters'!$C$9:$BJ$9,'Input-Stress Parameters'!$C$11:$BJ$11)</f>
        <v>SL2</v>
      </c>
      <c r="P1" s="28" t="str">
        <f>LOOKUP(P2,'Input-Stress Parameters'!$C$9:$BJ$9,'Input-Stress Parameters'!$C$11:$BJ$11)</f>
        <v>SL2</v>
      </c>
      <c r="Q1" s="28" t="str">
        <f>LOOKUP(Q2,'Input-Stress Parameters'!$C$9:$BJ$9,'Input-Stress Parameters'!$C$11:$BJ$11)</f>
        <v>SL2</v>
      </c>
      <c r="R1" s="28" t="str">
        <f>LOOKUP(R2,'Input-Stress Parameters'!$C$9:$BJ$9,'Input-Stress Parameters'!$C$11:$BJ$11)</f>
        <v>SL2</v>
      </c>
      <c r="S1" s="28" t="str">
        <f>LOOKUP(S2,'Input-Stress Parameters'!$C$9:$BJ$9,'Input-Stress Parameters'!$C$11:$BJ$11)</f>
        <v>SL2</v>
      </c>
      <c r="T1" s="28" t="str">
        <f>LOOKUP(T2,'Input-Stress Parameters'!$C$9:$BJ$9,'Input-Stress Parameters'!$C$11:$BJ$11)</f>
        <v>SL2</v>
      </c>
      <c r="U1" s="28" t="str">
        <f>LOOKUP(U2,'Input-Stress Parameters'!$C$9:$BJ$9,'Input-Stress Parameters'!$C$11:$BJ$11)</f>
        <v>SL2</v>
      </c>
      <c r="V1" s="28" t="str">
        <f>LOOKUP(V2,'Input-Stress Parameters'!$C$9:$BJ$9,'Input-Stress Parameters'!$C$11:$BJ$11)</f>
        <v>SL3</v>
      </c>
      <c r="W1" s="28" t="str">
        <f>LOOKUP(W2,'Input-Stress Parameters'!$C$9:$BJ$9,'Input-Stress Parameters'!$C$11:$BJ$11)</f>
        <v>SL3</v>
      </c>
      <c r="X1" s="28" t="str">
        <f>LOOKUP(X2,'Input-Stress Parameters'!$C$9:$BJ$9,'Input-Stress Parameters'!$C$11:$BJ$11)</f>
        <v>SL3</v>
      </c>
      <c r="Y1" s="28" t="str">
        <f>LOOKUP(Y2,'Input-Stress Parameters'!$C$9:$BJ$9,'Input-Stress Parameters'!$C$11:$BJ$11)</f>
        <v>SL3</v>
      </c>
      <c r="Z1" s="28" t="str">
        <f>LOOKUP(Z2,'Input-Stress Parameters'!$C$9:$BJ$9,'Input-Stress Parameters'!$C$11:$BJ$11)</f>
        <v>SL3</v>
      </c>
      <c r="AA1" s="28" t="str">
        <f>LOOKUP(AA2,'Input-Stress Parameters'!$C$9:$BJ$9,'Input-Stress Parameters'!$C$11:$BJ$11)</f>
        <v>SL3</v>
      </c>
      <c r="AB1" s="28" t="str">
        <f>LOOKUP(AB2,'Input-Stress Parameters'!$C$9:$BJ$9,'Input-Stress Parameters'!$C$11:$BJ$11)</f>
        <v>SL3</v>
      </c>
      <c r="AC1" s="28" t="str">
        <f>LOOKUP(AC2,'Input-Stress Parameters'!$C$9:$BJ$9,'Input-Stress Parameters'!$C$11:$BJ$11)</f>
        <v>SL3</v>
      </c>
      <c r="AD1" s="28" t="str">
        <f>LOOKUP(AD2,'Input-Stress Parameters'!$C$9:$BJ$9,'Input-Stress Parameters'!$C$11:$BJ$11)</f>
        <v>SL3</v>
      </c>
      <c r="AE1" s="28" t="str">
        <f>LOOKUP(AE2,'Input-Stress Parameters'!$C$9:$BJ$9,'Input-Stress Parameters'!$C$11:$BJ$11)</f>
        <v>SL3</v>
      </c>
      <c r="AF1" s="28" t="str">
        <f>LOOKUP(AF2,'Input-Stress Parameters'!$C$9:$BJ$9,'Input-Stress Parameters'!$C$11:$BJ$11)</f>
        <v>SL3</v>
      </c>
      <c r="AG1" s="28" t="str">
        <f>LOOKUP(AG2,'Input-Stress Parameters'!$C$9:$BJ$9,'Input-Stress Parameters'!$C$11:$BJ$11)</f>
        <v>SL3</v>
      </c>
      <c r="AH1" s="28" t="str">
        <f>LOOKUP(AH2,'Input-Stress Parameters'!$C$9:$BJ$9,'Input-Stress Parameters'!$C$11:$BJ$11)</f>
        <v>N</v>
      </c>
      <c r="AI1" s="28" t="str">
        <f>LOOKUP(AI2,'Input-Stress Parameters'!$C$9:$BJ$9,'Input-Stress Parameters'!$C$11:$BJ$11)</f>
        <v>N</v>
      </c>
      <c r="AJ1" s="28" t="str">
        <f>LOOKUP(AJ2,'Input-Stress Parameters'!$C$9:$BJ$9,'Input-Stress Parameters'!$C$11:$BJ$11)</f>
        <v>N</v>
      </c>
      <c r="AK1" s="28" t="str">
        <f>LOOKUP(AK2,'Input-Stress Parameters'!$C$9:$BJ$9,'Input-Stress Parameters'!$C$11:$BJ$11)</f>
        <v>N</v>
      </c>
      <c r="AL1" s="28" t="str">
        <f>LOOKUP(AL2,'Input-Stress Parameters'!$C$9:$BJ$9,'Input-Stress Parameters'!$C$11:$BJ$11)</f>
        <v>N</v>
      </c>
      <c r="AM1" s="28" t="str">
        <f>LOOKUP(AM2,'Input-Stress Parameters'!$C$9:$BJ$9,'Input-Stress Parameters'!$C$11:$BJ$11)</f>
        <v>N</v>
      </c>
      <c r="AN1" s="28" t="str">
        <f>LOOKUP(AN2,'Input-Stress Parameters'!$C$9:$BJ$9,'Input-Stress Parameters'!$C$11:$BJ$11)</f>
        <v>N</v>
      </c>
      <c r="AO1" s="28" t="str">
        <f>LOOKUP(AO2,'Input-Stress Parameters'!$C$9:$BJ$9,'Input-Stress Parameters'!$C$11:$BJ$11)</f>
        <v>N</v>
      </c>
      <c r="AP1" s="28" t="str">
        <f>LOOKUP(AP2,'Input-Stress Parameters'!$C$9:$BJ$9,'Input-Stress Parameters'!$C$11:$BJ$11)</f>
        <v>N</v>
      </c>
      <c r="AQ1" s="28" t="str">
        <f>LOOKUP(AQ2,'Input-Stress Parameters'!$C$9:$BJ$9,'Input-Stress Parameters'!$C$11:$BJ$11)</f>
        <v>N</v>
      </c>
      <c r="AR1" s="28" t="str">
        <f>LOOKUP(AR2,'Input-Stress Parameters'!$C$9:$BJ$9,'Input-Stress Parameters'!$C$11:$BJ$11)</f>
        <v>N</v>
      </c>
      <c r="AS1" s="28" t="str">
        <f>LOOKUP(AS2,'Input-Stress Parameters'!$C$9:$BJ$9,'Input-Stress Parameters'!$C$11:$BJ$11)</f>
        <v>N</v>
      </c>
      <c r="AT1" s="28" t="str">
        <f>LOOKUP(AT2,'Input-Stress Parameters'!$C$9:$BJ$9,'Input-Stress Parameters'!$C$11:$BJ$11)</f>
        <v>N</v>
      </c>
      <c r="AU1" s="28" t="str">
        <f>LOOKUP(AU2,'Input-Stress Parameters'!$C$9:$BJ$9,'Input-Stress Parameters'!$C$11:$BJ$11)</f>
        <v>N</v>
      </c>
      <c r="AV1" s="28" t="str">
        <f>LOOKUP(AV2,'Input-Stress Parameters'!$C$9:$BJ$9,'Input-Stress Parameters'!$C$11:$BJ$11)</f>
        <v>N</v>
      </c>
      <c r="AW1" s="28" t="str">
        <f>LOOKUP(AW2,'Input-Stress Parameters'!$C$9:$BJ$9,'Input-Stress Parameters'!$C$11:$BJ$11)</f>
        <v>N</v>
      </c>
      <c r="AX1" s="28" t="str">
        <f>LOOKUP(AX2,'Input-Stress Parameters'!$C$9:$BJ$9,'Input-Stress Parameters'!$C$11:$BJ$11)</f>
        <v>N</v>
      </c>
      <c r="AY1" s="28" t="str">
        <f>LOOKUP(AY2,'Input-Stress Parameters'!$C$9:$BJ$9,'Input-Stress Parameters'!$C$11:$BJ$11)</f>
        <v>N</v>
      </c>
      <c r="AZ1" s="28" t="str">
        <f>LOOKUP(AZ2,'Input-Stress Parameters'!$C$9:$BJ$9,'Input-Stress Parameters'!$C$11:$BJ$11)</f>
        <v>N</v>
      </c>
      <c r="BA1" s="28" t="str">
        <f>LOOKUP(BA2,'Input-Stress Parameters'!$C$9:$BJ$9,'Input-Stress Parameters'!$C$11:$BJ$11)</f>
        <v>N</v>
      </c>
      <c r="BB1" s="28" t="str">
        <f>LOOKUP(BB2,'Input-Stress Parameters'!$C$9:$BJ$9,'Input-Stress Parameters'!$C$11:$BJ$11)</f>
        <v>N</v>
      </c>
      <c r="BC1" s="28" t="str">
        <f>LOOKUP(BC2,'Input-Stress Parameters'!$C$9:$BJ$9,'Input-Stress Parameters'!$C$11:$BJ$11)</f>
        <v>N</v>
      </c>
      <c r="BD1" s="28" t="str">
        <f>LOOKUP(BD2,'Input-Stress Parameters'!$C$9:$BJ$9,'Input-Stress Parameters'!$C$11:$BJ$11)</f>
        <v>N</v>
      </c>
      <c r="BE1" s="28" t="str">
        <f>LOOKUP(BE2,'Input-Stress Parameters'!$C$9:$BJ$9,'Input-Stress Parameters'!$C$11:$BJ$11)</f>
        <v>N</v>
      </c>
      <c r="BF1" s="28" t="str">
        <f>LOOKUP(BF2,'Input-Stress Parameters'!$C$9:$BJ$9,'Input-Stress Parameters'!$C$11:$BJ$11)</f>
        <v>N</v>
      </c>
      <c r="BG1" s="28" t="str">
        <f>LOOKUP(BG2,'Input-Stress Parameters'!$C$9:$BJ$9,'Input-Stress Parameters'!$C$11:$BJ$11)</f>
        <v>N</v>
      </c>
      <c r="BH1" s="28" t="str">
        <f>LOOKUP(BH2,'Input-Stress Parameters'!$C$9:$BJ$9,'Input-Stress Parameters'!$C$11:$BJ$11)</f>
        <v>N</v>
      </c>
      <c r="BI1" s="28" t="str">
        <f>LOOKUP(BI2,'Input-Stress Parameters'!$C$9:$BJ$9,'Input-Stress Parameters'!$C$11:$BJ$11)</f>
        <v>N</v>
      </c>
      <c r="BJ1" s="28" t="str">
        <f>LOOKUP(BJ2,'Input-Stress Parameters'!$C$9:$BJ$9,'Input-Stress Parameters'!$C$11:$BJ$11)</f>
        <v>N</v>
      </c>
    </row>
    <row r="2" spans="1:62" x14ac:dyDescent="0.35">
      <c r="A2" s="25" t="s">
        <v>4</v>
      </c>
      <c r="B2" s="4" t="s">
        <v>3</v>
      </c>
      <c r="C2" s="19">
        <f>'Input-Stress Parameters'!C9</f>
        <v>45352</v>
      </c>
      <c r="D2" s="20">
        <f>EDATE(C2,1)</f>
        <v>45383</v>
      </c>
      <c r="E2" s="20">
        <f>EDATE(D2,1)</f>
        <v>45413</v>
      </c>
      <c r="F2" s="20">
        <f>EDATE(E2,1)</f>
        <v>45444</v>
      </c>
      <c r="G2" s="20">
        <f t="shared" ref="G2:AL2" si="0">EDATE(F2,1)</f>
        <v>45474</v>
      </c>
      <c r="H2" s="20">
        <f t="shared" si="0"/>
        <v>45505</v>
      </c>
      <c r="I2" s="20">
        <f t="shared" si="0"/>
        <v>45536</v>
      </c>
      <c r="J2" s="20">
        <f t="shared" si="0"/>
        <v>45566</v>
      </c>
      <c r="K2" s="20">
        <f t="shared" si="0"/>
        <v>45597</v>
      </c>
      <c r="L2" s="20">
        <f t="shared" si="0"/>
        <v>45627</v>
      </c>
      <c r="M2" s="20">
        <f t="shared" si="0"/>
        <v>45658</v>
      </c>
      <c r="N2" s="20">
        <f t="shared" si="0"/>
        <v>45689</v>
      </c>
      <c r="O2" s="21">
        <f t="shared" si="0"/>
        <v>45717</v>
      </c>
      <c r="P2" s="20">
        <f t="shared" si="0"/>
        <v>45748</v>
      </c>
      <c r="Q2" s="20">
        <f t="shared" si="0"/>
        <v>45778</v>
      </c>
      <c r="R2" s="20">
        <f t="shared" si="0"/>
        <v>45809</v>
      </c>
      <c r="S2" s="20">
        <f t="shared" si="0"/>
        <v>45839</v>
      </c>
      <c r="T2" s="20">
        <f t="shared" si="0"/>
        <v>45870</v>
      </c>
      <c r="U2" s="20">
        <f t="shared" si="0"/>
        <v>45901</v>
      </c>
      <c r="V2" s="20">
        <f t="shared" si="0"/>
        <v>45931</v>
      </c>
      <c r="W2" s="20">
        <f t="shared" si="0"/>
        <v>45962</v>
      </c>
      <c r="X2" s="20">
        <f t="shared" si="0"/>
        <v>45992</v>
      </c>
      <c r="Y2" s="20">
        <f t="shared" si="0"/>
        <v>46023</v>
      </c>
      <c r="Z2" s="20">
        <f t="shared" si="0"/>
        <v>46054</v>
      </c>
      <c r="AA2" s="21">
        <f t="shared" si="0"/>
        <v>46082</v>
      </c>
      <c r="AB2" s="20">
        <f t="shared" si="0"/>
        <v>46113</v>
      </c>
      <c r="AC2" s="20">
        <f t="shared" si="0"/>
        <v>46143</v>
      </c>
      <c r="AD2" s="20">
        <f t="shared" si="0"/>
        <v>46174</v>
      </c>
      <c r="AE2" s="20">
        <f t="shared" si="0"/>
        <v>46204</v>
      </c>
      <c r="AF2" s="20">
        <f t="shared" si="0"/>
        <v>46235</v>
      </c>
      <c r="AG2" s="20">
        <f t="shared" si="0"/>
        <v>46266</v>
      </c>
      <c r="AH2" s="20">
        <f t="shared" si="0"/>
        <v>46296</v>
      </c>
      <c r="AI2" s="20">
        <f t="shared" si="0"/>
        <v>46327</v>
      </c>
      <c r="AJ2" s="20">
        <f t="shared" si="0"/>
        <v>46357</v>
      </c>
      <c r="AK2" s="20">
        <f t="shared" si="0"/>
        <v>46388</v>
      </c>
      <c r="AL2" s="20">
        <f t="shared" si="0"/>
        <v>46419</v>
      </c>
      <c r="AM2" s="21">
        <f t="shared" ref="AM2" si="1">EDATE(AL2,1)</f>
        <v>46447</v>
      </c>
      <c r="AN2" s="20">
        <f t="shared" ref="AN2" si="2">EDATE(AM2,1)</f>
        <v>46478</v>
      </c>
      <c r="AO2" s="20">
        <f t="shared" ref="AO2" si="3">EDATE(AN2,1)</f>
        <v>46508</v>
      </c>
      <c r="AP2" s="20">
        <f t="shared" ref="AP2" si="4">EDATE(AO2,1)</f>
        <v>46539</v>
      </c>
      <c r="AQ2" s="20">
        <f t="shared" ref="AQ2" si="5">EDATE(AP2,1)</f>
        <v>46569</v>
      </c>
      <c r="AR2" s="20">
        <f t="shared" ref="AR2" si="6">EDATE(AQ2,1)</f>
        <v>46600</v>
      </c>
      <c r="AS2" s="20">
        <f t="shared" ref="AS2" si="7">EDATE(AR2,1)</f>
        <v>46631</v>
      </c>
      <c r="AT2" s="20">
        <f t="shared" ref="AT2" si="8">EDATE(AS2,1)</f>
        <v>46661</v>
      </c>
      <c r="AU2" s="20">
        <f t="shared" ref="AU2" si="9">EDATE(AT2,1)</f>
        <v>46692</v>
      </c>
      <c r="AV2" s="20">
        <f t="shared" ref="AV2" si="10">EDATE(AU2,1)</f>
        <v>46722</v>
      </c>
      <c r="AW2" s="20">
        <f t="shared" ref="AW2" si="11">EDATE(AV2,1)</f>
        <v>46753</v>
      </c>
      <c r="AX2" s="21">
        <f t="shared" ref="AX2" si="12">EDATE(AW2,1)</f>
        <v>46784</v>
      </c>
      <c r="AY2" s="20">
        <f t="shared" ref="AY2" si="13">EDATE(AX2,1)</f>
        <v>46813</v>
      </c>
      <c r="AZ2" s="20">
        <f t="shared" ref="AZ2" si="14">EDATE(AY2,1)</f>
        <v>46844</v>
      </c>
      <c r="BA2" s="20">
        <f t="shared" ref="BA2" si="15">EDATE(AZ2,1)</f>
        <v>46874</v>
      </c>
      <c r="BB2" s="20">
        <f t="shared" ref="BB2" si="16">EDATE(BA2,1)</f>
        <v>46905</v>
      </c>
      <c r="BC2" s="20">
        <f t="shared" ref="BC2" si="17">EDATE(BB2,1)</f>
        <v>46935</v>
      </c>
      <c r="BD2" s="20">
        <f t="shared" ref="BD2" si="18">EDATE(BC2,1)</f>
        <v>46966</v>
      </c>
      <c r="BE2" s="20">
        <f t="shared" ref="BE2" si="19">EDATE(BD2,1)</f>
        <v>46997</v>
      </c>
      <c r="BF2" s="20">
        <f t="shared" ref="BF2" si="20">EDATE(BE2,1)</f>
        <v>47027</v>
      </c>
      <c r="BG2" s="20">
        <f t="shared" ref="BG2" si="21">EDATE(BF2,1)</f>
        <v>47058</v>
      </c>
      <c r="BH2" s="20">
        <f t="shared" ref="BH2" si="22">EDATE(BG2,1)</f>
        <v>47088</v>
      </c>
      <c r="BI2" s="20">
        <f t="shared" ref="BI2" si="23">EDATE(BH2,1)</f>
        <v>47119</v>
      </c>
      <c r="BJ2" s="21">
        <f t="shared" ref="BJ2" si="24">EDATE(BI2,1)</f>
        <v>47150</v>
      </c>
    </row>
    <row r="3" spans="1:62" x14ac:dyDescent="0.35">
      <c r="A3" s="15" t="s">
        <v>4</v>
      </c>
      <c r="B3" s="15" t="s">
        <v>188</v>
      </c>
      <c r="C3" s="16">
        <f>SUM(C4:C6)</f>
        <v>4986.666666666667</v>
      </c>
      <c r="D3" s="17">
        <f>SUM(D4:D6)</f>
        <v>2254.9999999999995</v>
      </c>
      <c r="E3" s="17">
        <f t="shared" ref="E3:AM3" si="25">SUM(E4:E6)</f>
        <v>2402.5</v>
      </c>
      <c r="F3" s="17">
        <f t="shared" si="25"/>
        <v>2494</v>
      </c>
      <c r="G3" s="17">
        <f t="shared" si="25"/>
        <v>2550.65</v>
      </c>
      <c r="H3" s="17">
        <f t="shared" si="25"/>
        <v>2687.9999999999995</v>
      </c>
      <c r="I3" s="17">
        <f t="shared" si="25"/>
        <v>2780.1249999999995</v>
      </c>
      <c r="J3" s="17">
        <f t="shared" si="25"/>
        <v>2540</v>
      </c>
      <c r="K3" s="17">
        <f t="shared" si="25"/>
        <v>2733.6</v>
      </c>
      <c r="L3" s="17">
        <f t="shared" si="25"/>
        <v>2866</v>
      </c>
      <c r="M3" s="17">
        <f t="shared" si="25"/>
        <v>2743.9999999999995</v>
      </c>
      <c r="N3" s="17">
        <f t="shared" si="25"/>
        <v>2647.3749999999995</v>
      </c>
      <c r="O3" s="18">
        <f t="shared" si="25"/>
        <v>2749.9999999999995</v>
      </c>
      <c r="P3" s="17">
        <f t="shared" si="25"/>
        <v>1448.1274730612963</v>
      </c>
      <c r="Q3" s="17">
        <f t="shared" si="25"/>
        <v>1599.0032679738556</v>
      </c>
      <c r="R3" s="17">
        <f t="shared" si="25"/>
        <v>1667.3593225578516</v>
      </c>
      <c r="S3" s="17">
        <f t="shared" si="25"/>
        <v>1710.7019519519513</v>
      </c>
      <c r="T3" s="17">
        <f t="shared" si="25"/>
        <v>1843.1698463169041</v>
      </c>
      <c r="U3" s="17">
        <f t="shared" si="25"/>
        <v>1944.2510157216029</v>
      </c>
      <c r="V3" s="17">
        <f t="shared" si="25"/>
        <v>2153.1489136195005</v>
      </c>
      <c r="W3" s="17">
        <f t="shared" si="25"/>
        <v>2727.7371489136181</v>
      </c>
      <c r="X3" s="17">
        <f t="shared" si="25"/>
        <v>3299.3849143260895</v>
      </c>
      <c r="Y3" s="17">
        <f t="shared" si="25"/>
        <v>3720.8150503444595</v>
      </c>
      <c r="Z3" s="17">
        <f t="shared" si="25"/>
        <v>4057.716304539832</v>
      </c>
      <c r="AA3" s="18">
        <f t="shared" si="25"/>
        <v>4751.9984101748796</v>
      </c>
      <c r="AB3" s="17">
        <f t="shared" si="25"/>
        <v>2751.6977212506617</v>
      </c>
      <c r="AC3" s="17">
        <f t="shared" si="25"/>
        <v>3445.562621444974</v>
      </c>
      <c r="AD3" s="17">
        <f t="shared" si="25"/>
        <v>4077.8767002296418</v>
      </c>
      <c r="AE3" s="17">
        <f t="shared" si="25"/>
        <v>4739.3693693693685</v>
      </c>
      <c r="AF3" s="17">
        <f t="shared" si="25"/>
        <v>5661.5193428722841</v>
      </c>
      <c r="AG3" s="17">
        <f t="shared" si="25"/>
        <v>6703.9621974916099</v>
      </c>
      <c r="AH3" s="17">
        <f t="shared" si="25"/>
        <v>7486.0272036742626</v>
      </c>
      <c r="AI3" s="17">
        <f t="shared" si="25"/>
        <v>8393.1107578166393</v>
      </c>
      <c r="AJ3" s="17">
        <f t="shared" si="25"/>
        <v>9157.5340045928278</v>
      </c>
      <c r="AK3" s="17">
        <f t="shared" si="25"/>
        <v>9433.5276452923499</v>
      </c>
      <c r="AL3" s="17">
        <f t="shared" si="25"/>
        <v>9466.8609786256839</v>
      </c>
      <c r="AM3" s="18">
        <f t="shared" si="25"/>
        <v>10325.066242713303</v>
      </c>
      <c r="AN3" s="17">
        <f t="shared" ref="AN3:BJ3" si="26">SUM(AN4:AN6)</f>
        <v>0</v>
      </c>
      <c r="AO3" s="17">
        <f t="shared" si="26"/>
        <v>0</v>
      </c>
      <c r="AP3" s="17">
        <f t="shared" si="26"/>
        <v>0</v>
      </c>
      <c r="AQ3" s="17">
        <f t="shared" si="26"/>
        <v>0</v>
      </c>
      <c r="AR3" s="17">
        <f t="shared" si="26"/>
        <v>0</v>
      </c>
      <c r="AS3" s="17">
        <f t="shared" si="26"/>
        <v>0</v>
      </c>
      <c r="AT3" s="17">
        <f t="shared" si="26"/>
        <v>0</v>
      </c>
      <c r="AU3" s="17">
        <f t="shared" si="26"/>
        <v>0</v>
      </c>
      <c r="AV3" s="17">
        <f t="shared" si="26"/>
        <v>0</v>
      </c>
      <c r="AW3" s="17">
        <f t="shared" si="26"/>
        <v>0</v>
      </c>
      <c r="AX3" s="18">
        <f t="shared" si="26"/>
        <v>0</v>
      </c>
      <c r="AY3" s="17">
        <f t="shared" si="26"/>
        <v>0</v>
      </c>
      <c r="AZ3" s="17">
        <f t="shared" si="26"/>
        <v>0</v>
      </c>
      <c r="BA3" s="17">
        <f t="shared" si="26"/>
        <v>0</v>
      </c>
      <c r="BB3" s="17">
        <f t="shared" si="26"/>
        <v>0</v>
      </c>
      <c r="BC3" s="17">
        <f t="shared" si="26"/>
        <v>0</v>
      </c>
      <c r="BD3" s="17">
        <f t="shared" si="26"/>
        <v>0</v>
      </c>
      <c r="BE3" s="17">
        <f t="shared" si="26"/>
        <v>0</v>
      </c>
      <c r="BF3" s="17">
        <f t="shared" si="26"/>
        <v>0</v>
      </c>
      <c r="BG3" s="17">
        <f t="shared" si="26"/>
        <v>0</v>
      </c>
      <c r="BH3" s="17">
        <f t="shared" si="26"/>
        <v>0</v>
      </c>
      <c r="BI3" s="17">
        <f t="shared" si="26"/>
        <v>0</v>
      </c>
      <c r="BJ3" s="18">
        <f t="shared" si="26"/>
        <v>0</v>
      </c>
    </row>
    <row r="4" spans="1:62" x14ac:dyDescent="0.35">
      <c r="A4" s="1" t="s">
        <v>4</v>
      </c>
      <c r="B4" s="1" t="s">
        <v>157</v>
      </c>
      <c r="C4" s="52">
        <v>2974.9999999999995</v>
      </c>
      <c r="D4" s="53">
        <v>1420.9999999999998</v>
      </c>
      <c r="E4" s="53">
        <v>1524.25</v>
      </c>
      <c r="F4" s="53">
        <v>1584.1</v>
      </c>
      <c r="G4" s="53">
        <v>1614.83</v>
      </c>
      <c r="H4" s="53">
        <v>1705.1999999999996</v>
      </c>
      <c r="I4" s="53">
        <v>1768.8999999999996</v>
      </c>
      <c r="J4" s="53">
        <v>1610</v>
      </c>
      <c r="K4" s="53">
        <v>1764</v>
      </c>
      <c r="L4" s="53">
        <v>1851.4999999999998</v>
      </c>
      <c r="M4" s="53">
        <v>1775.8999999999996</v>
      </c>
      <c r="N4" s="53">
        <v>1713.9499999999996</v>
      </c>
      <c r="O4" s="54">
        <v>1763.9999999999995</v>
      </c>
      <c r="P4" s="53">
        <v>945.70173114290731</v>
      </c>
      <c r="Q4" s="53">
        <v>1049.8856209150324</v>
      </c>
      <c r="R4" s="53">
        <v>1097.5306924571628</v>
      </c>
      <c r="S4" s="53">
        <v>1126.0330330330326</v>
      </c>
      <c r="T4" s="53">
        <v>1215.9022257551662</v>
      </c>
      <c r="U4" s="53">
        <v>1287.4757110051221</v>
      </c>
      <c r="V4" s="53">
        <v>1402.6709062003172</v>
      </c>
      <c r="W4" s="53">
        <v>1778.7493375728659</v>
      </c>
      <c r="X4" s="53">
        <v>2142.9694400282624</v>
      </c>
      <c r="Y4" s="53">
        <v>2398.7705352411217</v>
      </c>
      <c r="Z4" s="53">
        <v>2598.6680798445491</v>
      </c>
      <c r="AA4" s="54">
        <v>2988.2988871224156</v>
      </c>
      <c r="AB4" s="53">
        <v>1742.2284048754634</v>
      </c>
      <c r="AC4" s="53">
        <v>2192.5605016781483</v>
      </c>
      <c r="AD4" s="53">
        <v>2585.0136901607489</v>
      </c>
      <c r="AE4" s="53">
        <v>2979.2252252252247</v>
      </c>
      <c r="AF4" s="53">
        <v>3548.1968733439317</v>
      </c>
      <c r="AG4" s="53">
        <v>4199.2735382441269</v>
      </c>
      <c r="AH4" s="53">
        <v>4493.5523759053167</v>
      </c>
      <c r="AI4" s="53">
        <v>5128.5108638049805</v>
      </c>
      <c r="AJ4" s="53">
        <v>5616.9404698816461</v>
      </c>
      <c r="AK4" s="53">
        <v>5763.4693517046444</v>
      </c>
      <c r="AL4" s="53">
        <v>5763.4693517046444</v>
      </c>
      <c r="AM4" s="54">
        <v>6154.2130365659777</v>
      </c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4"/>
      <c r="AY4" s="53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4"/>
    </row>
    <row r="5" spans="1:62" x14ac:dyDescent="0.35">
      <c r="A5" s="2" t="s">
        <v>4</v>
      </c>
      <c r="B5" s="2" t="s">
        <v>158</v>
      </c>
      <c r="C5" s="55">
        <v>1275.0000000000005</v>
      </c>
      <c r="D5" s="56">
        <v>609</v>
      </c>
      <c r="E5" s="56">
        <v>653.25</v>
      </c>
      <c r="F5" s="56">
        <v>678.90000000000009</v>
      </c>
      <c r="G5" s="56">
        <v>692.07000000000016</v>
      </c>
      <c r="H5" s="56">
        <v>730.8</v>
      </c>
      <c r="I5" s="56">
        <v>758.09999999999991</v>
      </c>
      <c r="J5" s="56">
        <v>690</v>
      </c>
      <c r="K5" s="56">
        <v>756</v>
      </c>
      <c r="L5" s="56">
        <v>793.50000000000023</v>
      </c>
      <c r="M5" s="56">
        <v>761.09999999999991</v>
      </c>
      <c r="N5" s="56">
        <v>734.55</v>
      </c>
      <c r="O5" s="57">
        <v>756</v>
      </c>
      <c r="P5" s="56">
        <v>405.30074191838901</v>
      </c>
      <c r="Q5" s="56">
        <v>449.95098039215668</v>
      </c>
      <c r="R5" s="56">
        <v>470.37029676735551</v>
      </c>
      <c r="S5" s="56">
        <v>482.58558558558548</v>
      </c>
      <c r="T5" s="56">
        <v>521.10095389507137</v>
      </c>
      <c r="U5" s="56">
        <v>551.77530471648106</v>
      </c>
      <c r="V5" s="56">
        <v>601.14467408585028</v>
      </c>
      <c r="W5" s="56">
        <v>762.32114467408564</v>
      </c>
      <c r="X5" s="56">
        <v>918.41547429782713</v>
      </c>
      <c r="Y5" s="56">
        <v>1028.0445151033382</v>
      </c>
      <c r="Z5" s="56">
        <v>1113.7148913619499</v>
      </c>
      <c r="AA5" s="57">
        <v>1280.699523052464</v>
      </c>
      <c r="AB5" s="56">
        <v>746.6693163751986</v>
      </c>
      <c r="AC5" s="56">
        <v>939.66878643349264</v>
      </c>
      <c r="AD5" s="56">
        <v>1107.8630100688929</v>
      </c>
      <c r="AE5" s="56">
        <v>1276.8108108108108</v>
      </c>
      <c r="AF5" s="56">
        <v>1520.6558028616855</v>
      </c>
      <c r="AG5" s="56">
        <v>1799.688659247483</v>
      </c>
      <c r="AH5" s="56">
        <v>1925.808161102279</v>
      </c>
      <c r="AI5" s="56">
        <v>2197.9332273449927</v>
      </c>
      <c r="AJ5" s="56">
        <v>2407.2602013778487</v>
      </c>
      <c r="AK5" s="56">
        <v>2470.0582935877055</v>
      </c>
      <c r="AL5" s="56">
        <v>2470.0582935877055</v>
      </c>
      <c r="AM5" s="57">
        <v>2637.5198728139912</v>
      </c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7"/>
      <c r="AY5" s="56"/>
      <c r="AZ5" s="56"/>
      <c r="BA5" s="56"/>
      <c r="BB5" s="56"/>
      <c r="BC5" s="56"/>
      <c r="BD5" s="56"/>
      <c r="BE5" s="56"/>
      <c r="BF5" s="56"/>
      <c r="BG5" s="56"/>
      <c r="BH5" s="56"/>
      <c r="BI5" s="56"/>
      <c r="BJ5" s="57"/>
    </row>
    <row r="6" spans="1:62" x14ac:dyDescent="0.35">
      <c r="A6" s="3" t="s">
        <v>4</v>
      </c>
      <c r="B6" s="3" t="s">
        <v>159</v>
      </c>
      <c r="C6" s="58">
        <v>736.66666666666663</v>
      </c>
      <c r="D6" s="59">
        <v>224.99999999999997</v>
      </c>
      <c r="E6" s="59">
        <v>225</v>
      </c>
      <c r="F6" s="59">
        <v>231</v>
      </c>
      <c r="G6" s="59">
        <v>243.74999999999997</v>
      </c>
      <c r="H6" s="59">
        <v>251.99999999999994</v>
      </c>
      <c r="I6" s="59">
        <v>253.12499999999994</v>
      </c>
      <c r="J6" s="59">
        <v>240</v>
      </c>
      <c r="K6" s="59">
        <v>213.60000000000002</v>
      </c>
      <c r="L6" s="59">
        <v>220.99999999999997</v>
      </c>
      <c r="M6" s="59">
        <v>206.99999999999994</v>
      </c>
      <c r="N6" s="59">
        <v>198.87499999999991</v>
      </c>
      <c r="O6" s="60">
        <v>229.99999999999989</v>
      </c>
      <c r="P6" s="59">
        <v>97.124999999999943</v>
      </c>
      <c r="Q6" s="59">
        <v>99.166666666666586</v>
      </c>
      <c r="R6" s="59">
        <v>99.458333333333243</v>
      </c>
      <c r="S6" s="59">
        <v>102.08333333333323</v>
      </c>
      <c r="T6" s="59">
        <v>106.16666666666653</v>
      </c>
      <c r="U6" s="59">
        <v>104.99999999999984</v>
      </c>
      <c r="V6" s="59">
        <v>149.33333333333317</v>
      </c>
      <c r="W6" s="59">
        <v>186.66666666666649</v>
      </c>
      <c r="X6" s="59">
        <v>237.99999999999977</v>
      </c>
      <c r="Y6" s="59">
        <v>293.99999999999972</v>
      </c>
      <c r="Z6" s="59">
        <v>345.33333333333303</v>
      </c>
      <c r="AA6" s="60">
        <v>482.99999999999972</v>
      </c>
      <c r="AB6" s="59">
        <v>262.79999999999995</v>
      </c>
      <c r="AC6" s="59">
        <v>313.33333333333326</v>
      </c>
      <c r="AD6" s="59">
        <v>384.99999999999989</v>
      </c>
      <c r="AE6" s="59">
        <v>483.33333333333343</v>
      </c>
      <c r="AF6" s="59">
        <v>592.66666666666674</v>
      </c>
      <c r="AG6" s="59">
        <v>705.00000000000011</v>
      </c>
      <c r="AH6" s="59">
        <v>1066.6666666666667</v>
      </c>
      <c r="AI6" s="59">
        <v>1066.6666666666667</v>
      </c>
      <c r="AJ6" s="59">
        <v>1133.3333333333333</v>
      </c>
      <c r="AK6" s="59">
        <v>1200</v>
      </c>
      <c r="AL6" s="59">
        <v>1233.3333333333333</v>
      </c>
      <c r="AM6" s="60">
        <v>1533.3333333333333</v>
      </c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60"/>
      <c r="AY6" s="59"/>
      <c r="AZ6" s="59"/>
      <c r="BA6" s="59"/>
      <c r="BB6" s="59"/>
      <c r="BC6" s="59"/>
      <c r="BD6" s="59"/>
      <c r="BE6" s="59"/>
      <c r="BF6" s="59"/>
      <c r="BG6" s="59"/>
      <c r="BH6" s="59"/>
      <c r="BI6" s="59"/>
      <c r="BJ6" s="60"/>
    </row>
    <row r="8" spans="1:62" x14ac:dyDescent="0.35">
      <c r="A8" s="25" t="s">
        <v>6</v>
      </c>
      <c r="B8" s="4" t="s">
        <v>19</v>
      </c>
      <c r="C8" s="19">
        <f>C2</f>
        <v>45352</v>
      </c>
      <c r="D8" s="20">
        <f>EDATE(C8,1)</f>
        <v>45383</v>
      </c>
      <c r="E8" s="20">
        <f>EDATE(D8,1)</f>
        <v>45413</v>
      </c>
      <c r="F8" s="20">
        <f>EDATE(E8,1)</f>
        <v>45444</v>
      </c>
      <c r="G8" s="20">
        <f t="shared" ref="G8:AL8" si="27">EDATE(F8,1)</f>
        <v>45474</v>
      </c>
      <c r="H8" s="20">
        <f t="shared" si="27"/>
        <v>45505</v>
      </c>
      <c r="I8" s="20">
        <f t="shared" si="27"/>
        <v>45536</v>
      </c>
      <c r="J8" s="20">
        <f t="shared" si="27"/>
        <v>45566</v>
      </c>
      <c r="K8" s="20">
        <f t="shared" si="27"/>
        <v>45597</v>
      </c>
      <c r="L8" s="20">
        <f t="shared" si="27"/>
        <v>45627</v>
      </c>
      <c r="M8" s="20">
        <f t="shared" si="27"/>
        <v>45658</v>
      </c>
      <c r="N8" s="20">
        <f t="shared" si="27"/>
        <v>45689</v>
      </c>
      <c r="O8" s="21">
        <f t="shared" si="27"/>
        <v>45717</v>
      </c>
      <c r="P8" s="20">
        <f t="shared" si="27"/>
        <v>45748</v>
      </c>
      <c r="Q8" s="20">
        <f t="shared" si="27"/>
        <v>45778</v>
      </c>
      <c r="R8" s="20">
        <f t="shared" si="27"/>
        <v>45809</v>
      </c>
      <c r="S8" s="20">
        <f t="shared" si="27"/>
        <v>45839</v>
      </c>
      <c r="T8" s="20">
        <f t="shared" si="27"/>
        <v>45870</v>
      </c>
      <c r="U8" s="20">
        <f t="shared" si="27"/>
        <v>45901</v>
      </c>
      <c r="V8" s="20">
        <f t="shared" si="27"/>
        <v>45931</v>
      </c>
      <c r="W8" s="20">
        <f t="shared" si="27"/>
        <v>45962</v>
      </c>
      <c r="X8" s="20">
        <f t="shared" si="27"/>
        <v>45992</v>
      </c>
      <c r="Y8" s="20">
        <f t="shared" si="27"/>
        <v>46023</v>
      </c>
      <c r="Z8" s="20">
        <f t="shared" si="27"/>
        <v>46054</v>
      </c>
      <c r="AA8" s="21">
        <f t="shared" si="27"/>
        <v>46082</v>
      </c>
      <c r="AB8" s="20">
        <f t="shared" si="27"/>
        <v>46113</v>
      </c>
      <c r="AC8" s="20">
        <f t="shared" si="27"/>
        <v>46143</v>
      </c>
      <c r="AD8" s="20">
        <f t="shared" si="27"/>
        <v>46174</v>
      </c>
      <c r="AE8" s="20">
        <f t="shared" si="27"/>
        <v>46204</v>
      </c>
      <c r="AF8" s="20">
        <f t="shared" si="27"/>
        <v>46235</v>
      </c>
      <c r="AG8" s="20">
        <f t="shared" si="27"/>
        <v>46266</v>
      </c>
      <c r="AH8" s="20">
        <f t="shared" si="27"/>
        <v>46296</v>
      </c>
      <c r="AI8" s="20">
        <f t="shared" si="27"/>
        <v>46327</v>
      </c>
      <c r="AJ8" s="20">
        <f t="shared" si="27"/>
        <v>46357</v>
      </c>
      <c r="AK8" s="20">
        <f t="shared" si="27"/>
        <v>46388</v>
      </c>
      <c r="AL8" s="20">
        <f t="shared" si="27"/>
        <v>46419</v>
      </c>
      <c r="AM8" s="21">
        <f t="shared" ref="AM8" si="28">EDATE(AL8,1)</f>
        <v>46447</v>
      </c>
      <c r="AN8" s="20">
        <f t="shared" ref="AN8" si="29">EDATE(AM8,1)</f>
        <v>46478</v>
      </c>
      <c r="AO8" s="20">
        <f t="shared" ref="AO8" si="30">EDATE(AN8,1)</f>
        <v>46508</v>
      </c>
      <c r="AP8" s="20">
        <f t="shared" ref="AP8" si="31">EDATE(AO8,1)</f>
        <v>46539</v>
      </c>
      <c r="AQ8" s="20">
        <f t="shared" ref="AQ8" si="32">EDATE(AP8,1)</f>
        <v>46569</v>
      </c>
      <c r="AR8" s="20">
        <f t="shared" ref="AR8" si="33">EDATE(AQ8,1)</f>
        <v>46600</v>
      </c>
      <c r="AS8" s="20">
        <f t="shared" ref="AS8" si="34">EDATE(AR8,1)</f>
        <v>46631</v>
      </c>
      <c r="AT8" s="20">
        <f t="shared" ref="AT8" si="35">EDATE(AS8,1)</f>
        <v>46661</v>
      </c>
      <c r="AU8" s="20">
        <f t="shared" ref="AU8" si="36">EDATE(AT8,1)</f>
        <v>46692</v>
      </c>
      <c r="AV8" s="20">
        <f t="shared" ref="AV8" si="37">EDATE(AU8,1)</f>
        <v>46722</v>
      </c>
      <c r="AW8" s="20">
        <f t="shared" ref="AW8" si="38">EDATE(AV8,1)</f>
        <v>46753</v>
      </c>
      <c r="AX8" s="21">
        <f t="shared" ref="AX8" si="39">EDATE(AW8,1)</f>
        <v>46784</v>
      </c>
      <c r="AY8" s="20">
        <f t="shared" ref="AY8" si="40">EDATE(AX8,1)</f>
        <v>46813</v>
      </c>
      <c r="AZ8" s="20">
        <f t="shared" ref="AZ8" si="41">EDATE(AY8,1)</f>
        <v>46844</v>
      </c>
      <c r="BA8" s="20">
        <f t="shared" ref="BA8" si="42">EDATE(AZ8,1)</f>
        <v>46874</v>
      </c>
      <c r="BB8" s="20">
        <f t="shared" ref="BB8" si="43">EDATE(BA8,1)</f>
        <v>46905</v>
      </c>
      <c r="BC8" s="20">
        <f t="shared" ref="BC8" si="44">EDATE(BB8,1)</f>
        <v>46935</v>
      </c>
      <c r="BD8" s="20">
        <f t="shared" ref="BD8" si="45">EDATE(BC8,1)</f>
        <v>46966</v>
      </c>
      <c r="BE8" s="20">
        <f t="shared" ref="BE8" si="46">EDATE(BD8,1)</f>
        <v>46997</v>
      </c>
      <c r="BF8" s="20">
        <f t="shared" ref="BF8" si="47">EDATE(BE8,1)</f>
        <v>47027</v>
      </c>
      <c r="BG8" s="20">
        <f t="shared" ref="BG8" si="48">EDATE(BF8,1)</f>
        <v>47058</v>
      </c>
      <c r="BH8" s="20">
        <f t="shared" ref="BH8" si="49">EDATE(BG8,1)</f>
        <v>47088</v>
      </c>
      <c r="BI8" s="20">
        <f t="shared" ref="BI8" si="50">EDATE(BH8,1)</f>
        <v>47119</v>
      </c>
      <c r="BJ8" s="21">
        <f t="shared" ref="BJ8" si="51">EDATE(BI8,1)</f>
        <v>47150</v>
      </c>
    </row>
    <row r="9" spans="1:62" x14ac:dyDescent="0.35">
      <c r="A9" s="15" t="s">
        <v>6</v>
      </c>
      <c r="B9" s="15" t="s">
        <v>188</v>
      </c>
      <c r="C9" s="16">
        <f>SUM(C10:C12)</f>
        <v>4986.666666666667</v>
      </c>
      <c r="D9" s="17">
        <f t="shared" ref="D9:BJ9" si="52">SUM(D10:D12)</f>
        <v>3350</v>
      </c>
      <c r="E9" s="17">
        <f t="shared" si="52"/>
        <v>3850</v>
      </c>
      <c r="F9" s="17">
        <f t="shared" si="52"/>
        <v>4200</v>
      </c>
      <c r="G9" s="17">
        <f t="shared" si="52"/>
        <v>4535</v>
      </c>
      <c r="H9" s="17">
        <f t="shared" si="52"/>
        <v>5050</v>
      </c>
      <c r="I9" s="17">
        <f t="shared" si="52"/>
        <v>5500</v>
      </c>
      <c r="J9" s="17">
        <f t="shared" si="52"/>
        <v>5400</v>
      </c>
      <c r="K9" s="17">
        <f t="shared" si="52"/>
        <v>6050</v>
      </c>
      <c r="L9" s="17">
        <f t="shared" si="52"/>
        <v>6600</v>
      </c>
      <c r="M9" s="17">
        <f t="shared" si="52"/>
        <v>6800</v>
      </c>
      <c r="N9" s="17">
        <f t="shared" si="52"/>
        <v>6825</v>
      </c>
      <c r="O9" s="18">
        <f t="shared" si="52"/>
        <v>7450</v>
      </c>
      <c r="P9" s="17">
        <f t="shared" si="52"/>
        <v>4034.0973326267444</v>
      </c>
      <c r="Q9" s="17">
        <f t="shared" si="52"/>
        <v>4636.9457692987107</v>
      </c>
      <c r="R9" s="17">
        <f t="shared" si="52"/>
        <v>5058.2891715244668</v>
      </c>
      <c r="S9" s="17">
        <f t="shared" si="52"/>
        <v>5460.3978978978985</v>
      </c>
      <c r="T9" s="17">
        <f t="shared" si="52"/>
        <v>6080.3126656067834</v>
      </c>
      <c r="U9" s="17">
        <f t="shared" si="52"/>
        <v>6622.6594241300127</v>
      </c>
      <c r="V9" s="17">
        <f t="shared" si="52"/>
        <v>6499.4877230171342</v>
      </c>
      <c r="W9" s="17">
        <f t="shared" si="52"/>
        <v>7286.0095389507151</v>
      </c>
      <c r="X9" s="17">
        <f t="shared" si="52"/>
        <v>7949.3596537714193</v>
      </c>
      <c r="Y9" s="17">
        <f t="shared" si="52"/>
        <v>8189.198021550962</v>
      </c>
      <c r="Z9" s="17">
        <f t="shared" si="52"/>
        <v>8218.364688217629</v>
      </c>
      <c r="AA9" s="18">
        <f t="shared" si="52"/>
        <v>8964.8781134075252</v>
      </c>
      <c r="AB9" s="17">
        <f t="shared" si="52"/>
        <v>4646.9881646352233</v>
      </c>
      <c r="AC9" s="17">
        <f t="shared" si="52"/>
        <v>5341.6357534004601</v>
      </c>
      <c r="AD9" s="17">
        <f t="shared" si="52"/>
        <v>5826.9563681328391</v>
      </c>
      <c r="AE9" s="17">
        <f t="shared" si="52"/>
        <v>6289.7897897897892</v>
      </c>
      <c r="AF9" s="17">
        <f t="shared" si="52"/>
        <v>7003.8155802861675</v>
      </c>
      <c r="AG9" s="17">
        <f t="shared" si="52"/>
        <v>7628.6875110404526</v>
      </c>
      <c r="AH9" s="17">
        <f t="shared" si="52"/>
        <v>7486.0272036742626</v>
      </c>
      <c r="AI9" s="17">
        <f t="shared" si="52"/>
        <v>8393.1107578166393</v>
      </c>
      <c r="AJ9" s="17">
        <f t="shared" si="52"/>
        <v>9157.5340045928278</v>
      </c>
      <c r="AK9" s="17">
        <f t="shared" si="52"/>
        <v>9433.5276452923499</v>
      </c>
      <c r="AL9" s="17">
        <f t="shared" si="52"/>
        <v>9466.8609786256839</v>
      </c>
      <c r="AM9" s="18">
        <f t="shared" si="52"/>
        <v>10325.066242713303</v>
      </c>
      <c r="AN9" s="17">
        <f t="shared" si="52"/>
        <v>0</v>
      </c>
      <c r="AO9" s="17">
        <f t="shared" si="52"/>
        <v>0</v>
      </c>
      <c r="AP9" s="17">
        <f t="shared" si="52"/>
        <v>0</v>
      </c>
      <c r="AQ9" s="17">
        <f t="shared" si="52"/>
        <v>0</v>
      </c>
      <c r="AR9" s="17">
        <f t="shared" si="52"/>
        <v>0</v>
      </c>
      <c r="AS9" s="17">
        <f t="shared" si="52"/>
        <v>0</v>
      </c>
      <c r="AT9" s="17">
        <f t="shared" si="52"/>
        <v>0</v>
      </c>
      <c r="AU9" s="17">
        <f t="shared" si="52"/>
        <v>0</v>
      </c>
      <c r="AV9" s="17">
        <f t="shared" si="52"/>
        <v>0</v>
      </c>
      <c r="AW9" s="17">
        <f t="shared" si="52"/>
        <v>0</v>
      </c>
      <c r="AX9" s="18">
        <f t="shared" si="52"/>
        <v>0</v>
      </c>
      <c r="AY9" s="17">
        <f t="shared" si="52"/>
        <v>0</v>
      </c>
      <c r="AZ9" s="17">
        <f t="shared" si="52"/>
        <v>0</v>
      </c>
      <c r="BA9" s="17">
        <f t="shared" si="52"/>
        <v>0</v>
      </c>
      <c r="BB9" s="17">
        <f t="shared" si="52"/>
        <v>0</v>
      </c>
      <c r="BC9" s="17">
        <f t="shared" si="52"/>
        <v>0</v>
      </c>
      <c r="BD9" s="17">
        <f t="shared" si="52"/>
        <v>0</v>
      </c>
      <c r="BE9" s="17">
        <f t="shared" si="52"/>
        <v>0</v>
      </c>
      <c r="BF9" s="17">
        <f t="shared" si="52"/>
        <v>0</v>
      </c>
      <c r="BG9" s="17">
        <f t="shared" si="52"/>
        <v>0</v>
      </c>
      <c r="BH9" s="17">
        <f t="shared" si="52"/>
        <v>0</v>
      </c>
      <c r="BI9" s="17">
        <f t="shared" si="52"/>
        <v>0</v>
      </c>
      <c r="BJ9" s="18">
        <f t="shared" si="52"/>
        <v>0</v>
      </c>
    </row>
    <row r="10" spans="1:62" x14ac:dyDescent="0.35">
      <c r="A10" s="1" t="s">
        <v>6</v>
      </c>
      <c r="B10" s="1" t="s">
        <v>157</v>
      </c>
      <c r="C10" s="107">
        <v>2974.9999999999995</v>
      </c>
      <c r="D10" s="108">
        <v>2029.9999999999998</v>
      </c>
      <c r="E10" s="108">
        <v>2345</v>
      </c>
      <c r="F10" s="108">
        <v>2555</v>
      </c>
      <c r="G10" s="108">
        <v>2737</v>
      </c>
      <c r="H10" s="108">
        <v>3045</v>
      </c>
      <c r="I10" s="53">
        <v>3325</v>
      </c>
      <c r="J10" s="53">
        <v>3220</v>
      </c>
      <c r="K10" s="53">
        <v>3674.9999999999995</v>
      </c>
      <c r="L10" s="53">
        <v>4024.9999999999995</v>
      </c>
      <c r="M10" s="53">
        <v>4130</v>
      </c>
      <c r="N10" s="53">
        <v>4130</v>
      </c>
      <c r="O10" s="54">
        <v>4410</v>
      </c>
      <c r="P10" s="53">
        <v>2456.3681328387211</v>
      </c>
      <c r="Q10" s="53">
        <v>2837.5287051757641</v>
      </c>
      <c r="R10" s="53">
        <v>3091.6357534004596</v>
      </c>
      <c r="S10" s="53">
        <v>3311.8618618618621</v>
      </c>
      <c r="T10" s="53">
        <v>3684.5521992580811</v>
      </c>
      <c r="U10" s="53">
        <v>4023.3615968910085</v>
      </c>
      <c r="V10" s="53">
        <v>3896.3080727786605</v>
      </c>
      <c r="W10" s="53">
        <v>4446.8733439321668</v>
      </c>
      <c r="X10" s="53">
        <v>4870.3850909733264</v>
      </c>
      <c r="Y10" s="53">
        <v>4997.4386150856735</v>
      </c>
      <c r="Z10" s="53">
        <v>4997.4386150856735</v>
      </c>
      <c r="AA10" s="54">
        <v>5336.2480127186009</v>
      </c>
      <c r="AB10" s="53">
        <v>2832.8917152446561</v>
      </c>
      <c r="AC10" s="53">
        <v>3272.4783607136551</v>
      </c>
      <c r="AD10" s="53">
        <v>3565.536124359654</v>
      </c>
      <c r="AE10" s="53">
        <v>3819.5195195195192</v>
      </c>
      <c r="AF10" s="53">
        <v>4249.3375728669835</v>
      </c>
      <c r="AG10" s="53">
        <v>4640.0812577283168</v>
      </c>
      <c r="AH10" s="53">
        <v>4493.5523759053167</v>
      </c>
      <c r="AI10" s="53">
        <v>5128.5108638049805</v>
      </c>
      <c r="AJ10" s="53">
        <v>5616.9404698816461</v>
      </c>
      <c r="AK10" s="53">
        <v>5763.4693517046444</v>
      </c>
      <c r="AL10" s="53">
        <v>5763.4693517046444</v>
      </c>
      <c r="AM10" s="54">
        <v>6154.2130365659777</v>
      </c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4"/>
      <c r="AY10" s="53"/>
      <c r="AZ10" s="53"/>
      <c r="BA10" s="53"/>
      <c r="BB10" s="53"/>
      <c r="BC10" s="53"/>
      <c r="BD10" s="53"/>
      <c r="BE10" s="53"/>
      <c r="BF10" s="53"/>
      <c r="BG10" s="53"/>
      <c r="BH10" s="53"/>
      <c r="BI10" s="53"/>
      <c r="BJ10" s="54"/>
    </row>
    <row r="11" spans="1:62" x14ac:dyDescent="0.35">
      <c r="A11" s="2" t="s">
        <v>6</v>
      </c>
      <c r="B11" s="2" t="s">
        <v>158</v>
      </c>
      <c r="C11" s="232">
        <v>1275.0000000000005</v>
      </c>
      <c r="D11" s="233">
        <v>870.00000000000023</v>
      </c>
      <c r="E11" s="233">
        <v>1005</v>
      </c>
      <c r="F11" s="233">
        <v>1095</v>
      </c>
      <c r="G11" s="233">
        <v>1173</v>
      </c>
      <c r="H11" s="233">
        <v>1305</v>
      </c>
      <c r="I11" s="56">
        <v>1425</v>
      </c>
      <c r="J11" s="56">
        <v>1380</v>
      </c>
      <c r="K11" s="56">
        <v>1575.0000000000005</v>
      </c>
      <c r="L11" s="56">
        <v>1725.0000000000005</v>
      </c>
      <c r="M11" s="56">
        <v>1770</v>
      </c>
      <c r="N11" s="56">
        <v>1770</v>
      </c>
      <c r="O11" s="57">
        <v>1890</v>
      </c>
      <c r="P11" s="56">
        <v>1052.7291997880234</v>
      </c>
      <c r="Q11" s="56">
        <v>1216.0837307896131</v>
      </c>
      <c r="R11" s="56">
        <v>1324.9867514573402</v>
      </c>
      <c r="S11" s="56">
        <v>1419.3693693693695</v>
      </c>
      <c r="T11" s="56">
        <v>1579.0937996820353</v>
      </c>
      <c r="U11" s="56">
        <v>1724.2978272390042</v>
      </c>
      <c r="V11" s="56">
        <v>1669.8463169051406</v>
      </c>
      <c r="W11" s="56">
        <v>1905.8028616852152</v>
      </c>
      <c r="X11" s="56">
        <v>2087.3078961314259</v>
      </c>
      <c r="Y11" s="56">
        <v>2141.7594064652885</v>
      </c>
      <c r="Z11" s="56">
        <v>2141.7594064652885</v>
      </c>
      <c r="AA11" s="57">
        <v>2286.9634340222574</v>
      </c>
      <c r="AB11" s="56">
        <v>1214.0964493905672</v>
      </c>
      <c r="AC11" s="56">
        <v>1402.490726020138</v>
      </c>
      <c r="AD11" s="56">
        <v>1528.0869104398521</v>
      </c>
      <c r="AE11" s="56">
        <v>1636.9369369369369</v>
      </c>
      <c r="AF11" s="56">
        <v>1821.144674085851</v>
      </c>
      <c r="AG11" s="56">
        <v>1988.6062533121358</v>
      </c>
      <c r="AH11" s="56">
        <v>1925.808161102279</v>
      </c>
      <c r="AI11" s="56">
        <v>2197.9332273449927</v>
      </c>
      <c r="AJ11" s="56">
        <v>2407.2602013778487</v>
      </c>
      <c r="AK11" s="56">
        <v>2470.0582935877055</v>
      </c>
      <c r="AL11" s="56">
        <v>2470.0582935877055</v>
      </c>
      <c r="AM11" s="57">
        <v>2637.5198728139912</v>
      </c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7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7"/>
    </row>
    <row r="12" spans="1:62" x14ac:dyDescent="0.35">
      <c r="A12" s="3" t="s">
        <v>6</v>
      </c>
      <c r="B12" s="3" t="s">
        <v>159</v>
      </c>
      <c r="C12" s="234">
        <v>736.66666666666663</v>
      </c>
      <c r="D12" s="235">
        <v>450</v>
      </c>
      <c r="E12" s="235">
        <v>500</v>
      </c>
      <c r="F12" s="235">
        <v>550</v>
      </c>
      <c r="G12" s="235">
        <v>625</v>
      </c>
      <c r="H12" s="235">
        <v>700</v>
      </c>
      <c r="I12" s="59">
        <v>750</v>
      </c>
      <c r="J12" s="59">
        <v>800</v>
      </c>
      <c r="K12" s="59">
        <v>800</v>
      </c>
      <c r="L12" s="59">
        <v>850</v>
      </c>
      <c r="M12" s="59">
        <v>900</v>
      </c>
      <c r="N12" s="59">
        <v>925</v>
      </c>
      <c r="O12" s="60">
        <v>1150</v>
      </c>
      <c r="P12" s="59">
        <v>525</v>
      </c>
      <c r="Q12" s="59">
        <v>583.33333333333326</v>
      </c>
      <c r="R12" s="59">
        <v>641.66666666666663</v>
      </c>
      <c r="S12" s="59">
        <v>729.16666666666674</v>
      </c>
      <c r="T12" s="59">
        <v>816.66666666666663</v>
      </c>
      <c r="U12" s="59">
        <v>875</v>
      </c>
      <c r="V12" s="59">
        <v>933.33333333333337</v>
      </c>
      <c r="W12" s="59">
        <v>933.33333333333337</v>
      </c>
      <c r="X12" s="59">
        <v>991.66666666666663</v>
      </c>
      <c r="Y12" s="59">
        <v>1050</v>
      </c>
      <c r="Z12" s="59">
        <v>1079.1666666666665</v>
      </c>
      <c r="AA12" s="60">
        <v>1341.6666666666665</v>
      </c>
      <c r="AB12" s="59">
        <v>600</v>
      </c>
      <c r="AC12" s="59">
        <v>666.66666666666663</v>
      </c>
      <c r="AD12" s="59">
        <v>733.33333333333326</v>
      </c>
      <c r="AE12" s="59">
        <v>833.33333333333337</v>
      </c>
      <c r="AF12" s="59">
        <v>933.33333333333337</v>
      </c>
      <c r="AG12" s="59">
        <v>1000</v>
      </c>
      <c r="AH12" s="59">
        <v>1066.6666666666667</v>
      </c>
      <c r="AI12" s="59">
        <v>1066.6666666666667</v>
      </c>
      <c r="AJ12" s="59">
        <v>1133.3333333333333</v>
      </c>
      <c r="AK12" s="59">
        <v>1200</v>
      </c>
      <c r="AL12" s="59">
        <v>1233.3333333333333</v>
      </c>
      <c r="AM12" s="60">
        <v>1533.3333333333333</v>
      </c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60"/>
      <c r="AY12" s="59"/>
      <c r="AZ12" s="59"/>
      <c r="BA12" s="59"/>
      <c r="BB12" s="59"/>
      <c r="BC12" s="59"/>
      <c r="BD12" s="59"/>
      <c r="BE12" s="59"/>
      <c r="BF12" s="59"/>
      <c r="BG12" s="59"/>
      <c r="BH12" s="59"/>
      <c r="BI12" s="59"/>
      <c r="BJ12" s="60"/>
    </row>
    <row r="13" spans="1:62" x14ac:dyDescent="0.35">
      <c r="A13" s="2"/>
      <c r="C13" s="236"/>
      <c r="D13" s="236"/>
      <c r="E13" s="236"/>
      <c r="F13" s="236"/>
      <c r="G13" s="236"/>
      <c r="H13" s="236"/>
      <c r="I13" s="236"/>
      <c r="J13" s="236"/>
      <c r="K13" s="236"/>
      <c r="L13" s="236"/>
      <c r="M13" s="236"/>
      <c r="N13" s="236"/>
      <c r="O13" s="236"/>
      <c r="P13" s="236"/>
      <c r="Q13" s="236"/>
      <c r="R13" s="236"/>
      <c r="S13" s="236"/>
      <c r="T13" s="236"/>
      <c r="U13" s="236"/>
      <c r="V13" s="236"/>
      <c r="W13" s="236"/>
      <c r="X13" s="236"/>
      <c r="Y13" s="236"/>
      <c r="Z13" s="236"/>
      <c r="AA13" s="236"/>
      <c r="AB13" s="236"/>
      <c r="AC13" s="236"/>
      <c r="AD13" s="236"/>
      <c r="AE13" s="236"/>
      <c r="AF13" s="236"/>
      <c r="AG13" s="236"/>
      <c r="AH13" s="236"/>
      <c r="AI13" s="236"/>
      <c r="AJ13" s="236"/>
      <c r="AK13" s="236"/>
      <c r="AL13" s="236"/>
      <c r="AM13" s="236"/>
    </row>
    <row r="14" spans="1:62" x14ac:dyDescent="0.35">
      <c r="C14" s="236"/>
      <c r="D14" s="236"/>
      <c r="E14" s="236"/>
      <c r="F14" s="236"/>
      <c r="G14" s="236"/>
      <c r="H14" s="236"/>
      <c r="I14" s="236"/>
      <c r="J14" s="236"/>
      <c r="K14" s="236"/>
      <c r="L14" s="236"/>
      <c r="M14" s="236"/>
      <c r="N14" s="236"/>
      <c r="O14" s="236"/>
      <c r="P14" s="236"/>
      <c r="Q14" s="236"/>
      <c r="R14" s="236"/>
      <c r="S14" s="236"/>
      <c r="T14" s="236"/>
      <c r="U14" s="236"/>
      <c r="V14" s="236"/>
      <c r="W14" s="236"/>
      <c r="X14" s="236"/>
      <c r="Y14" s="236"/>
      <c r="Z14" s="236"/>
      <c r="AA14" s="236"/>
      <c r="AB14" s="236"/>
      <c r="AC14" s="236"/>
      <c r="AD14" s="236"/>
      <c r="AE14" s="236"/>
      <c r="AF14" s="236"/>
      <c r="AG14" s="236"/>
      <c r="AH14" s="236"/>
      <c r="AI14" s="236"/>
      <c r="AJ14" s="236"/>
      <c r="AK14" s="236"/>
      <c r="AL14" s="236"/>
      <c r="AM14" s="231"/>
    </row>
    <row r="15" spans="1:62" x14ac:dyDescent="0.35">
      <c r="I15" s="230"/>
      <c r="N15" s="231"/>
      <c r="U15" s="231"/>
      <c r="AG15" s="231"/>
      <c r="AM15" s="231"/>
    </row>
    <row r="16" spans="1:62" x14ac:dyDescent="0.35">
      <c r="I16" s="230"/>
      <c r="U16" s="236"/>
      <c r="AG16" s="236"/>
      <c r="AM16" s="236"/>
    </row>
    <row r="17" spans="9:9" x14ac:dyDescent="0.35">
      <c r="I17" s="126"/>
    </row>
    <row r="18" spans="9:9" x14ac:dyDescent="0.35">
      <c r="I18" s="236"/>
    </row>
  </sheetData>
  <conditionalFormatting sqref="C3:BJ3">
    <cfRule type="expression" dxfId="290" priority="7">
      <formula>C$1="SL3"</formula>
    </cfRule>
    <cfRule type="expression" dxfId="289" priority="8">
      <formula>C$1="SL2"</formula>
    </cfRule>
    <cfRule type="expression" dxfId="288" priority="9">
      <formula>C$1="SL1"</formula>
    </cfRule>
  </conditionalFormatting>
  <conditionalFormatting sqref="C9:BJ9">
    <cfRule type="expression" dxfId="287" priority="1">
      <formula>C$1="SL3"</formula>
    </cfRule>
    <cfRule type="expression" dxfId="286" priority="2">
      <formula>C$1="SL2"</formula>
    </cfRule>
    <cfRule type="expression" dxfId="285" priority="3">
      <formula>C$1="SL1"</formula>
    </cfRule>
  </conditionalFormatting>
  <hyperlinks>
    <hyperlink ref="A1" location="Index!C4" display="Back - Index"/>
  </hyperlinks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BJ18"/>
  <sheetViews>
    <sheetView workbookViewId="0">
      <pane ySplit="1" topLeftCell="A10" activePane="bottomLeft" state="frozen"/>
      <selection pane="bottomLeft" activeCell="D26" sqref="D26"/>
    </sheetView>
  </sheetViews>
  <sheetFormatPr defaultRowHeight="14.5" x14ac:dyDescent="0.35"/>
  <cols>
    <col min="1" max="1" width="25.1796875" bestFit="1" customWidth="1"/>
    <col min="9" max="39" width="9" bestFit="1" customWidth="1"/>
    <col min="40" max="62" width="0" hidden="1" customWidth="1"/>
  </cols>
  <sheetData>
    <row r="1" spans="1:62" x14ac:dyDescent="0.35">
      <c r="A1" s="122" t="s">
        <v>117</v>
      </c>
      <c r="C1" s="28" t="str">
        <f>LOOKUP(C2,'Input-Stress Parameters'!$C$9:$BJ$9,'Input-Stress Parameters'!$C$11:$BJ$11)</f>
        <v>N</v>
      </c>
      <c r="D1" s="28" t="str">
        <f>LOOKUP(D2,'Input-Stress Parameters'!$C$9:$BJ$9,'Input-Stress Parameters'!$C$11:$BJ$11)</f>
        <v>SL1</v>
      </c>
      <c r="E1" s="28" t="str">
        <f>LOOKUP(E2,'Input-Stress Parameters'!$C$9:$BJ$9,'Input-Stress Parameters'!$C$11:$BJ$11)</f>
        <v>SL1</v>
      </c>
      <c r="F1" s="28" t="str">
        <f>LOOKUP(F2,'Input-Stress Parameters'!$C$9:$BJ$9,'Input-Stress Parameters'!$C$11:$BJ$11)</f>
        <v>SL1</v>
      </c>
      <c r="G1" s="28" t="str">
        <f>LOOKUP(G2,'Input-Stress Parameters'!$C$9:$BJ$9,'Input-Stress Parameters'!$C$11:$BJ$11)</f>
        <v>SL1</v>
      </c>
      <c r="H1" s="28" t="str">
        <f>LOOKUP(H2,'Input-Stress Parameters'!$C$9:$BJ$9,'Input-Stress Parameters'!$C$11:$BJ$11)</f>
        <v>SL1</v>
      </c>
      <c r="I1" s="28" t="str">
        <f>LOOKUP(I2,'Input-Stress Parameters'!$C$9:$BJ$9,'Input-Stress Parameters'!$C$11:$BJ$11)</f>
        <v>SL1</v>
      </c>
      <c r="J1" s="28" t="str">
        <f>LOOKUP(J2,'Input-Stress Parameters'!$C$9:$BJ$9,'Input-Stress Parameters'!$C$11:$BJ$11)</f>
        <v>SL2</v>
      </c>
      <c r="K1" s="28" t="str">
        <f>LOOKUP(K2,'Input-Stress Parameters'!$C$9:$BJ$9,'Input-Stress Parameters'!$C$11:$BJ$11)</f>
        <v>SL2</v>
      </c>
      <c r="L1" s="28" t="str">
        <f>LOOKUP(L2,'Input-Stress Parameters'!$C$9:$BJ$9,'Input-Stress Parameters'!$C$11:$BJ$11)</f>
        <v>SL2</v>
      </c>
      <c r="M1" s="28" t="str">
        <f>LOOKUP(M2,'Input-Stress Parameters'!$C$9:$BJ$9,'Input-Stress Parameters'!$C$11:$BJ$11)</f>
        <v>SL2</v>
      </c>
      <c r="N1" s="28" t="str">
        <f>LOOKUP(N2,'Input-Stress Parameters'!$C$9:$BJ$9,'Input-Stress Parameters'!$C$11:$BJ$11)</f>
        <v>SL2</v>
      </c>
      <c r="O1" s="28" t="str">
        <f>LOOKUP(O2,'Input-Stress Parameters'!$C$9:$BJ$9,'Input-Stress Parameters'!$C$11:$BJ$11)</f>
        <v>SL2</v>
      </c>
      <c r="P1" s="28" t="str">
        <f>LOOKUP(P2,'Input-Stress Parameters'!$C$9:$BJ$9,'Input-Stress Parameters'!$C$11:$BJ$11)</f>
        <v>SL2</v>
      </c>
      <c r="Q1" s="28" t="str">
        <f>LOOKUP(Q2,'Input-Stress Parameters'!$C$9:$BJ$9,'Input-Stress Parameters'!$C$11:$BJ$11)</f>
        <v>SL2</v>
      </c>
      <c r="R1" s="28" t="str">
        <f>LOOKUP(R2,'Input-Stress Parameters'!$C$9:$BJ$9,'Input-Stress Parameters'!$C$11:$BJ$11)</f>
        <v>SL2</v>
      </c>
      <c r="S1" s="28" t="str">
        <f>LOOKUP(S2,'Input-Stress Parameters'!$C$9:$BJ$9,'Input-Stress Parameters'!$C$11:$BJ$11)</f>
        <v>SL2</v>
      </c>
      <c r="T1" s="28" t="str">
        <f>LOOKUP(T2,'Input-Stress Parameters'!$C$9:$BJ$9,'Input-Stress Parameters'!$C$11:$BJ$11)</f>
        <v>SL2</v>
      </c>
      <c r="U1" s="28" t="str">
        <f>LOOKUP(U2,'Input-Stress Parameters'!$C$9:$BJ$9,'Input-Stress Parameters'!$C$11:$BJ$11)</f>
        <v>SL2</v>
      </c>
      <c r="V1" s="28" t="str">
        <f>LOOKUP(V2,'Input-Stress Parameters'!$C$9:$BJ$9,'Input-Stress Parameters'!$C$11:$BJ$11)</f>
        <v>SL3</v>
      </c>
      <c r="W1" s="28" t="str">
        <f>LOOKUP(W2,'Input-Stress Parameters'!$C$9:$BJ$9,'Input-Stress Parameters'!$C$11:$BJ$11)</f>
        <v>SL3</v>
      </c>
      <c r="X1" s="28" t="str">
        <f>LOOKUP(X2,'Input-Stress Parameters'!$C$9:$BJ$9,'Input-Stress Parameters'!$C$11:$BJ$11)</f>
        <v>SL3</v>
      </c>
      <c r="Y1" s="28" t="str">
        <f>LOOKUP(Y2,'Input-Stress Parameters'!$C$9:$BJ$9,'Input-Stress Parameters'!$C$11:$BJ$11)</f>
        <v>SL3</v>
      </c>
      <c r="Z1" s="28" t="str">
        <f>LOOKUP(Z2,'Input-Stress Parameters'!$C$9:$BJ$9,'Input-Stress Parameters'!$C$11:$BJ$11)</f>
        <v>SL3</v>
      </c>
      <c r="AA1" s="28" t="str">
        <f>LOOKUP(AA2,'Input-Stress Parameters'!$C$9:$BJ$9,'Input-Stress Parameters'!$C$11:$BJ$11)</f>
        <v>SL3</v>
      </c>
      <c r="AB1" s="28" t="str">
        <f>LOOKUP(AB2,'Input-Stress Parameters'!$C$9:$BJ$9,'Input-Stress Parameters'!$C$11:$BJ$11)</f>
        <v>SL3</v>
      </c>
      <c r="AC1" s="28" t="str">
        <f>LOOKUP(AC2,'Input-Stress Parameters'!$C$9:$BJ$9,'Input-Stress Parameters'!$C$11:$BJ$11)</f>
        <v>SL3</v>
      </c>
      <c r="AD1" s="28" t="str">
        <f>LOOKUP(AD2,'Input-Stress Parameters'!$C$9:$BJ$9,'Input-Stress Parameters'!$C$11:$BJ$11)</f>
        <v>SL3</v>
      </c>
      <c r="AE1" s="28" t="str">
        <f>LOOKUP(AE2,'Input-Stress Parameters'!$C$9:$BJ$9,'Input-Stress Parameters'!$C$11:$BJ$11)</f>
        <v>SL3</v>
      </c>
      <c r="AF1" s="28" t="str">
        <f>LOOKUP(AF2,'Input-Stress Parameters'!$C$9:$BJ$9,'Input-Stress Parameters'!$C$11:$BJ$11)</f>
        <v>SL3</v>
      </c>
      <c r="AG1" s="28" t="str">
        <f>LOOKUP(AG2,'Input-Stress Parameters'!$C$9:$BJ$9,'Input-Stress Parameters'!$C$11:$BJ$11)</f>
        <v>SL3</v>
      </c>
      <c r="AH1" s="28" t="str">
        <f>LOOKUP(AH2,'Input-Stress Parameters'!$C$9:$BJ$9,'Input-Stress Parameters'!$C$11:$BJ$11)</f>
        <v>N</v>
      </c>
      <c r="AI1" s="28" t="str">
        <f>LOOKUP(AI2,'Input-Stress Parameters'!$C$9:$BJ$9,'Input-Stress Parameters'!$C$11:$BJ$11)</f>
        <v>N</v>
      </c>
      <c r="AJ1" s="28" t="str">
        <f>LOOKUP(AJ2,'Input-Stress Parameters'!$C$9:$BJ$9,'Input-Stress Parameters'!$C$11:$BJ$11)</f>
        <v>N</v>
      </c>
      <c r="AK1" s="28" t="str">
        <f>LOOKUP(AK2,'Input-Stress Parameters'!$C$9:$BJ$9,'Input-Stress Parameters'!$C$11:$BJ$11)</f>
        <v>N</v>
      </c>
      <c r="AL1" s="28" t="str">
        <f>LOOKUP(AL2,'Input-Stress Parameters'!$C$9:$BJ$9,'Input-Stress Parameters'!$C$11:$BJ$11)</f>
        <v>N</v>
      </c>
      <c r="AM1" s="28" t="str">
        <f>LOOKUP(AM2,'Input-Stress Parameters'!$C$9:$BJ$9,'Input-Stress Parameters'!$C$11:$BJ$11)</f>
        <v>N</v>
      </c>
      <c r="AN1" s="28" t="str">
        <f>LOOKUP(AN2,'Input-Stress Parameters'!$C$9:$BJ$9,'Input-Stress Parameters'!$C$11:$BJ$11)</f>
        <v>N</v>
      </c>
      <c r="AO1" s="28" t="str">
        <f>LOOKUP(AO2,'Input-Stress Parameters'!$C$9:$BJ$9,'Input-Stress Parameters'!$C$11:$BJ$11)</f>
        <v>N</v>
      </c>
      <c r="AP1" s="28" t="str">
        <f>LOOKUP(AP2,'Input-Stress Parameters'!$C$9:$BJ$9,'Input-Stress Parameters'!$C$11:$BJ$11)</f>
        <v>N</v>
      </c>
      <c r="AQ1" s="28" t="str">
        <f>LOOKUP(AQ2,'Input-Stress Parameters'!$C$9:$BJ$9,'Input-Stress Parameters'!$C$11:$BJ$11)</f>
        <v>N</v>
      </c>
      <c r="AR1" s="28" t="str">
        <f>LOOKUP(AR2,'Input-Stress Parameters'!$C$9:$BJ$9,'Input-Stress Parameters'!$C$11:$BJ$11)</f>
        <v>N</v>
      </c>
      <c r="AS1" s="28" t="str">
        <f>LOOKUP(AS2,'Input-Stress Parameters'!$C$9:$BJ$9,'Input-Stress Parameters'!$C$11:$BJ$11)</f>
        <v>N</v>
      </c>
      <c r="AT1" s="28" t="str">
        <f>LOOKUP(AT2,'Input-Stress Parameters'!$C$9:$BJ$9,'Input-Stress Parameters'!$C$11:$BJ$11)</f>
        <v>N</v>
      </c>
      <c r="AU1" s="28" t="str">
        <f>LOOKUP(AU2,'Input-Stress Parameters'!$C$9:$BJ$9,'Input-Stress Parameters'!$C$11:$BJ$11)</f>
        <v>N</v>
      </c>
      <c r="AV1" s="28" t="str">
        <f>LOOKUP(AV2,'Input-Stress Parameters'!$C$9:$BJ$9,'Input-Stress Parameters'!$C$11:$BJ$11)</f>
        <v>N</v>
      </c>
      <c r="AW1" s="28" t="str">
        <f>LOOKUP(AW2,'Input-Stress Parameters'!$C$9:$BJ$9,'Input-Stress Parameters'!$C$11:$BJ$11)</f>
        <v>N</v>
      </c>
      <c r="AX1" s="28" t="str">
        <f>LOOKUP(AX2,'Input-Stress Parameters'!$C$9:$BJ$9,'Input-Stress Parameters'!$C$11:$BJ$11)</f>
        <v>N</v>
      </c>
      <c r="AY1" s="28" t="str">
        <f>LOOKUP(AY2,'Input-Stress Parameters'!$C$9:$BJ$9,'Input-Stress Parameters'!$C$11:$BJ$11)</f>
        <v>N</v>
      </c>
      <c r="AZ1" s="28" t="str">
        <f>LOOKUP(AZ2,'Input-Stress Parameters'!$C$9:$BJ$9,'Input-Stress Parameters'!$C$11:$BJ$11)</f>
        <v>N</v>
      </c>
      <c r="BA1" s="28" t="str">
        <f>LOOKUP(BA2,'Input-Stress Parameters'!$C$9:$BJ$9,'Input-Stress Parameters'!$C$11:$BJ$11)</f>
        <v>N</v>
      </c>
      <c r="BB1" s="28" t="str">
        <f>LOOKUP(BB2,'Input-Stress Parameters'!$C$9:$BJ$9,'Input-Stress Parameters'!$C$11:$BJ$11)</f>
        <v>N</v>
      </c>
      <c r="BC1" s="28" t="str">
        <f>LOOKUP(BC2,'Input-Stress Parameters'!$C$9:$BJ$9,'Input-Stress Parameters'!$C$11:$BJ$11)</f>
        <v>N</v>
      </c>
      <c r="BD1" s="28" t="str">
        <f>LOOKUP(BD2,'Input-Stress Parameters'!$C$9:$BJ$9,'Input-Stress Parameters'!$C$11:$BJ$11)</f>
        <v>N</v>
      </c>
      <c r="BE1" s="28" t="str">
        <f>LOOKUP(BE2,'Input-Stress Parameters'!$C$9:$BJ$9,'Input-Stress Parameters'!$C$11:$BJ$11)</f>
        <v>N</v>
      </c>
      <c r="BF1" s="28" t="str">
        <f>LOOKUP(BF2,'Input-Stress Parameters'!$C$9:$BJ$9,'Input-Stress Parameters'!$C$11:$BJ$11)</f>
        <v>N</v>
      </c>
      <c r="BG1" s="28" t="str">
        <f>LOOKUP(BG2,'Input-Stress Parameters'!$C$9:$BJ$9,'Input-Stress Parameters'!$C$11:$BJ$11)</f>
        <v>N</v>
      </c>
      <c r="BH1" s="28" t="str">
        <f>LOOKUP(BH2,'Input-Stress Parameters'!$C$9:$BJ$9,'Input-Stress Parameters'!$C$11:$BJ$11)</f>
        <v>N</v>
      </c>
      <c r="BI1" s="28" t="str">
        <f>LOOKUP(BI2,'Input-Stress Parameters'!$C$9:$BJ$9,'Input-Stress Parameters'!$C$11:$BJ$11)</f>
        <v>N</v>
      </c>
      <c r="BJ1" s="28" t="str">
        <f>LOOKUP(BJ2,'Input-Stress Parameters'!$C$9:$BJ$9,'Input-Stress Parameters'!$C$11:$BJ$11)</f>
        <v>N</v>
      </c>
    </row>
    <row r="2" spans="1:62" x14ac:dyDescent="0.35">
      <c r="A2" s="25" t="s">
        <v>123</v>
      </c>
      <c r="B2" s="4" t="s">
        <v>3</v>
      </c>
      <c r="C2" s="19">
        <f>'Input-Stress Parameters'!C9</f>
        <v>45352</v>
      </c>
      <c r="D2" s="20">
        <f>EDATE(C2,1)</f>
        <v>45383</v>
      </c>
      <c r="E2" s="20">
        <f>EDATE(D2,1)</f>
        <v>45413</v>
      </c>
      <c r="F2" s="20">
        <f>EDATE(E2,1)</f>
        <v>45444</v>
      </c>
      <c r="G2" s="20">
        <f t="shared" ref="G2:BJ2" si="0">EDATE(F2,1)</f>
        <v>45474</v>
      </c>
      <c r="H2" s="20">
        <f t="shared" si="0"/>
        <v>45505</v>
      </c>
      <c r="I2" s="20">
        <f t="shared" si="0"/>
        <v>45536</v>
      </c>
      <c r="J2" s="20">
        <f t="shared" si="0"/>
        <v>45566</v>
      </c>
      <c r="K2" s="20">
        <f t="shared" si="0"/>
        <v>45597</v>
      </c>
      <c r="L2" s="20">
        <f t="shared" si="0"/>
        <v>45627</v>
      </c>
      <c r="M2" s="20">
        <f t="shared" si="0"/>
        <v>45658</v>
      </c>
      <c r="N2" s="20">
        <f t="shared" si="0"/>
        <v>45689</v>
      </c>
      <c r="O2" s="21">
        <f t="shared" si="0"/>
        <v>45717</v>
      </c>
      <c r="P2" s="20">
        <f t="shared" si="0"/>
        <v>45748</v>
      </c>
      <c r="Q2" s="20">
        <f t="shared" si="0"/>
        <v>45778</v>
      </c>
      <c r="R2" s="20">
        <f t="shared" si="0"/>
        <v>45809</v>
      </c>
      <c r="S2" s="20">
        <f t="shared" si="0"/>
        <v>45839</v>
      </c>
      <c r="T2" s="20">
        <f t="shared" si="0"/>
        <v>45870</v>
      </c>
      <c r="U2" s="20">
        <f t="shared" si="0"/>
        <v>45901</v>
      </c>
      <c r="V2" s="20">
        <f t="shared" si="0"/>
        <v>45931</v>
      </c>
      <c r="W2" s="20">
        <f t="shared" si="0"/>
        <v>45962</v>
      </c>
      <c r="X2" s="20">
        <f t="shared" si="0"/>
        <v>45992</v>
      </c>
      <c r="Y2" s="20">
        <f t="shared" si="0"/>
        <v>46023</v>
      </c>
      <c r="Z2" s="20">
        <f t="shared" si="0"/>
        <v>46054</v>
      </c>
      <c r="AA2" s="21">
        <f t="shared" si="0"/>
        <v>46082</v>
      </c>
      <c r="AB2" s="20">
        <f t="shared" si="0"/>
        <v>46113</v>
      </c>
      <c r="AC2" s="20">
        <f t="shared" si="0"/>
        <v>46143</v>
      </c>
      <c r="AD2" s="20">
        <f t="shared" si="0"/>
        <v>46174</v>
      </c>
      <c r="AE2" s="20">
        <f t="shared" si="0"/>
        <v>46204</v>
      </c>
      <c r="AF2" s="20">
        <f t="shared" si="0"/>
        <v>46235</v>
      </c>
      <c r="AG2" s="20">
        <f t="shared" si="0"/>
        <v>46266</v>
      </c>
      <c r="AH2" s="20">
        <f t="shared" si="0"/>
        <v>46296</v>
      </c>
      <c r="AI2" s="20">
        <f t="shared" si="0"/>
        <v>46327</v>
      </c>
      <c r="AJ2" s="20">
        <f t="shared" si="0"/>
        <v>46357</v>
      </c>
      <c r="AK2" s="20">
        <f t="shared" si="0"/>
        <v>46388</v>
      </c>
      <c r="AL2" s="20">
        <f t="shared" si="0"/>
        <v>46419</v>
      </c>
      <c r="AM2" s="21">
        <f t="shared" si="0"/>
        <v>46447</v>
      </c>
      <c r="AN2" s="20">
        <f t="shared" si="0"/>
        <v>46478</v>
      </c>
      <c r="AO2" s="20">
        <f t="shared" si="0"/>
        <v>46508</v>
      </c>
      <c r="AP2" s="20">
        <f t="shared" si="0"/>
        <v>46539</v>
      </c>
      <c r="AQ2" s="20">
        <f t="shared" si="0"/>
        <v>46569</v>
      </c>
      <c r="AR2" s="20">
        <f t="shared" si="0"/>
        <v>46600</v>
      </c>
      <c r="AS2" s="20">
        <f t="shared" si="0"/>
        <v>46631</v>
      </c>
      <c r="AT2" s="20">
        <f t="shared" si="0"/>
        <v>46661</v>
      </c>
      <c r="AU2" s="20">
        <f t="shared" si="0"/>
        <v>46692</v>
      </c>
      <c r="AV2" s="20">
        <f t="shared" si="0"/>
        <v>46722</v>
      </c>
      <c r="AW2" s="20">
        <f t="shared" si="0"/>
        <v>46753</v>
      </c>
      <c r="AX2" s="21">
        <f t="shared" si="0"/>
        <v>46784</v>
      </c>
      <c r="AY2" s="20">
        <f t="shared" si="0"/>
        <v>46813</v>
      </c>
      <c r="AZ2" s="20">
        <f t="shared" si="0"/>
        <v>46844</v>
      </c>
      <c r="BA2" s="20">
        <f t="shared" si="0"/>
        <v>46874</v>
      </c>
      <c r="BB2" s="20">
        <f t="shared" si="0"/>
        <v>46905</v>
      </c>
      <c r="BC2" s="20">
        <f t="shared" si="0"/>
        <v>46935</v>
      </c>
      <c r="BD2" s="20">
        <f t="shared" si="0"/>
        <v>46966</v>
      </c>
      <c r="BE2" s="20">
        <f t="shared" si="0"/>
        <v>46997</v>
      </c>
      <c r="BF2" s="20">
        <f t="shared" si="0"/>
        <v>47027</v>
      </c>
      <c r="BG2" s="20">
        <f t="shared" si="0"/>
        <v>47058</v>
      </c>
      <c r="BH2" s="20">
        <f t="shared" si="0"/>
        <v>47088</v>
      </c>
      <c r="BI2" s="20">
        <f t="shared" si="0"/>
        <v>47119</v>
      </c>
      <c r="BJ2" s="21">
        <f t="shared" si="0"/>
        <v>47150</v>
      </c>
    </row>
    <row r="3" spans="1:62" x14ac:dyDescent="0.35">
      <c r="A3" s="15" t="str">
        <f>$A$2</f>
        <v>ANR - Stress Pre-WriteOff</v>
      </c>
      <c r="B3" s="15" t="s">
        <v>188</v>
      </c>
      <c r="C3" s="16">
        <f>SUM(C4:C6)</f>
        <v>86554.433167344076</v>
      </c>
      <c r="D3" s="17">
        <f t="shared" ref="D3" si="1">SUM(D4:D6)</f>
        <v>88358.89376520236</v>
      </c>
      <c r="E3" s="17">
        <f t="shared" ref="E3" si="2">SUM(E4:E6)</f>
        <v>89259.100052698181</v>
      </c>
      <c r="F3" s="17">
        <f t="shared" ref="F3" si="3">SUM(F4:F6)</f>
        <v>90235.884158908928</v>
      </c>
      <c r="G3" s="17">
        <f t="shared" ref="G3" si="4">SUM(G4:G6)</f>
        <v>91333.290525502947</v>
      </c>
      <c r="H3" s="17">
        <f t="shared" ref="H3" si="5">SUM(H4:H6)</f>
        <v>92447.994700167357</v>
      </c>
      <c r="I3" s="17">
        <f t="shared" ref="I3" si="6">SUM(I4:I6)</f>
        <v>93762.195586022775</v>
      </c>
      <c r="J3" s="17">
        <f t="shared" ref="J3" si="7">SUM(J4:J6)</f>
        <v>94797.179677145861</v>
      </c>
      <c r="K3" s="17">
        <f t="shared" ref="K3" si="8">SUM(K4:K6)</f>
        <v>95736.914735340484</v>
      </c>
      <c r="L3" s="17">
        <f t="shared" ref="L3" si="9">SUM(L4:L6)</f>
        <v>96803.463120539105</v>
      </c>
      <c r="M3" s="17">
        <f t="shared" ref="M3" si="10">SUM(M4:M6)</f>
        <v>97831.693246509763</v>
      </c>
      <c r="N3" s="17">
        <f t="shared" ref="N3" si="11">SUM(N4:N6)</f>
        <v>98753.063968043731</v>
      </c>
      <c r="O3" s="18">
        <f t="shared" ref="O3" si="12">SUM(O4:O6)</f>
        <v>99697.245562154596</v>
      </c>
      <c r="P3" s="17">
        <f t="shared" ref="P3" si="13">SUM(P4:P6)</f>
        <v>99918.712607422713</v>
      </c>
      <c r="Q3" s="17">
        <f t="shared" ref="Q3" si="14">SUM(Q4:Q6)</f>
        <v>99452.062315364048</v>
      </c>
      <c r="R3" s="17">
        <f t="shared" ref="R3" si="15">SUM(R4:R6)</f>
        <v>99093.465821682767</v>
      </c>
      <c r="S3" s="17">
        <f t="shared" ref="S3" si="16">SUM(S4:S6)</f>
        <v>98784.395007808809</v>
      </c>
      <c r="T3" s="17">
        <f t="shared" ref="T3" si="17">SUM(T4:T6)</f>
        <v>98585.164386582081</v>
      </c>
      <c r="U3" s="17">
        <f t="shared" ref="U3" si="18">SUM(U4:U6)</f>
        <v>98537.364992431758</v>
      </c>
      <c r="V3" s="17">
        <f t="shared" ref="V3" si="19">SUM(V4:V6)</f>
        <v>98665.290439904595</v>
      </c>
      <c r="W3" s="17">
        <f t="shared" ref="W3" si="20">SUM(W4:W6)</f>
        <v>99198.750836984473</v>
      </c>
      <c r="X3" s="17">
        <f t="shared" ref="X3" si="21">SUM(X4:X6)</f>
        <v>100290.0155187151</v>
      </c>
      <c r="Y3" s="17">
        <f t="shared" ref="Y3" si="22">SUM(Y4:Y6)</f>
        <v>101849.55702124294</v>
      </c>
      <c r="Z3" s="17">
        <f t="shared" ref="Z3" si="23">SUM(Z4:Z6)</f>
        <v>103752.34597289731</v>
      </c>
      <c r="AA3" s="18">
        <f t="shared" ref="AA3" si="24">SUM(AA4:AA6)</f>
        <v>106121.05044307483</v>
      </c>
      <c r="AB3" s="17">
        <f t="shared" ref="AB3" si="25">SUM(AB4:AB6)</f>
        <v>107699.20298032426</v>
      </c>
      <c r="AC3" s="17">
        <f t="shared" ref="AC3" si="26">SUM(AC4:AC6)</f>
        <v>109068.11180186375</v>
      </c>
      <c r="AD3" s="17">
        <f t="shared" ref="AD3" si="27">SUM(AD4:AD6)</f>
        <v>111087.24842568079</v>
      </c>
      <c r="AE3" s="17">
        <f t="shared" ref="AE3" si="28">SUM(AE4:AE6)</f>
        <v>113172.14913301216</v>
      </c>
      <c r="AF3" s="17">
        <f t="shared" ref="AF3" si="29">SUM(AF4:AF6)</f>
        <v>116002.7633478262</v>
      </c>
      <c r="AG3" s="17">
        <f t="shared" ref="AG3" si="30">SUM(AG4:AG6)</f>
        <v>119751.74959768417</v>
      </c>
      <c r="AH3" s="17">
        <f t="shared" ref="AH3" si="31">SUM(AH4:AH6)</f>
        <v>124333.89766397033</v>
      </c>
      <c r="AI3" s="17">
        <f t="shared" ref="AI3" si="32">SUM(AI4:AI6)</f>
        <v>129655.41925866911</v>
      </c>
      <c r="AJ3" s="17">
        <f t="shared" ref="AJ3" si="33">SUM(AJ4:AJ6)</f>
        <v>135687.66301557893</v>
      </c>
      <c r="AK3" s="17">
        <f t="shared" ref="AK3" si="34">SUM(AK4:AK6)</f>
        <v>142117.67448280094</v>
      </c>
      <c r="AL3" s="17">
        <f t="shared" ref="AL3" si="35">SUM(AL4:AL6)</f>
        <v>148578.3992792092</v>
      </c>
      <c r="AM3" s="18">
        <f t="shared" ref="AM3" si="36">SUM(AM4:AM6)</f>
        <v>155340.60478255022</v>
      </c>
      <c r="AN3" s="17">
        <f t="shared" ref="AN3" si="37">SUM(AN4:AN6)</f>
        <v>0</v>
      </c>
      <c r="AO3" s="17">
        <f t="shared" ref="AO3" si="38">SUM(AO4:AO6)</f>
        <v>0</v>
      </c>
      <c r="AP3" s="17">
        <f t="shared" ref="AP3" si="39">SUM(AP4:AP6)</f>
        <v>0</v>
      </c>
      <c r="AQ3" s="17">
        <f t="shared" ref="AQ3" si="40">SUM(AQ4:AQ6)</f>
        <v>0</v>
      </c>
      <c r="AR3" s="17">
        <f t="shared" ref="AR3" si="41">SUM(AR4:AR6)</f>
        <v>0</v>
      </c>
      <c r="AS3" s="17">
        <f t="shared" ref="AS3" si="42">SUM(AS4:AS6)</f>
        <v>0</v>
      </c>
      <c r="AT3" s="17">
        <f t="shared" ref="AT3" si="43">SUM(AT4:AT6)</f>
        <v>0</v>
      </c>
      <c r="AU3" s="17">
        <f t="shared" ref="AU3" si="44">SUM(AU4:AU6)</f>
        <v>0</v>
      </c>
      <c r="AV3" s="17">
        <f t="shared" ref="AV3" si="45">SUM(AV4:AV6)</f>
        <v>0</v>
      </c>
      <c r="AW3" s="17">
        <f t="shared" ref="AW3" si="46">SUM(AW4:AW6)</f>
        <v>0</v>
      </c>
      <c r="AX3" s="18">
        <f t="shared" ref="AX3" si="47">SUM(AX4:AX6)</f>
        <v>0</v>
      </c>
      <c r="AY3" s="17">
        <f t="shared" ref="AY3" si="48">SUM(AY4:AY6)</f>
        <v>0</v>
      </c>
      <c r="AZ3" s="17">
        <f t="shared" ref="AZ3" si="49">SUM(AZ4:AZ6)</f>
        <v>0</v>
      </c>
      <c r="BA3" s="17">
        <f t="shared" ref="BA3" si="50">SUM(BA4:BA6)</f>
        <v>0</v>
      </c>
      <c r="BB3" s="17">
        <f t="shared" ref="BB3" si="51">SUM(BB4:BB6)</f>
        <v>0</v>
      </c>
      <c r="BC3" s="17">
        <f t="shared" ref="BC3" si="52">SUM(BC4:BC6)</f>
        <v>0</v>
      </c>
      <c r="BD3" s="17">
        <f t="shared" ref="BD3" si="53">SUM(BD4:BD6)</f>
        <v>0</v>
      </c>
      <c r="BE3" s="17">
        <f t="shared" ref="BE3" si="54">SUM(BE4:BE6)</f>
        <v>0</v>
      </c>
      <c r="BF3" s="17">
        <f t="shared" ref="BF3" si="55">SUM(BF4:BF6)</f>
        <v>0</v>
      </c>
      <c r="BG3" s="17">
        <f t="shared" ref="BG3" si="56">SUM(BG4:BG6)</f>
        <v>0</v>
      </c>
      <c r="BH3" s="17">
        <f t="shared" ref="BH3" si="57">SUM(BH4:BH6)</f>
        <v>0</v>
      </c>
      <c r="BI3" s="17">
        <f t="shared" ref="BI3" si="58">SUM(BI4:BI6)</f>
        <v>0</v>
      </c>
      <c r="BJ3" s="18">
        <f t="shared" ref="BJ3" si="59">SUM(BJ4:BJ6)</f>
        <v>0</v>
      </c>
    </row>
    <row r="4" spans="1:62" x14ac:dyDescent="0.35">
      <c r="A4" s="1" t="str">
        <f t="shared" ref="A4:A6" si="60">$A$2</f>
        <v>ANR - Stress Pre-WriteOff</v>
      </c>
      <c r="B4" s="1" t="s">
        <v>157</v>
      </c>
      <c r="C4" s="52">
        <f>C10</f>
        <v>50793.946422294131</v>
      </c>
      <c r="D4" s="53">
        <f t="shared" ref="D4:AM4" si="61">D10</f>
        <v>51905.960894426149</v>
      </c>
      <c r="E4" s="53">
        <f t="shared" si="61"/>
        <v>52737.653490540069</v>
      </c>
      <c r="F4" s="53">
        <f t="shared" si="61"/>
        <v>53621.680362205982</v>
      </c>
      <c r="G4" s="53">
        <f t="shared" si="61"/>
        <v>54568.555311257856</v>
      </c>
      <c r="H4" s="53">
        <f t="shared" si="61"/>
        <v>55518.815600574024</v>
      </c>
      <c r="I4" s="53">
        <f t="shared" si="61"/>
        <v>56612.593431368674</v>
      </c>
      <c r="J4" s="53">
        <f t="shared" si="61"/>
        <v>57504.897612266643</v>
      </c>
      <c r="K4" s="53">
        <f t="shared" si="61"/>
        <v>58314.532338838842</v>
      </c>
      <c r="L4" s="53">
        <f t="shared" si="61"/>
        <v>59237.046543360651</v>
      </c>
      <c r="M4" s="53">
        <f t="shared" si="61"/>
        <v>60149.798624984251</v>
      </c>
      <c r="N4" s="53">
        <f t="shared" si="61"/>
        <v>60978.281527763043</v>
      </c>
      <c r="O4" s="54">
        <f t="shared" si="61"/>
        <v>61796.415107871893</v>
      </c>
      <c r="P4" s="53">
        <f t="shared" si="61"/>
        <v>62133.77039950261</v>
      </c>
      <c r="Q4" s="53">
        <f t="shared" si="61"/>
        <v>62029.033974008205</v>
      </c>
      <c r="R4" s="53">
        <f t="shared" si="61"/>
        <v>61992.037588226958</v>
      </c>
      <c r="S4" s="53">
        <f t="shared" si="61"/>
        <v>61964.220346659866</v>
      </c>
      <c r="T4" s="53">
        <f t="shared" si="61"/>
        <v>61993.566704519631</v>
      </c>
      <c r="U4" s="53">
        <f t="shared" si="61"/>
        <v>62131.731251685625</v>
      </c>
      <c r="V4" s="53">
        <f t="shared" si="61"/>
        <v>62365.108965148327</v>
      </c>
      <c r="W4" s="53">
        <f t="shared" si="61"/>
        <v>62836.171489408473</v>
      </c>
      <c r="X4" s="53">
        <f t="shared" si="61"/>
        <v>63658.992286249901</v>
      </c>
      <c r="Y4" s="53">
        <f t="shared" si="61"/>
        <v>64773.485557519547</v>
      </c>
      <c r="Z4" s="53">
        <f t="shared" si="61"/>
        <v>66091.732113977094</v>
      </c>
      <c r="AA4" s="54">
        <f t="shared" si="61"/>
        <v>67674.760908408411</v>
      </c>
      <c r="AB4" s="53">
        <f t="shared" si="61"/>
        <v>68720.85801508314</v>
      </c>
      <c r="AC4" s="53">
        <f t="shared" si="61"/>
        <v>69834.876009354441</v>
      </c>
      <c r="AD4" s="53">
        <f t="shared" si="61"/>
        <v>71374.545419062561</v>
      </c>
      <c r="AE4" s="53">
        <f t="shared" si="61"/>
        <v>72739.44811925129</v>
      </c>
      <c r="AF4" s="53">
        <f t="shared" si="61"/>
        <v>74557.437511106793</v>
      </c>
      <c r="AG4" s="53">
        <f t="shared" si="61"/>
        <v>76959.473439597365</v>
      </c>
      <c r="AH4" s="53">
        <f t="shared" si="61"/>
        <v>79800.090894421257</v>
      </c>
      <c r="AI4" s="53">
        <f t="shared" si="61"/>
        <v>83058.437856611927</v>
      </c>
      <c r="AJ4" s="53">
        <f t="shared" si="61"/>
        <v>86823.714320526546</v>
      </c>
      <c r="AK4" s="53">
        <f t="shared" si="61"/>
        <v>90848.651631831395</v>
      </c>
      <c r="AL4" s="53">
        <f t="shared" si="61"/>
        <v>94890.359625931145</v>
      </c>
      <c r="AM4" s="54">
        <f t="shared" si="61"/>
        <v>99067.598074748646</v>
      </c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4"/>
      <c r="AY4" s="53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4"/>
    </row>
    <row r="5" spans="1:62" x14ac:dyDescent="0.35">
      <c r="A5" s="2" t="str">
        <f t="shared" si="60"/>
        <v>ANR - Stress Pre-WriteOff</v>
      </c>
      <c r="B5" s="2" t="s">
        <v>158</v>
      </c>
      <c r="C5" s="55">
        <f t="shared" ref="C5:AM5" si="62">C11</f>
        <v>28570.328209647905</v>
      </c>
      <c r="D5" s="56">
        <f t="shared" si="62"/>
        <v>29172.183739591739</v>
      </c>
      <c r="E5" s="56">
        <f t="shared" si="62"/>
        <v>29470.945860949552</v>
      </c>
      <c r="F5" s="56">
        <f t="shared" si="62"/>
        <v>29816.807428163174</v>
      </c>
      <c r="G5" s="56">
        <f t="shared" si="62"/>
        <v>30192.773836927216</v>
      </c>
      <c r="H5" s="56">
        <f t="shared" si="62"/>
        <v>30553.849666739854</v>
      </c>
      <c r="I5" s="56">
        <f t="shared" si="62"/>
        <v>30968.4491394859</v>
      </c>
      <c r="J5" s="56">
        <f t="shared" si="62"/>
        <v>31296.69702828331</v>
      </c>
      <c r="K5" s="56">
        <f t="shared" si="62"/>
        <v>31558.697727178565</v>
      </c>
      <c r="L5" s="56">
        <f t="shared" si="62"/>
        <v>31880.26634578855</v>
      </c>
      <c r="M5" s="56">
        <f t="shared" si="62"/>
        <v>32163.72642215194</v>
      </c>
      <c r="N5" s="56">
        <f t="shared" si="62"/>
        <v>32423.155236320912</v>
      </c>
      <c r="O5" s="57">
        <f t="shared" si="62"/>
        <v>32693.48208021509</v>
      </c>
      <c r="P5" s="56">
        <f t="shared" si="62"/>
        <v>32755.621256818562</v>
      </c>
      <c r="Q5" s="56">
        <f t="shared" si="62"/>
        <v>32624.65018312179</v>
      </c>
      <c r="R5" s="56">
        <f t="shared" si="62"/>
        <v>32516.872925192303</v>
      </c>
      <c r="S5" s="56">
        <f t="shared" si="62"/>
        <v>32434.897619989679</v>
      </c>
      <c r="T5" s="56">
        <f t="shared" si="62"/>
        <v>32389.358290006367</v>
      </c>
      <c r="U5" s="56">
        <f t="shared" si="62"/>
        <v>32373.427840296146</v>
      </c>
      <c r="V5" s="56">
        <f t="shared" si="62"/>
        <v>32406.612415398213</v>
      </c>
      <c r="W5" s="56">
        <f t="shared" si="62"/>
        <v>32560.150723472594</v>
      </c>
      <c r="X5" s="56">
        <f t="shared" si="62"/>
        <v>32871.933636557551</v>
      </c>
      <c r="Y5" s="56">
        <f t="shared" si="62"/>
        <v>33306.78278146607</v>
      </c>
      <c r="Z5" s="56">
        <f t="shared" si="62"/>
        <v>33831.015333192896</v>
      </c>
      <c r="AA5" s="57">
        <f t="shared" si="62"/>
        <v>34470.870465856577</v>
      </c>
      <c r="AB5" s="56">
        <f t="shared" si="62"/>
        <v>34905.502010593489</v>
      </c>
      <c r="AC5" s="56">
        <f t="shared" si="62"/>
        <v>35149.467839846569</v>
      </c>
      <c r="AD5" s="56">
        <f t="shared" si="62"/>
        <v>35560.91822789712</v>
      </c>
      <c r="AE5" s="56">
        <f t="shared" si="62"/>
        <v>36136.867790750439</v>
      </c>
      <c r="AF5" s="56">
        <f t="shared" si="62"/>
        <v>36916.480939999878</v>
      </c>
      <c r="AG5" s="56">
        <f t="shared" si="62"/>
        <v>37940.548369444303</v>
      </c>
      <c r="AH5" s="56">
        <f t="shared" si="62"/>
        <v>39155.757869337351</v>
      </c>
      <c r="AI5" s="56">
        <f t="shared" si="62"/>
        <v>40555.364482158795</v>
      </c>
      <c r="AJ5" s="56">
        <f t="shared" si="62"/>
        <v>42169.847651995697</v>
      </c>
      <c r="AK5" s="56">
        <f t="shared" si="62"/>
        <v>43901.280521517358</v>
      </c>
      <c r="AL5" s="56">
        <f t="shared" si="62"/>
        <v>45642.622185503395</v>
      </c>
      <c r="AM5" s="57">
        <f t="shared" si="62"/>
        <v>47435.786820440422</v>
      </c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7"/>
      <c r="AY5" s="56"/>
      <c r="AZ5" s="56"/>
      <c r="BA5" s="56"/>
      <c r="BB5" s="56"/>
      <c r="BC5" s="56"/>
      <c r="BD5" s="56"/>
      <c r="BE5" s="56"/>
      <c r="BF5" s="56"/>
      <c r="BG5" s="56"/>
      <c r="BH5" s="56"/>
      <c r="BI5" s="56"/>
      <c r="BJ5" s="57"/>
    </row>
    <row r="6" spans="1:62" x14ac:dyDescent="0.35">
      <c r="A6" s="3" t="str">
        <f t="shared" si="60"/>
        <v>ANR - Stress Pre-WriteOff</v>
      </c>
      <c r="B6" s="3" t="s">
        <v>159</v>
      </c>
      <c r="C6" s="58">
        <f t="shared" ref="C6:AM6" si="63">C12</f>
        <v>7190.1585354020353</v>
      </c>
      <c r="D6" s="59">
        <f t="shared" si="63"/>
        <v>7280.7491311844587</v>
      </c>
      <c r="E6" s="59">
        <f t="shared" si="63"/>
        <v>7050.5007012085543</v>
      </c>
      <c r="F6" s="59">
        <f t="shared" si="63"/>
        <v>6797.3963685397757</v>
      </c>
      <c r="G6" s="59">
        <f t="shared" si="63"/>
        <v>6571.9613773178744</v>
      </c>
      <c r="H6" s="59">
        <f t="shared" si="63"/>
        <v>6375.3294328534757</v>
      </c>
      <c r="I6" s="59">
        <f t="shared" si="63"/>
        <v>6181.1530151682082</v>
      </c>
      <c r="J6" s="59">
        <f t="shared" si="63"/>
        <v>5995.5850365958986</v>
      </c>
      <c r="K6" s="59">
        <f t="shared" si="63"/>
        <v>5863.6846693230764</v>
      </c>
      <c r="L6" s="59">
        <f t="shared" si="63"/>
        <v>5686.1502313899009</v>
      </c>
      <c r="M6" s="59">
        <f t="shared" si="63"/>
        <v>5518.1681993735619</v>
      </c>
      <c r="N6" s="59">
        <f t="shared" si="63"/>
        <v>5351.627203959777</v>
      </c>
      <c r="O6" s="60">
        <f t="shared" si="63"/>
        <v>5207.3483740676129</v>
      </c>
      <c r="P6" s="59">
        <f t="shared" si="63"/>
        <v>5029.3209511015421</v>
      </c>
      <c r="Q6" s="59">
        <f t="shared" si="63"/>
        <v>4798.3781582340562</v>
      </c>
      <c r="R6" s="59">
        <f t="shared" si="63"/>
        <v>4584.5553082634942</v>
      </c>
      <c r="S6" s="59">
        <f t="shared" si="63"/>
        <v>4385.2770411592619</v>
      </c>
      <c r="T6" s="59">
        <f t="shared" si="63"/>
        <v>4202.2393920560835</v>
      </c>
      <c r="U6" s="59">
        <f t="shared" si="63"/>
        <v>4032.2059004499906</v>
      </c>
      <c r="V6" s="59">
        <f t="shared" si="63"/>
        <v>3893.5690593580566</v>
      </c>
      <c r="W6" s="59">
        <f t="shared" si="63"/>
        <v>3802.428624103416</v>
      </c>
      <c r="X6" s="59">
        <f t="shared" si="63"/>
        <v>3759.0895959076429</v>
      </c>
      <c r="Y6" s="59">
        <f t="shared" si="63"/>
        <v>3769.2886822573187</v>
      </c>
      <c r="Z6" s="59">
        <f t="shared" si="63"/>
        <v>3829.5985257273192</v>
      </c>
      <c r="AA6" s="60">
        <f t="shared" si="63"/>
        <v>3975.4190688098433</v>
      </c>
      <c r="AB6" s="59">
        <f t="shared" si="63"/>
        <v>4072.8429546476304</v>
      </c>
      <c r="AC6" s="59">
        <f t="shared" si="63"/>
        <v>4083.7679526627353</v>
      </c>
      <c r="AD6" s="59">
        <f t="shared" si="63"/>
        <v>4151.7847787211103</v>
      </c>
      <c r="AE6" s="59">
        <f t="shared" si="63"/>
        <v>4295.8332230104406</v>
      </c>
      <c r="AF6" s="59">
        <f t="shared" si="63"/>
        <v>4528.8448967195227</v>
      </c>
      <c r="AG6" s="59">
        <f t="shared" si="63"/>
        <v>4851.727788642499</v>
      </c>
      <c r="AH6" s="59">
        <f t="shared" si="63"/>
        <v>5378.0489002117301</v>
      </c>
      <c r="AI6" s="59">
        <f t="shared" si="63"/>
        <v>6041.6169198983871</v>
      </c>
      <c r="AJ6" s="59">
        <f t="shared" si="63"/>
        <v>6694.1010430567112</v>
      </c>
      <c r="AK6" s="59">
        <f t="shared" si="63"/>
        <v>7367.7423294521914</v>
      </c>
      <c r="AL6" s="59">
        <f t="shared" si="63"/>
        <v>8045.4174677746414</v>
      </c>
      <c r="AM6" s="60">
        <f t="shared" si="63"/>
        <v>8837.2198873611469</v>
      </c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60"/>
      <c r="AY6" s="59"/>
      <c r="AZ6" s="59"/>
      <c r="BA6" s="59"/>
      <c r="BB6" s="59"/>
      <c r="BC6" s="59"/>
      <c r="BD6" s="59"/>
      <c r="BE6" s="59"/>
      <c r="BF6" s="59"/>
      <c r="BG6" s="59"/>
      <c r="BH6" s="59"/>
      <c r="BI6" s="59"/>
      <c r="BJ6" s="60"/>
    </row>
    <row r="8" spans="1:62" x14ac:dyDescent="0.35">
      <c r="A8" s="25" t="s">
        <v>124</v>
      </c>
      <c r="B8" s="4" t="s">
        <v>3</v>
      </c>
      <c r="C8" s="19">
        <f>C2</f>
        <v>45352</v>
      </c>
      <c r="D8" s="20">
        <f>EDATE(C8,1)</f>
        <v>45383</v>
      </c>
      <c r="E8" s="20">
        <f>EDATE(D8,1)</f>
        <v>45413</v>
      </c>
      <c r="F8" s="20">
        <f>EDATE(E8,1)</f>
        <v>45444</v>
      </c>
      <c r="G8" s="20">
        <f t="shared" ref="G8" si="64">EDATE(F8,1)</f>
        <v>45474</v>
      </c>
      <c r="H8" s="20">
        <f t="shared" ref="H8" si="65">EDATE(G8,1)</f>
        <v>45505</v>
      </c>
      <c r="I8" s="20">
        <f t="shared" ref="I8" si="66">EDATE(H8,1)</f>
        <v>45536</v>
      </c>
      <c r="J8" s="20">
        <f t="shared" ref="J8" si="67">EDATE(I8,1)</f>
        <v>45566</v>
      </c>
      <c r="K8" s="20">
        <f t="shared" ref="K8" si="68">EDATE(J8,1)</f>
        <v>45597</v>
      </c>
      <c r="L8" s="20">
        <f t="shared" ref="L8" si="69">EDATE(K8,1)</f>
        <v>45627</v>
      </c>
      <c r="M8" s="20">
        <f t="shared" ref="M8" si="70">EDATE(L8,1)</f>
        <v>45658</v>
      </c>
      <c r="N8" s="20">
        <f t="shared" ref="N8" si="71">EDATE(M8,1)</f>
        <v>45689</v>
      </c>
      <c r="O8" s="21">
        <f t="shared" ref="O8" si="72">EDATE(N8,1)</f>
        <v>45717</v>
      </c>
      <c r="P8" s="20">
        <f t="shared" ref="P8" si="73">EDATE(O8,1)</f>
        <v>45748</v>
      </c>
      <c r="Q8" s="20">
        <f t="shared" ref="Q8" si="74">EDATE(P8,1)</f>
        <v>45778</v>
      </c>
      <c r="R8" s="20">
        <f t="shared" ref="R8" si="75">EDATE(Q8,1)</f>
        <v>45809</v>
      </c>
      <c r="S8" s="20">
        <f t="shared" ref="S8" si="76">EDATE(R8,1)</f>
        <v>45839</v>
      </c>
      <c r="T8" s="20">
        <f t="shared" ref="T8" si="77">EDATE(S8,1)</f>
        <v>45870</v>
      </c>
      <c r="U8" s="20">
        <f t="shared" ref="U8" si="78">EDATE(T8,1)</f>
        <v>45901</v>
      </c>
      <c r="V8" s="20">
        <f t="shared" ref="V8" si="79">EDATE(U8,1)</f>
        <v>45931</v>
      </c>
      <c r="W8" s="20">
        <f t="shared" ref="W8" si="80">EDATE(V8,1)</f>
        <v>45962</v>
      </c>
      <c r="X8" s="20">
        <f t="shared" ref="X8" si="81">EDATE(W8,1)</f>
        <v>45992</v>
      </c>
      <c r="Y8" s="20">
        <f t="shared" ref="Y8" si="82">EDATE(X8,1)</f>
        <v>46023</v>
      </c>
      <c r="Z8" s="20">
        <f t="shared" ref="Z8" si="83">EDATE(Y8,1)</f>
        <v>46054</v>
      </c>
      <c r="AA8" s="21">
        <f t="shared" ref="AA8" si="84">EDATE(Z8,1)</f>
        <v>46082</v>
      </c>
      <c r="AB8" s="20">
        <f t="shared" ref="AB8" si="85">EDATE(AA8,1)</f>
        <v>46113</v>
      </c>
      <c r="AC8" s="20">
        <f t="shared" ref="AC8" si="86">EDATE(AB8,1)</f>
        <v>46143</v>
      </c>
      <c r="AD8" s="20">
        <f t="shared" ref="AD8" si="87">EDATE(AC8,1)</f>
        <v>46174</v>
      </c>
      <c r="AE8" s="20">
        <f t="shared" ref="AE8" si="88">EDATE(AD8,1)</f>
        <v>46204</v>
      </c>
      <c r="AF8" s="20">
        <f t="shared" ref="AF8" si="89">EDATE(AE8,1)</f>
        <v>46235</v>
      </c>
      <c r="AG8" s="20">
        <f t="shared" ref="AG8" si="90">EDATE(AF8,1)</f>
        <v>46266</v>
      </c>
      <c r="AH8" s="20">
        <f t="shared" ref="AH8" si="91">EDATE(AG8,1)</f>
        <v>46296</v>
      </c>
      <c r="AI8" s="20">
        <f t="shared" ref="AI8" si="92">EDATE(AH8,1)</f>
        <v>46327</v>
      </c>
      <c r="AJ8" s="20">
        <f t="shared" ref="AJ8" si="93">EDATE(AI8,1)</f>
        <v>46357</v>
      </c>
      <c r="AK8" s="20">
        <f t="shared" ref="AK8" si="94">EDATE(AJ8,1)</f>
        <v>46388</v>
      </c>
      <c r="AL8" s="20">
        <f t="shared" ref="AL8" si="95">EDATE(AK8,1)</f>
        <v>46419</v>
      </c>
      <c r="AM8" s="21">
        <f t="shared" ref="AM8" si="96">EDATE(AL8,1)</f>
        <v>46447</v>
      </c>
      <c r="AN8" s="20">
        <f t="shared" ref="AN8" si="97">EDATE(AM8,1)</f>
        <v>46478</v>
      </c>
      <c r="AO8" s="20">
        <f t="shared" ref="AO8" si="98">EDATE(AN8,1)</f>
        <v>46508</v>
      </c>
      <c r="AP8" s="20">
        <f t="shared" ref="AP8" si="99">EDATE(AO8,1)</f>
        <v>46539</v>
      </c>
      <c r="AQ8" s="20">
        <f t="shared" ref="AQ8" si="100">EDATE(AP8,1)</f>
        <v>46569</v>
      </c>
      <c r="AR8" s="20">
        <f t="shared" ref="AR8" si="101">EDATE(AQ8,1)</f>
        <v>46600</v>
      </c>
      <c r="AS8" s="20">
        <f t="shared" ref="AS8" si="102">EDATE(AR8,1)</f>
        <v>46631</v>
      </c>
      <c r="AT8" s="20">
        <f t="shared" ref="AT8" si="103">EDATE(AS8,1)</f>
        <v>46661</v>
      </c>
      <c r="AU8" s="20">
        <f t="shared" ref="AU8" si="104">EDATE(AT8,1)</f>
        <v>46692</v>
      </c>
      <c r="AV8" s="20">
        <f t="shared" ref="AV8" si="105">EDATE(AU8,1)</f>
        <v>46722</v>
      </c>
      <c r="AW8" s="20">
        <f t="shared" ref="AW8" si="106">EDATE(AV8,1)</f>
        <v>46753</v>
      </c>
      <c r="AX8" s="21">
        <f t="shared" ref="AX8" si="107">EDATE(AW8,1)</f>
        <v>46784</v>
      </c>
      <c r="AY8" s="20">
        <f t="shared" ref="AY8" si="108">EDATE(AX8,1)</f>
        <v>46813</v>
      </c>
      <c r="AZ8" s="20">
        <f t="shared" ref="AZ8" si="109">EDATE(AY8,1)</f>
        <v>46844</v>
      </c>
      <c r="BA8" s="20">
        <f t="shared" ref="BA8" si="110">EDATE(AZ8,1)</f>
        <v>46874</v>
      </c>
      <c r="BB8" s="20">
        <f t="shared" ref="BB8" si="111">EDATE(BA8,1)</f>
        <v>46905</v>
      </c>
      <c r="BC8" s="20">
        <f t="shared" ref="BC8" si="112">EDATE(BB8,1)</f>
        <v>46935</v>
      </c>
      <c r="BD8" s="20">
        <f t="shared" ref="BD8" si="113">EDATE(BC8,1)</f>
        <v>46966</v>
      </c>
      <c r="BE8" s="20">
        <f t="shared" ref="BE8" si="114">EDATE(BD8,1)</f>
        <v>46997</v>
      </c>
      <c r="BF8" s="20">
        <f t="shared" ref="BF8" si="115">EDATE(BE8,1)</f>
        <v>47027</v>
      </c>
      <c r="BG8" s="20">
        <f t="shared" ref="BG8" si="116">EDATE(BF8,1)</f>
        <v>47058</v>
      </c>
      <c r="BH8" s="20">
        <f t="shared" ref="BH8" si="117">EDATE(BG8,1)</f>
        <v>47088</v>
      </c>
      <c r="BI8" s="20">
        <f t="shared" ref="BI8" si="118">EDATE(BH8,1)</f>
        <v>47119</v>
      </c>
      <c r="BJ8" s="21">
        <f t="shared" ref="BJ8" si="119">EDATE(BI8,1)</f>
        <v>47150</v>
      </c>
    </row>
    <row r="9" spans="1:62" x14ac:dyDescent="0.35">
      <c r="A9" s="15" t="str">
        <f>$A$8</f>
        <v>ANR - Stress Post-WriteOff</v>
      </c>
      <c r="B9" s="15" t="s">
        <v>188</v>
      </c>
      <c r="C9" s="16">
        <f>SUM(C10:C12)</f>
        <v>86554.433167344076</v>
      </c>
      <c r="D9" s="17">
        <f t="shared" ref="D9:BJ9" si="120">SUM(D10:D12)</f>
        <v>88358.89376520236</v>
      </c>
      <c r="E9" s="17">
        <f t="shared" si="120"/>
        <v>89259.100052698181</v>
      </c>
      <c r="F9" s="17">
        <f t="shared" si="120"/>
        <v>90235.884158908928</v>
      </c>
      <c r="G9" s="17">
        <f t="shared" si="120"/>
        <v>91333.290525502947</v>
      </c>
      <c r="H9" s="17">
        <f t="shared" si="120"/>
        <v>92447.994700167357</v>
      </c>
      <c r="I9" s="17">
        <f t="shared" si="120"/>
        <v>93762.195586022775</v>
      </c>
      <c r="J9" s="17">
        <f t="shared" si="120"/>
        <v>94797.179677145861</v>
      </c>
      <c r="K9" s="17">
        <f t="shared" si="120"/>
        <v>95736.914735340484</v>
      </c>
      <c r="L9" s="17">
        <f t="shared" si="120"/>
        <v>96803.463120539105</v>
      </c>
      <c r="M9" s="17">
        <f t="shared" si="120"/>
        <v>97831.693246509763</v>
      </c>
      <c r="N9" s="17">
        <f t="shared" si="120"/>
        <v>98753.063968043731</v>
      </c>
      <c r="O9" s="18">
        <f t="shared" si="120"/>
        <v>99697.245562154596</v>
      </c>
      <c r="P9" s="17">
        <f t="shared" si="120"/>
        <v>99918.712607422713</v>
      </c>
      <c r="Q9" s="17">
        <f t="shared" si="120"/>
        <v>99452.062315364048</v>
      </c>
      <c r="R9" s="17">
        <f t="shared" si="120"/>
        <v>99093.465821682767</v>
      </c>
      <c r="S9" s="17">
        <f t="shared" si="120"/>
        <v>98784.395007808809</v>
      </c>
      <c r="T9" s="17">
        <f t="shared" si="120"/>
        <v>98585.164386582081</v>
      </c>
      <c r="U9" s="17">
        <f t="shared" si="120"/>
        <v>98537.364992431758</v>
      </c>
      <c r="V9" s="17">
        <f t="shared" si="120"/>
        <v>98665.290439904595</v>
      </c>
      <c r="W9" s="17">
        <f t="shared" si="120"/>
        <v>99198.750836984473</v>
      </c>
      <c r="X9" s="17">
        <f t="shared" si="120"/>
        <v>100290.0155187151</v>
      </c>
      <c r="Y9" s="17">
        <f t="shared" si="120"/>
        <v>101849.55702124294</v>
      </c>
      <c r="Z9" s="17">
        <f t="shared" si="120"/>
        <v>103752.34597289731</v>
      </c>
      <c r="AA9" s="18">
        <f t="shared" si="120"/>
        <v>106121.05044307483</v>
      </c>
      <c r="AB9" s="17">
        <f t="shared" si="120"/>
        <v>107699.20298032426</v>
      </c>
      <c r="AC9" s="17">
        <f t="shared" si="120"/>
        <v>109068.11180186375</v>
      </c>
      <c r="AD9" s="17">
        <f t="shared" si="120"/>
        <v>111087.24842568079</v>
      </c>
      <c r="AE9" s="17">
        <f t="shared" si="120"/>
        <v>113172.14913301216</v>
      </c>
      <c r="AF9" s="17">
        <f t="shared" si="120"/>
        <v>116002.7633478262</v>
      </c>
      <c r="AG9" s="17">
        <f t="shared" si="120"/>
        <v>119751.74959768417</v>
      </c>
      <c r="AH9" s="17">
        <f t="shared" si="120"/>
        <v>124333.89766397033</v>
      </c>
      <c r="AI9" s="17">
        <f t="shared" si="120"/>
        <v>129655.41925866911</v>
      </c>
      <c r="AJ9" s="17">
        <f t="shared" si="120"/>
        <v>135687.66301557893</v>
      </c>
      <c r="AK9" s="17">
        <f t="shared" si="120"/>
        <v>142117.67448280094</v>
      </c>
      <c r="AL9" s="17">
        <f t="shared" si="120"/>
        <v>148578.3992792092</v>
      </c>
      <c r="AM9" s="18">
        <f t="shared" si="120"/>
        <v>155340.60478255022</v>
      </c>
      <c r="AN9" s="17">
        <f t="shared" si="120"/>
        <v>0</v>
      </c>
      <c r="AO9" s="17">
        <f t="shared" si="120"/>
        <v>0</v>
      </c>
      <c r="AP9" s="17">
        <f t="shared" si="120"/>
        <v>0</v>
      </c>
      <c r="AQ9" s="17">
        <f t="shared" si="120"/>
        <v>0</v>
      </c>
      <c r="AR9" s="17">
        <f t="shared" si="120"/>
        <v>0</v>
      </c>
      <c r="AS9" s="17">
        <f t="shared" si="120"/>
        <v>0</v>
      </c>
      <c r="AT9" s="17">
        <f t="shared" si="120"/>
        <v>0</v>
      </c>
      <c r="AU9" s="17">
        <f t="shared" si="120"/>
        <v>0</v>
      </c>
      <c r="AV9" s="17">
        <f t="shared" si="120"/>
        <v>0</v>
      </c>
      <c r="AW9" s="17">
        <f t="shared" si="120"/>
        <v>0</v>
      </c>
      <c r="AX9" s="18">
        <f t="shared" si="120"/>
        <v>0</v>
      </c>
      <c r="AY9" s="17">
        <f t="shared" si="120"/>
        <v>0</v>
      </c>
      <c r="AZ9" s="17">
        <f t="shared" si="120"/>
        <v>0</v>
      </c>
      <c r="BA9" s="17">
        <f t="shared" si="120"/>
        <v>0</v>
      </c>
      <c r="BB9" s="17">
        <f t="shared" si="120"/>
        <v>0</v>
      </c>
      <c r="BC9" s="17">
        <f t="shared" si="120"/>
        <v>0</v>
      </c>
      <c r="BD9" s="17">
        <f t="shared" si="120"/>
        <v>0</v>
      </c>
      <c r="BE9" s="17">
        <f t="shared" si="120"/>
        <v>0</v>
      </c>
      <c r="BF9" s="17">
        <f t="shared" si="120"/>
        <v>0</v>
      </c>
      <c r="BG9" s="17">
        <f t="shared" si="120"/>
        <v>0</v>
      </c>
      <c r="BH9" s="17">
        <f t="shared" si="120"/>
        <v>0</v>
      </c>
      <c r="BI9" s="17">
        <f t="shared" si="120"/>
        <v>0</v>
      </c>
      <c r="BJ9" s="18">
        <f t="shared" si="120"/>
        <v>0</v>
      </c>
    </row>
    <row r="10" spans="1:62" x14ac:dyDescent="0.35">
      <c r="A10" s="1" t="str">
        <f>$A$8</f>
        <v>ANR - Stress Post-WriteOff</v>
      </c>
      <c r="B10" s="1" t="s">
        <v>157</v>
      </c>
      <c r="C10" s="52">
        <v>50793.946422294131</v>
      </c>
      <c r="D10" s="53">
        <v>51905.960894426149</v>
      </c>
      <c r="E10" s="53">
        <v>52737.653490540069</v>
      </c>
      <c r="F10" s="53">
        <v>53621.680362205982</v>
      </c>
      <c r="G10" s="53">
        <v>54568.555311257856</v>
      </c>
      <c r="H10" s="53">
        <v>55518.815600574024</v>
      </c>
      <c r="I10" s="53">
        <v>56612.593431368674</v>
      </c>
      <c r="J10" s="53">
        <v>57504.897612266643</v>
      </c>
      <c r="K10" s="53">
        <v>58314.532338838842</v>
      </c>
      <c r="L10" s="53">
        <v>59237.046543360651</v>
      </c>
      <c r="M10" s="53">
        <v>60149.798624984251</v>
      </c>
      <c r="N10" s="53">
        <v>60978.281527763043</v>
      </c>
      <c r="O10" s="54">
        <v>61796.415107871893</v>
      </c>
      <c r="P10" s="53">
        <v>62133.77039950261</v>
      </c>
      <c r="Q10" s="53">
        <v>62029.033974008205</v>
      </c>
      <c r="R10" s="53">
        <v>61992.037588226958</v>
      </c>
      <c r="S10" s="53">
        <v>61964.220346659866</v>
      </c>
      <c r="T10" s="53">
        <v>61993.566704519631</v>
      </c>
      <c r="U10" s="53">
        <v>62131.731251685625</v>
      </c>
      <c r="V10" s="53">
        <v>62365.108965148327</v>
      </c>
      <c r="W10" s="53">
        <v>62836.171489408473</v>
      </c>
      <c r="X10" s="53">
        <v>63658.992286249901</v>
      </c>
      <c r="Y10" s="53">
        <v>64773.485557519547</v>
      </c>
      <c r="Z10" s="53">
        <v>66091.732113977094</v>
      </c>
      <c r="AA10" s="54">
        <v>67674.760908408411</v>
      </c>
      <c r="AB10" s="53">
        <v>68720.85801508314</v>
      </c>
      <c r="AC10" s="53">
        <v>69834.876009354441</v>
      </c>
      <c r="AD10" s="53">
        <v>71374.545419062561</v>
      </c>
      <c r="AE10" s="53">
        <v>72739.44811925129</v>
      </c>
      <c r="AF10" s="53">
        <v>74557.437511106793</v>
      </c>
      <c r="AG10" s="53">
        <v>76959.473439597365</v>
      </c>
      <c r="AH10" s="53">
        <v>79800.090894421257</v>
      </c>
      <c r="AI10" s="53">
        <v>83058.437856611927</v>
      </c>
      <c r="AJ10" s="53">
        <v>86823.714320526546</v>
      </c>
      <c r="AK10" s="53">
        <v>90848.651631831395</v>
      </c>
      <c r="AL10" s="53">
        <v>94890.359625931145</v>
      </c>
      <c r="AM10" s="54">
        <v>99067.598074748646</v>
      </c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4"/>
      <c r="AY10" s="53"/>
      <c r="AZ10" s="53"/>
      <c r="BA10" s="53"/>
      <c r="BB10" s="53"/>
      <c r="BC10" s="53"/>
      <c r="BD10" s="53"/>
      <c r="BE10" s="53"/>
      <c r="BF10" s="53"/>
      <c r="BG10" s="53"/>
      <c r="BH10" s="53"/>
      <c r="BI10" s="53"/>
      <c r="BJ10" s="54"/>
    </row>
    <row r="11" spans="1:62" x14ac:dyDescent="0.35">
      <c r="A11" s="2" t="str">
        <f>$A$8</f>
        <v>ANR - Stress Post-WriteOff</v>
      </c>
      <c r="B11" s="2" t="s">
        <v>158</v>
      </c>
      <c r="C11" s="55">
        <v>28570.328209647905</v>
      </c>
      <c r="D11" s="56">
        <v>29172.183739591739</v>
      </c>
      <c r="E11" s="56">
        <v>29470.945860949552</v>
      </c>
      <c r="F11" s="56">
        <v>29816.807428163174</v>
      </c>
      <c r="G11" s="56">
        <v>30192.773836927216</v>
      </c>
      <c r="H11" s="56">
        <v>30553.849666739854</v>
      </c>
      <c r="I11" s="56">
        <v>30968.4491394859</v>
      </c>
      <c r="J11" s="56">
        <v>31296.69702828331</v>
      </c>
      <c r="K11" s="56">
        <v>31558.697727178565</v>
      </c>
      <c r="L11" s="56">
        <v>31880.26634578855</v>
      </c>
      <c r="M11" s="56">
        <v>32163.72642215194</v>
      </c>
      <c r="N11" s="56">
        <v>32423.155236320912</v>
      </c>
      <c r="O11" s="57">
        <v>32693.48208021509</v>
      </c>
      <c r="P11" s="56">
        <v>32755.621256818562</v>
      </c>
      <c r="Q11" s="56">
        <v>32624.65018312179</v>
      </c>
      <c r="R11" s="56">
        <v>32516.872925192303</v>
      </c>
      <c r="S11" s="56">
        <v>32434.897619989679</v>
      </c>
      <c r="T11" s="56">
        <v>32389.358290006367</v>
      </c>
      <c r="U11" s="56">
        <v>32373.427840296146</v>
      </c>
      <c r="V11" s="56">
        <v>32406.612415398213</v>
      </c>
      <c r="W11" s="56">
        <v>32560.150723472594</v>
      </c>
      <c r="X11" s="56">
        <v>32871.933636557551</v>
      </c>
      <c r="Y11" s="56">
        <v>33306.78278146607</v>
      </c>
      <c r="Z11" s="56">
        <v>33831.015333192896</v>
      </c>
      <c r="AA11" s="57">
        <v>34470.870465856577</v>
      </c>
      <c r="AB11" s="56">
        <v>34905.502010593489</v>
      </c>
      <c r="AC11" s="56">
        <v>35149.467839846569</v>
      </c>
      <c r="AD11" s="56">
        <v>35560.91822789712</v>
      </c>
      <c r="AE11" s="56">
        <v>36136.867790750439</v>
      </c>
      <c r="AF11" s="56">
        <v>36916.480939999878</v>
      </c>
      <c r="AG11" s="56">
        <v>37940.548369444303</v>
      </c>
      <c r="AH11" s="56">
        <v>39155.757869337351</v>
      </c>
      <c r="AI11" s="56">
        <v>40555.364482158795</v>
      </c>
      <c r="AJ11" s="56">
        <v>42169.847651995697</v>
      </c>
      <c r="AK11" s="56">
        <v>43901.280521517358</v>
      </c>
      <c r="AL11" s="56">
        <v>45642.622185503395</v>
      </c>
      <c r="AM11" s="57">
        <v>47435.786820440422</v>
      </c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7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7"/>
    </row>
    <row r="12" spans="1:62" x14ac:dyDescent="0.35">
      <c r="A12" s="3" t="str">
        <f>$A$8</f>
        <v>ANR - Stress Post-WriteOff</v>
      </c>
      <c r="B12" s="3" t="s">
        <v>159</v>
      </c>
      <c r="C12" s="58">
        <v>7190.1585354020353</v>
      </c>
      <c r="D12" s="59">
        <v>7280.7491311844587</v>
      </c>
      <c r="E12" s="59">
        <v>7050.5007012085543</v>
      </c>
      <c r="F12" s="59">
        <v>6797.3963685397757</v>
      </c>
      <c r="G12" s="59">
        <v>6571.9613773178744</v>
      </c>
      <c r="H12" s="59">
        <v>6375.3294328534757</v>
      </c>
      <c r="I12" s="59">
        <v>6181.1530151682082</v>
      </c>
      <c r="J12" s="59">
        <v>5995.5850365958986</v>
      </c>
      <c r="K12" s="59">
        <v>5863.6846693230764</v>
      </c>
      <c r="L12" s="59">
        <v>5686.1502313899009</v>
      </c>
      <c r="M12" s="59">
        <v>5518.1681993735619</v>
      </c>
      <c r="N12" s="59">
        <v>5351.627203959777</v>
      </c>
      <c r="O12" s="60">
        <v>5207.3483740676129</v>
      </c>
      <c r="P12" s="59">
        <v>5029.3209511015421</v>
      </c>
      <c r="Q12" s="59">
        <v>4798.3781582340562</v>
      </c>
      <c r="R12" s="59">
        <v>4584.5553082634942</v>
      </c>
      <c r="S12" s="59">
        <v>4385.2770411592619</v>
      </c>
      <c r="T12" s="59">
        <v>4202.2393920560835</v>
      </c>
      <c r="U12" s="59">
        <v>4032.2059004499906</v>
      </c>
      <c r="V12" s="59">
        <v>3893.5690593580566</v>
      </c>
      <c r="W12" s="59">
        <v>3802.428624103416</v>
      </c>
      <c r="X12" s="59">
        <v>3759.0895959076429</v>
      </c>
      <c r="Y12" s="59">
        <v>3769.2886822573187</v>
      </c>
      <c r="Z12" s="59">
        <v>3829.5985257273192</v>
      </c>
      <c r="AA12" s="60">
        <v>3975.4190688098433</v>
      </c>
      <c r="AB12" s="59">
        <v>4072.8429546476304</v>
      </c>
      <c r="AC12" s="59">
        <v>4083.7679526627353</v>
      </c>
      <c r="AD12" s="59">
        <v>4151.7847787211103</v>
      </c>
      <c r="AE12" s="59">
        <v>4295.8332230104406</v>
      </c>
      <c r="AF12" s="59">
        <v>4528.8448967195227</v>
      </c>
      <c r="AG12" s="59">
        <v>4851.727788642499</v>
      </c>
      <c r="AH12" s="59">
        <v>5378.0489002117301</v>
      </c>
      <c r="AI12" s="59">
        <v>6041.6169198983871</v>
      </c>
      <c r="AJ12" s="59">
        <v>6694.1010430567112</v>
      </c>
      <c r="AK12" s="59">
        <v>7367.7423294521914</v>
      </c>
      <c r="AL12" s="59">
        <v>8045.4174677746414</v>
      </c>
      <c r="AM12" s="60">
        <v>8837.2198873611469</v>
      </c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60"/>
      <c r="AY12" s="59"/>
      <c r="AZ12" s="59"/>
      <c r="BA12" s="59"/>
      <c r="BB12" s="59"/>
      <c r="BC12" s="59"/>
      <c r="BD12" s="59"/>
      <c r="BE12" s="59"/>
      <c r="BF12" s="59"/>
      <c r="BG12" s="59"/>
      <c r="BH12" s="59"/>
      <c r="BI12" s="59"/>
      <c r="BJ12" s="60"/>
    </row>
    <row r="14" spans="1:62" x14ac:dyDescent="0.35">
      <c r="A14" s="25" t="s">
        <v>187</v>
      </c>
      <c r="B14" s="4" t="s">
        <v>3</v>
      </c>
      <c r="C14" s="19">
        <f>C8</f>
        <v>45352</v>
      </c>
      <c r="D14" s="20">
        <f>EDATE(C14,1)</f>
        <v>45383</v>
      </c>
      <c r="E14" s="20">
        <f>EDATE(D14,1)</f>
        <v>45413</v>
      </c>
      <c r="F14" s="20">
        <f>EDATE(E14,1)</f>
        <v>45444</v>
      </c>
      <c r="G14" s="20">
        <f t="shared" ref="G14" si="121">EDATE(F14,1)</f>
        <v>45474</v>
      </c>
      <c r="H14" s="20">
        <f t="shared" ref="H14" si="122">EDATE(G14,1)</f>
        <v>45505</v>
      </c>
      <c r="I14" s="20">
        <f t="shared" ref="I14" si="123">EDATE(H14,1)</f>
        <v>45536</v>
      </c>
      <c r="J14" s="20">
        <f t="shared" ref="J14" si="124">EDATE(I14,1)</f>
        <v>45566</v>
      </c>
      <c r="K14" s="20">
        <f t="shared" ref="K14" si="125">EDATE(J14,1)</f>
        <v>45597</v>
      </c>
      <c r="L14" s="20">
        <f t="shared" ref="L14" si="126">EDATE(K14,1)</f>
        <v>45627</v>
      </c>
      <c r="M14" s="20">
        <f t="shared" ref="M14" si="127">EDATE(L14,1)</f>
        <v>45658</v>
      </c>
      <c r="N14" s="20">
        <f t="shared" ref="N14" si="128">EDATE(M14,1)</f>
        <v>45689</v>
      </c>
      <c r="O14" s="21">
        <f t="shared" ref="O14" si="129">EDATE(N14,1)</f>
        <v>45717</v>
      </c>
      <c r="P14" s="20">
        <f t="shared" ref="P14" si="130">EDATE(O14,1)</f>
        <v>45748</v>
      </c>
      <c r="Q14" s="20">
        <f t="shared" ref="Q14" si="131">EDATE(P14,1)</f>
        <v>45778</v>
      </c>
      <c r="R14" s="20">
        <f t="shared" ref="R14" si="132">EDATE(Q14,1)</f>
        <v>45809</v>
      </c>
      <c r="S14" s="20">
        <f t="shared" ref="S14" si="133">EDATE(R14,1)</f>
        <v>45839</v>
      </c>
      <c r="T14" s="20">
        <f t="shared" ref="T14" si="134">EDATE(S14,1)</f>
        <v>45870</v>
      </c>
      <c r="U14" s="20">
        <f t="shared" ref="U14" si="135">EDATE(T14,1)</f>
        <v>45901</v>
      </c>
      <c r="V14" s="20">
        <f t="shared" ref="V14" si="136">EDATE(U14,1)</f>
        <v>45931</v>
      </c>
      <c r="W14" s="20">
        <f t="shared" ref="W14" si="137">EDATE(V14,1)</f>
        <v>45962</v>
      </c>
      <c r="X14" s="20">
        <f t="shared" ref="X14" si="138">EDATE(W14,1)</f>
        <v>45992</v>
      </c>
      <c r="Y14" s="20">
        <f t="shared" ref="Y14" si="139">EDATE(X14,1)</f>
        <v>46023</v>
      </c>
      <c r="Z14" s="20">
        <f t="shared" ref="Z14" si="140">EDATE(Y14,1)</f>
        <v>46054</v>
      </c>
      <c r="AA14" s="21">
        <f t="shared" ref="AA14" si="141">EDATE(Z14,1)</f>
        <v>46082</v>
      </c>
      <c r="AB14" s="20">
        <f t="shared" ref="AB14" si="142">EDATE(AA14,1)</f>
        <v>46113</v>
      </c>
      <c r="AC14" s="20">
        <f t="shared" ref="AC14" si="143">EDATE(AB14,1)</f>
        <v>46143</v>
      </c>
      <c r="AD14" s="20">
        <f t="shared" ref="AD14" si="144">EDATE(AC14,1)</f>
        <v>46174</v>
      </c>
      <c r="AE14" s="20">
        <f t="shared" ref="AE14" si="145">EDATE(AD14,1)</f>
        <v>46204</v>
      </c>
      <c r="AF14" s="20">
        <f t="shared" ref="AF14" si="146">EDATE(AE14,1)</f>
        <v>46235</v>
      </c>
      <c r="AG14" s="20">
        <f t="shared" ref="AG14" si="147">EDATE(AF14,1)</f>
        <v>46266</v>
      </c>
      <c r="AH14" s="20">
        <f t="shared" ref="AH14" si="148">EDATE(AG14,1)</f>
        <v>46296</v>
      </c>
      <c r="AI14" s="20">
        <f t="shared" ref="AI14" si="149">EDATE(AH14,1)</f>
        <v>46327</v>
      </c>
      <c r="AJ14" s="20">
        <f t="shared" ref="AJ14" si="150">EDATE(AI14,1)</f>
        <v>46357</v>
      </c>
      <c r="AK14" s="20">
        <f t="shared" ref="AK14" si="151">EDATE(AJ14,1)</f>
        <v>46388</v>
      </c>
      <c r="AL14" s="20">
        <f t="shared" ref="AL14" si="152">EDATE(AK14,1)</f>
        <v>46419</v>
      </c>
      <c r="AM14" s="21">
        <f t="shared" ref="AM14" si="153">EDATE(AL14,1)</f>
        <v>46447</v>
      </c>
      <c r="AN14" s="20">
        <f t="shared" ref="AN14" si="154">EDATE(AM14,1)</f>
        <v>46478</v>
      </c>
      <c r="AO14" s="20">
        <f t="shared" ref="AO14" si="155">EDATE(AN14,1)</f>
        <v>46508</v>
      </c>
      <c r="AP14" s="20">
        <f t="shared" ref="AP14" si="156">EDATE(AO14,1)</f>
        <v>46539</v>
      </c>
      <c r="AQ14" s="20">
        <f t="shared" ref="AQ14" si="157">EDATE(AP14,1)</f>
        <v>46569</v>
      </c>
      <c r="AR14" s="20">
        <f t="shared" ref="AR14" si="158">EDATE(AQ14,1)</f>
        <v>46600</v>
      </c>
      <c r="AS14" s="20">
        <f t="shared" ref="AS14" si="159">EDATE(AR14,1)</f>
        <v>46631</v>
      </c>
      <c r="AT14" s="20">
        <f t="shared" ref="AT14" si="160">EDATE(AS14,1)</f>
        <v>46661</v>
      </c>
      <c r="AU14" s="20">
        <f t="shared" ref="AU14" si="161">EDATE(AT14,1)</f>
        <v>46692</v>
      </c>
      <c r="AV14" s="20">
        <f t="shared" ref="AV14" si="162">EDATE(AU14,1)</f>
        <v>46722</v>
      </c>
      <c r="AW14" s="20">
        <f t="shared" ref="AW14" si="163">EDATE(AV14,1)</f>
        <v>46753</v>
      </c>
      <c r="AX14" s="21">
        <f t="shared" ref="AX14" si="164">EDATE(AW14,1)</f>
        <v>46784</v>
      </c>
      <c r="AY14" s="20">
        <f t="shared" ref="AY14" si="165">EDATE(AX14,1)</f>
        <v>46813</v>
      </c>
      <c r="AZ14" s="20">
        <f t="shared" ref="AZ14" si="166">EDATE(AY14,1)</f>
        <v>46844</v>
      </c>
      <c r="BA14" s="20">
        <f t="shared" ref="BA14" si="167">EDATE(AZ14,1)</f>
        <v>46874</v>
      </c>
      <c r="BB14" s="20">
        <f t="shared" ref="BB14" si="168">EDATE(BA14,1)</f>
        <v>46905</v>
      </c>
      <c r="BC14" s="20">
        <f t="shared" ref="BC14" si="169">EDATE(BB14,1)</f>
        <v>46935</v>
      </c>
      <c r="BD14" s="20">
        <f t="shared" ref="BD14" si="170">EDATE(BC14,1)</f>
        <v>46966</v>
      </c>
      <c r="BE14" s="20">
        <f t="shared" ref="BE14" si="171">EDATE(BD14,1)</f>
        <v>46997</v>
      </c>
      <c r="BF14" s="20">
        <f t="shared" ref="BF14" si="172">EDATE(BE14,1)</f>
        <v>47027</v>
      </c>
      <c r="BG14" s="20">
        <f t="shared" ref="BG14" si="173">EDATE(BF14,1)</f>
        <v>47058</v>
      </c>
      <c r="BH14" s="20">
        <f t="shared" ref="BH14" si="174">EDATE(BG14,1)</f>
        <v>47088</v>
      </c>
      <c r="BI14" s="20">
        <f t="shared" ref="BI14" si="175">EDATE(BH14,1)</f>
        <v>47119</v>
      </c>
      <c r="BJ14" s="21">
        <f t="shared" ref="BJ14" si="176">EDATE(BI14,1)</f>
        <v>47150</v>
      </c>
    </row>
    <row r="15" spans="1:62" x14ac:dyDescent="0.35">
      <c r="A15" s="15" t="s">
        <v>187</v>
      </c>
      <c r="B15" s="15" t="s">
        <v>188</v>
      </c>
      <c r="C15" s="16">
        <f>SUM(C16:C18)</f>
        <v>86554.433167344076</v>
      </c>
      <c r="D15" s="17">
        <f t="shared" ref="D15:BJ15" si="177">SUM(D16:D18)</f>
        <v>88967.666539150989</v>
      </c>
      <c r="E15" s="17">
        <f t="shared" si="177"/>
        <v>90615.894680527257</v>
      </c>
      <c r="F15" s="17">
        <f t="shared" si="177"/>
        <v>92631.471679316484</v>
      </c>
      <c r="G15" s="17">
        <f t="shared" si="177"/>
        <v>95003.155449464146</v>
      </c>
      <c r="H15" s="17">
        <f t="shared" si="177"/>
        <v>97662.10032783325</v>
      </c>
      <c r="I15" s="17">
        <f t="shared" si="177"/>
        <v>100858.17222800611</v>
      </c>
      <c r="J15" s="17">
        <f t="shared" si="177"/>
        <v>104075.74784770672</v>
      </c>
      <c r="K15" s="17">
        <f t="shared" si="177"/>
        <v>107491.51469473929</v>
      </c>
      <c r="L15" s="17">
        <f t="shared" si="177"/>
        <v>111451.94623221498</v>
      </c>
      <c r="M15" s="17">
        <f t="shared" si="177"/>
        <v>115664.8394402251</v>
      </c>
      <c r="N15" s="17">
        <f t="shared" si="177"/>
        <v>119914.02896781256</v>
      </c>
      <c r="O15" s="18">
        <f t="shared" si="177"/>
        <v>124427.39606166887</v>
      </c>
      <c r="P15" s="17">
        <f t="shared" si="177"/>
        <v>127458.22745006521</v>
      </c>
      <c r="Q15" s="17">
        <f t="shared" si="177"/>
        <v>129054.81120587554</v>
      </c>
      <c r="R15" s="17">
        <f t="shared" si="177"/>
        <v>131124.50700388526</v>
      </c>
      <c r="S15" s="17">
        <f t="shared" si="177"/>
        <v>133544.69714405449</v>
      </c>
      <c r="T15" s="17">
        <f t="shared" si="177"/>
        <v>136432.48467301831</v>
      </c>
      <c r="U15" s="17">
        <f t="shared" si="177"/>
        <v>139861.47446291227</v>
      </c>
      <c r="V15" s="17">
        <f t="shared" si="177"/>
        <v>143444.39326648114</v>
      </c>
      <c r="W15" s="17">
        <f t="shared" si="177"/>
        <v>147300.14461816201</v>
      </c>
      <c r="X15" s="17">
        <f t="shared" si="177"/>
        <v>151793.26317224512</v>
      </c>
      <c r="Y15" s="17">
        <f t="shared" si="177"/>
        <v>156661.26835095647</v>
      </c>
      <c r="Z15" s="17">
        <f t="shared" si="177"/>
        <v>161585.58751212372</v>
      </c>
      <c r="AA15" s="18">
        <f t="shared" si="177"/>
        <v>166788.01951427758</v>
      </c>
      <c r="AB15" s="17">
        <f t="shared" si="177"/>
        <v>170081.64444408615</v>
      </c>
      <c r="AC15" s="17">
        <f t="shared" si="177"/>
        <v>172051.22962128581</v>
      </c>
      <c r="AD15" s="17">
        <f t="shared" si="177"/>
        <v>174598.67190956723</v>
      </c>
      <c r="AE15" s="17">
        <f t="shared" si="177"/>
        <v>177045.66614113387</v>
      </c>
      <c r="AF15" s="17">
        <f t="shared" si="177"/>
        <v>180045.13824542213</v>
      </c>
      <c r="AG15" s="17">
        <f t="shared" si="177"/>
        <v>183663.33836876199</v>
      </c>
      <c r="AH15" s="17">
        <f t="shared" si="177"/>
        <v>187475.76697647938</v>
      </c>
      <c r="AI15" s="17">
        <f t="shared" si="177"/>
        <v>191609.49763779656</v>
      </c>
      <c r="AJ15" s="17">
        <f t="shared" si="177"/>
        <v>196495.12738460372</v>
      </c>
      <c r="AK15" s="17">
        <f t="shared" si="177"/>
        <v>201821.42231798291</v>
      </c>
      <c r="AL15" s="17">
        <f t="shared" si="177"/>
        <v>207219.22806042907</v>
      </c>
      <c r="AM15" s="18">
        <f t="shared" si="177"/>
        <v>212957.5173434754</v>
      </c>
      <c r="AN15" s="17">
        <f t="shared" si="177"/>
        <v>0</v>
      </c>
      <c r="AO15" s="17">
        <f t="shared" si="177"/>
        <v>0</v>
      </c>
      <c r="AP15" s="17">
        <f t="shared" si="177"/>
        <v>0</v>
      </c>
      <c r="AQ15" s="17">
        <f t="shared" si="177"/>
        <v>0</v>
      </c>
      <c r="AR15" s="17">
        <f t="shared" si="177"/>
        <v>0</v>
      </c>
      <c r="AS15" s="17">
        <f t="shared" si="177"/>
        <v>0</v>
      </c>
      <c r="AT15" s="17">
        <f t="shared" si="177"/>
        <v>0</v>
      </c>
      <c r="AU15" s="17">
        <f t="shared" si="177"/>
        <v>0</v>
      </c>
      <c r="AV15" s="17">
        <f t="shared" si="177"/>
        <v>0</v>
      </c>
      <c r="AW15" s="17">
        <f t="shared" si="177"/>
        <v>0</v>
      </c>
      <c r="AX15" s="18">
        <f t="shared" si="177"/>
        <v>0</v>
      </c>
      <c r="AY15" s="17">
        <f t="shared" si="177"/>
        <v>0</v>
      </c>
      <c r="AZ15" s="17">
        <f t="shared" si="177"/>
        <v>0</v>
      </c>
      <c r="BA15" s="17">
        <f t="shared" si="177"/>
        <v>0</v>
      </c>
      <c r="BB15" s="17">
        <f t="shared" si="177"/>
        <v>0</v>
      </c>
      <c r="BC15" s="17">
        <f t="shared" si="177"/>
        <v>0</v>
      </c>
      <c r="BD15" s="17">
        <f t="shared" si="177"/>
        <v>0</v>
      </c>
      <c r="BE15" s="17">
        <f t="shared" si="177"/>
        <v>0</v>
      </c>
      <c r="BF15" s="17">
        <f t="shared" si="177"/>
        <v>0</v>
      </c>
      <c r="BG15" s="17">
        <f t="shared" si="177"/>
        <v>0</v>
      </c>
      <c r="BH15" s="17">
        <f t="shared" si="177"/>
        <v>0</v>
      </c>
      <c r="BI15" s="17">
        <f t="shared" si="177"/>
        <v>0</v>
      </c>
      <c r="BJ15" s="18">
        <f t="shared" si="177"/>
        <v>0</v>
      </c>
    </row>
    <row r="16" spans="1:62" x14ac:dyDescent="0.35">
      <c r="A16" s="1" t="s">
        <v>187</v>
      </c>
      <c r="B16" s="1" t="s">
        <v>157</v>
      </c>
      <c r="C16" s="52">
        <v>50793.946422294131</v>
      </c>
      <c r="D16" s="53">
        <v>52462.947696891169</v>
      </c>
      <c r="E16" s="53">
        <v>53662.504544643089</v>
      </c>
      <c r="F16" s="53">
        <v>55103.802607296944</v>
      </c>
      <c r="G16" s="53">
        <v>56741.726002806703</v>
      </c>
      <c r="H16" s="53">
        <v>58544.613806691239</v>
      </c>
      <c r="I16" s="53">
        <v>60688.232759030325</v>
      </c>
      <c r="J16" s="53">
        <v>62810.549684643411</v>
      </c>
      <c r="K16" s="53">
        <v>65074.741609645709</v>
      </c>
      <c r="L16" s="53">
        <v>67700.650250108753</v>
      </c>
      <c r="M16" s="53">
        <v>70502.045137693261</v>
      </c>
      <c r="N16" s="53">
        <v>73301.875630220355</v>
      </c>
      <c r="O16" s="54">
        <v>76198.748131805463</v>
      </c>
      <c r="P16" s="53">
        <v>78211.01375344157</v>
      </c>
      <c r="Q16" s="53">
        <v>79425.325483247259</v>
      </c>
      <c r="R16" s="53">
        <v>80935.103502719896</v>
      </c>
      <c r="S16" s="53">
        <v>82623.167064563211</v>
      </c>
      <c r="T16" s="53">
        <v>84571.644482076139</v>
      </c>
      <c r="U16" s="53">
        <v>86866.018981975358</v>
      </c>
      <c r="V16" s="53">
        <v>89230.309135731732</v>
      </c>
      <c r="W16" s="53">
        <v>91761.855377826476</v>
      </c>
      <c r="X16" s="53">
        <v>94724.065091818324</v>
      </c>
      <c r="Y16" s="53">
        <v>97928.765072768991</v>
      </c>
      <c r="Z16" s="53">
        <v>101162.13487010826</v>
      </c>
      <c r="AA16" s="54">
        <v>104504.80906170946</v>
      </c>
      <c r="AB16" s="53">
        <v>106695.14762712955</v>
      </c>
      <c r="AC16" s="53">
        <v>108368.90745501092</v>
      </c>
      <c r="AD16" s="53">
        <v>110406.8336613064</v>
      </c>
      <c r="AE16" s="53">
        <v>112147.15361785502</v>
      </c>
      <c r="AF16" s="53">
        <v>114201.11183169004</v>
      </c>
      <c r="AG16" s="53">
        <v>116643.10451149986</v>
      </c>
      <c r="AH16" s="53">
        <v>119182.79450838556</v>
      </c>
      <c r="AI16" s="53">
        <v>121932.3805525138</v>
      </c>
      <c r="AJ16" s="53">
        <v>125201.07615362259</v>
      </c>
      <c r="AK16" s="53">
        <v>128742.2182662164</v>
      </c>
      <c r="AL16" s="53">
        <v>132313.1428141676</v>
      </c>
      <c r="AM16" s="54">
        <v>136032.46715151178</v>
      </c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4"/>
      <c r="AY16" s="53"/>
      <c r="AZ16" s="53"/>
      <c r="BA16" s="53"/>
      <c r="BB16" s="53"/>
      <c r="BC16" s="53"/>
      <c r="BD16" s="53"/>
      <c r="BE16" s="53"/>
      <c r="BF16" s="53"/>
      <c r="BG16" s="53"/>
      <c r="BH16" s="53"/>
      <c r="BI16" s="53"/>
      <c r="BJ16" s="54"/>
    </row>
    <row r="17" spans="1:62" x14ac:dyDescent="0.35">
      <c r="A17" s="2" t="s">
        <v>187</v>
      </c>
      <c r="B17" s="2" t="s">
        <v>158</v>
      </c>
      <c r="C17" s="55">
        <v>28570.328209647905</v>
      </c>
      <c r="D17" s="56">
        <v>29217.728973499437</v>
      </c>
      <c r="E17" s="56">
        <v>29671.06168237386</v>
      </c>
      <c r="F17" s="56">
        <v>30216.352145717068</v>
      </c>
      <c r="G17" s="56">
        <v>30852.696290190619</v>
      </c>
      <c r="H17" s="56">
        <v>31547.298723540844</v>
      </c>
      <c r="I17" s="56">
        <v>32382.933311844816</v>
      </c>
      <c r="J17" s="56">
        <v>33229.847710696013</v>
      </c>
      <c r="K17" s="56">
        <v>34124.779277003894</v>
      </c>
      <c r="L17" s="56">
        <v>35194.023709940906</v>
      </c>
      <c r="M17" s="56">
        <v>36309.648918932748</v>
      </c>
      <c r="N17" s="56">
        <v>37445.76139108419</v>
      </c>
      <c r="O17" s="57">
        <v>38648.173177382552</v>
      </c>
      <c r="P17" s="56">
        <v>39472.679773041025</v>
      </c>
      <c r="Q17" s="56">
        <v>39947.086826504936</v>
      </c>
      <c r="R17" s="56">
        <v>40536.889650233119</v>
      </c>
      <c r="S17" s="56">
        <v>41226.496343505794</v>
      </c>
      <c r="T17" s="56">
        <v>42041.467729778698</v>
      </c>
      <c r="U17" s="56">
        <v>42989.258067704832</v>
      </c>
      <c r="V17" s="56">
        <v>43976.689028089779</v>
      </c>
      <c r="W17" s="56">
        <v>45056.355843420562</v>
      </c>
      <c r="X17" s="56">
        <v>46330.244452298917</v>
      </c>
      <c r="Y17" s="56">
        <v>47696.661625257839</v>
      </c>
      <c r="Z17" s="56">
        <v>49067.509135995155</v>
      </c>
      <c r="AA17" s="57">
        <v>50486.789273465445</v>
      </c>
      <c r="AB17" s="56">
        <v>51409.416048522646</v>
      </c>
      <c r="AC17" s="56">
        <v>51862.340605405625</v>
      </c>
      <c r="AD17" s="56">
        <v>52454.441160535345</v>
      </c>
      <c r="AE17" s="56">
        <v>53157.863835721277</v>
      </c>
      <c r="AF17" s="56">
        <v>54003.695777899979</v>
      </c>
      <c r="AG17" s="56">
        <v>55006.090036456138</v>
      </c>
      <c r="AH17" s="56">
        <v>56051.751333876709</v>
      </c>
      <c r="AI17" s="56">
        <v>57191.188092061966</v>
      </c>
      <c r="AJ17" s="56">
        <v>58546.916036642971</v>
      </c>
      <c r="AK17" s="56">
        <v>60023.210754199601</v>
      </c>
      <c r="AL17" s="56">
        <v>61512.748592838252</v>
      </c>
      <c r="AM17" s="57">
        <v>63054.96851257432</v>
      </c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AX17" s="57"/>
      <c r="AY17" s="56"/>
      <c r="AZ17" s="56"/>
      <c r="BA17" s="56"/>
      <c r="BB17" s="56"/>
      <c r="BC17" s="56"/>
      <c r="BD17" s="56"/>
      <c r="BE17" s="56"/>
      <c r="BF17" s="56"/>
      <c r="BG17" s="56"/>
      <c r="BH17" s="56"/>
      <c r="BI17" s="56"/>
      <c r="BJ17" s="57"/>
    </row>
    <row r="18" spans="1:62" x14ac:dyDescent="0.35">
      <c r="A18" s="3" t="s">
        <v>187</v>
      </c>
      <c r="B18" s="3" t="s">
        <v>159</v>
      </c>
      <c r="C18" s="58">
        <v>7190.1585354020353</v>
      </c>
      <c r="D18" s="59">
        <v>7286.9898687603909</v>
      </c>
      <c r="E18" s="59">
        <v>7282.3284535103139</v>
      </c>
      <c r="F18" s="59">
        <v>7311.3169263024711</v>
      </c>
      <c r="G18" s="59">
        <v>7408.7331564668284</v>
      </c>
      <c r="H18" s="59">
        <v>7570.187797601172</v>
      </c>
      <c r="I18" s="59">
        <v>7787.0061571309598</v>
      </c>
      <c r="J18" s="59">
        <v>8035.3504523673091</v>
      </c>
      <c r="K18" s="59">
        <v>8291.9938080896827</v>
      </c>
      <c r="L18" s="59">
        <v>8557.2722721653045</v>
      </c>
      <c r="M18" s="59">
        <v>8853.1453835991015</v>
      </c>
      <c r="N18" s="59">
        <v>9166.3919465080107</v>
      </c>
      <c r="O18" s="60">
        <v>9580.4747524808627</v>
      </c>
      <c r="P18" s="59">
        <v>9774.5339235826214</v>
      </c>
      <c r="Q18" s="59">
        <v>9682.3988961233354</v>
      </c>
      <c r="R18" s="59">
        <v>9652.5138509322442</v>
      </c>
      <c r="S18" s="59">
        <v>9695.0337359854911</v>
      </c>
      <c r="T18" s="59">
        <v>9819.3724611634552</v>
      </c>
      <c r="U18" s="59">
        <v>10006.197413232097</v>
      </c>
      <c r="V18" s="59">
        <v>10237.395102659611</v>
      </c>
      <c r="W18" s="59">
        <v>10481.933396914988</v>
      </c>
      <c r="X18" s="59">
        <v>10738.953628127876</v>
      </c>
      <c r="Y18" s="59">
        <v>11035.841652929639</v>
      </c>
      <c r="Z18" s="59">
        <v>11355.943506020289</v>
      </c>
      <c r="AA18" s="60">
        <v>11796.421179102683</v>
      </c>
      <c r="AB18" s="59">
        <v>11977.080768433947</v>
      </c>
      <c r="AC18" s="59">
        <v>11819.981560869252</v>
      </c>
      <c r="AD18" s="59">
        <v>11737.39708772548</v>
      </c>
      <c r="AE18" s="59">
        <v>11740.648687557588</v>
      </c>
      <c r="AF18" s="59">
        <v>11840.330635832115</v>
      </c>
      <c r="AG18" s="59">
        <v>12014.143820806003</v>
      </c>
      <c r="AH18" s="59">
        <v>12241.22113421711</v>
      </c>
      <c r="AI18" s="59">
        <v>12485.928993220796</v>
      </c>
      <c r="AJ18" s="59">
        <v>12747.135194338163</v>
      </c>
      <c r="AK18" s="59">
        <v>13055.993297566931</v>
      </c>
      <c r="AL18" s="59">
        <v>13393.33665342323</v>
      </c>
      <c r="AM18" s="60">
        <v>13870.081679389297</v>
      </c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60"/>
      <c r="AY18" s="59"/>
      <c r="AZ18" s="59"/>
      <c r="BA18" s="59"/>
      <c r="BB18" s="59"/>
      <c r="BC18" s="59"/>
      <c r="BD18" s="59"/>
      <c r="BE18" s="59"/>
      <c r="BF18" s="59"/>
      <c r="BG18" s="59"/>
      <c r="BH18" s="59"/>
      <c r="BI18" s="59"/>
      <c r="BJ18" s="60"/>
    </row>
  </sheetData>
  <conditionalFormatting sqref="C3:BJ3">
    <cfRule type="expression" dxfId="284" priority="25">
      <formula>C$1="SL3"</formula>
    </cfRule>
    <cfRule type="expression" dxfId="283" priority="26">
      <formula>C$1="SL2"</formula>
    </cfRule>
    <cfRule type="expression" dxfId="282" priority="27">
      <formula>C$1="SL1"</formula>
    </cfRule>
  </conditionalFormatting>
  <conditionalFormatting sqref="C9:BJ9">
    <cfRule type="expression" dxfId="281" priority="22">
      <formula>C$1="SL3"</formula>
    </cfRule>
    <cfRule type="expression" dxfId="280" priority="23">
      <formula>C$1="SL2"</formula>
    </cfRule>
    <cfRule type="expression" dxfId="279" priority="24">
      <formula>C$1="SL1"</formula>
    </cfRule>
  </conditionalFormatting>
  <conditionalFormatting sqref="C15:BJ15">
    <cfRule type="expression" dxfId="278" priority="1">
      <formula>C$1="SL3"</formula>
    </cfRule>
    <cfRule type="expression" dxfId="277" priority="2">
      <formula>C$1="SL2"</formula>
    </cfRule>
    <cfRule type="expression" dxfId="276" priority="3">
      <formula>C$1="SL1"</formula>
    </cfRule>
  </conditionalFormatting>
  <hyperlinks>
    <hyperlink ref="A1" location="Index!C6" display="Back - Index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BJ48"/>
  <sheetViews>
    <sheetView workbookViewId="0">
      <pane xSplit="2" ySplit="1" topLeftCell="C19" activePane="bottomRight" state="frozen"/>
      <selection pane="topRight" activeCell="C1" sqref="C1"/>
      <selection pane="bottomLeft" activeCell="A2" sqref="A2"/>
      <selection pane="bottomRight" activeCell="H34" sqref="H34"/>
    </sheetView>
  </sheetViews>
  <sheetFormatPr defaultRowHeight="14.5" x14ac:dyDescent="0.35"/>
  <cols>
    <col min="1" max="1" width="24" bestFit="1" customWidth="1"/>
    <col min="2" max="2" width="11.1796875" bestFit="1" customWidth="1"/>
  </cols>
  <sheetData>
    <row r="1" spans="1:62" x14ac:dyDescent="0.35">
      <c r="A1" s="122" t="s">
        <v>117</v>
      </c>
      <c r="C1" s="28" t="str">
        <f>LOOKUP(C2,'Input-Stress Parameters'!$C$9:$BJ$9,'Input-Stress Parameters'!$C$11:$BJ$11)</f>
        <v>N</v>
      </c>
      <c r="D1" s="28" t="str">
        <f>LOOKUP(D2,'Input-Stress Parameters'!$C$9:$BJ$9,'Input-Stress Parameters'!$C$11:$BJ$11)</f>
        <v>SL1</v>
      </c>
      <c r="E1" s="28" t="str">
        <f>LOOKUP(E2,'Input-Stress Parameters'!$C$9:$BJ$9,'Input-Stress Parameters'!$C$11:$BJ$11)</f>
        <v>SL1</v>
      </c>
      <c r="F1" s="28" t="str">
        <f>LOOKUP(F2,'Input-Stress Parameters'!$C$9:$BJ$9,'Input-Stress Parameters'!$C$11:$BJ$11)</f>
        <v>SL1</v>
      </c>
      <c r="G1" s="28" t="str">
        <f>LOOKUP(G2,'Input-Stress Parameters'!$C$9:$BJ$9,'Input-Stress Parameters'!$C$11:$BJ$11)</f>
        <v>SL1</v>
      </c>
      <c r="H1" s="28" t="str">
        <f>LOOKUP(H2,'Input-Stress Parameters'!$C$9:$BJ$9,'Input-Stress Parameters'!$C$11:$BJ$11)</f>
        <v>SL1</v>
      </c>
      <c r="I1" s="28" t="str">
        <f>LOOKUP(I2,'Input-Stress Parameters'!$C$9:$BJ$9,'Input-Stress Parameters'!$C$11:$BJ$11)</f>
        <v>SL1</v>
      </c>
      <c r="J1" s="28" t="str">
        <f>LOOKUP(J2,'Input-Stress Parameters'!$C$9:$BJ$9,'Input-Stress Parameters'!$C$11:$BJ$11)</f>
        <v>SL2</v>
      </c>
      <c r="K1" s="28" t="str">
        <f>LOOKUP(K2,'Input-Stress Parameters'!$C$9:$BJ$9,'Input-Stress Parameters'!$C$11:$BJ$11)</f>
        <v>SL2</v>
      </c>
      <c r="L1" s="28" t="str">
        <f>LOOKUP(L2,'Input-Stress Parameters'!$C$9:$BJ$9,'Input-Stress Parameters'!$C$11:$BJ$11)</f>
        <v>SL2</v>
      </c>
      <c r="M1" s="28" t="str">
        <f>LOOKUP(M2,'Input-Stress Parameters'!$C$9:$BJ$9,'Input-Stress Parameters'!$C$11:$BJ$11)</f>
        <v>SL2</v>
      </c>
      <c r="N1" s="28" t="str">
        <f>LOOKUP(N2,'Input-Stress Parameters'!$C$9:$BJ$9,'Input-Stress Parameters'!$C$11:$BJ$11)</f>
        <v>SL2</v>
      </c>
      <c r="O1" s="28" t="str">
        <f>LOOKUP(O2,'Input-Stress Parameters'!$C$9:$BJ$9,'Input-Stress Parameters'!$C$11:$BJ$11)</f>
        <v>SL2</v>
      </c>
      <c r="P1" s="28" t="str">
        <f>LOOKUP(P2,'Input-Stress Parameters'!$C$9:$BJ$9,'Input-Stress Parameters'!$C$11:$BJ$11)</f>
        <v>SL2</v>
      </c>
      <c r="Q1" s="28" t="str">
        <f>LOOKUP(Q2,'Input-Stress Parameters'!$C$9:$BJ$9,'Input-Stress Parameters'!$C$11:$BJ$11)</f>
        <v>SL2</v>
      </c>
      <c r="R1" s="28" t="str">
        <f>LOOKUP(R2,'Input-Stress Parameters'!$C$9:$BJ$9,'Input-Stress Parameters'!$C$11:$BJ$11)</f>
        <v>SL2</v>
      </c>
      <c r="S1" s="28" t="str">
        <f>LOOKUP(S2,'Input-Stress Parameters'!$C$9:$BJ$9,'Input-Stress Parameters'!$C$11:$BJ$11)</f>
        <v>SL2</v>
      </c>
      <c r="T1" s="28" t="str">
        <f>LOOKUP(T2,'Input-Stress Parameters'!$C$9:$BJ$9,'Input-Stress Parameters'!$C$11:$BJ$11)</f>
        <v>SL2</v>
      </c>
      <c r="U1" s="28" t="str">
        <f>LOOKUP(U2,'Input-Stress Parameters'!$C$9:$BJ$9,'Input-Stress Parameters'!$C$11:$BJ$11)</f>
        <v>SL2</v>
      </c>
      <c r="V1" s="28" t="str">
        <f>LOOKUP(V2,'Input-Stress Parameters'!$C$9:$BJ$9,'Input-Stress Parameters'!$C$11:$BJ$11)</f>
        <v>SL3</v>
      </c>
      <c r="W1" s="28" t="str">
        <f>LOOKUP(W2,'Input-Stress Parameters'!$C$9:$BJ$9,'Input-Stress Parameters'!$C$11:$BJ$11)</f>
        <v>SL3</v>
      </c>
      <c r="X1" s="28" t="str">
        <f>LOOKUP(X2,'Input-Stress Parameters'!$C$9:$BJ$9,'Input-Stress Parameters'!$C$11:$BJ$11)</f>
        <v>SL3</v>
      </c>
      <c r="Y1" s="28" t="str">
        <f>LOOKUP(Y2,'Input-Stress Parameters'!$C$9:$BJ$9,'Input-Stress Parameters'!$C$11:$BJ$11)</f>
        <v>SL3</v>
      </c>
      <c r="Z1" s="28" t="str">
        <f>LOOKUP(Z2,'Input-Stress Parameters'!$C$9:$BJ$9,'Input-Stress Parameters'!$C$11:$BJ$11)</f>
        <v>SL3</v>
      </c>
      <c r="AA1" s="28" t="str">
        <f>LOOKUP(AA2,'Input-Stress Parameters'!$C$9:$BJ$9,'Input-Stress Parameters'!$C$11:$BJ$11)</f>
        <v>SL3</v>
      </c>
      <c r="AB1" s="28" t="str">
        <f>LOOKUP(AB2,'Input-Stress Parameters'!$C$9:$BJ$9,'Input-Stress Parameters'!$C$11:$BJ$11)</f>
        <v>SL3</v>
      </c>
      <c r="AC1" s="28" t="str">
        <f>LOOKUP(AC2,'Input-Stress Parameters'!$C$9:$BJ$9,'Input-Stress Parameters'!$C$11:$BJ$11)</f>
        <v>SL3</v>
      </c>
      <c r="AD1" s="28" t="str">
        <f>LOOKUP(AD2,'Input-Stress Parameters'!$C$9:$BJ$9,'Input-Stress Parameters'!$C$11:$BJ$11)</f>
        <v>SL3</v>
      </c>
      <c r="AE1" s="28" t="str">
        <f>LOOKUP(AE2,'Input-Stress Parameters'!$C$9:$BJ$9,'Input-Stress Parameters'!$C$11:$BJ$11)</f>
        <v>SL3</v>
      </c>
      <c r="AF1" s="28" t="str">
        <f>LOOKUP(AF2,'Input-Stress Parameters'!$C$9:$BJ$9,'Input-Stress Parameters'!$C$11:$BJ$11)</f>
        <v>SL3</v>
      </c>
      <c r="AG1" s="28" t="str">
        <f>LOOKUP(AG2,'Input-Stress Parameters'!$C$9:$BJ$9,'Input-Stress Parameters'!$C$11:$BJ$11)</f>
        <v>SL3</v>
      </c>
      <c r="AH1" s="28" t="str">
        <f>LOOKUP(AH2,'Input-Stress Parameters'!$C$9:$BJ$9,'Input-Stress Parameters'!$C$11:$BJ$11)</f>
        <v>N</v>
      </c>
      <c r="AI1" s="28" t="str">
        <f>LOOKUP(AI2,'Input-Stress Parameters'!$C$9:$BJ$9,'Input-Stress Parameters'!$C$11:$BJ$11)</f>
        <v>N</v>
      </c>
      <c r="AJ1" s="28" t="str">
        <f>LOOKUP(AJ2,'Input-Stress Parameters'!$C$9:$BJ$9,'Input-Stress Parameters'!$C$11:$BJ$11)</f>
        <v>N</v>
      </c>
      <c r="AK1" s="28" t="str">
        <f>LOOKUP(AK2,'Input-Stress Parameters'!$C$9:$BJ$9,'Input-Stress Parameters'!$C$11:$BJ$11)</f>
        <v>N</v>
      </c>
      <c r="AL1" s="28" t="str">
        <f>LOOKUP(AL2,'Input-Stress Parameters'!$C$9:$BJ$9,'Input-Stress Parameters'!$C$11:$BJ$11)</f>
        <v>N</v>
      </c>
      <c r="AM1" s="28" t="str">
        <f>LOOKUP(AM2,'Input-Stress Parameters'!$C$9:$BJ$9,'Input-Stress Parameters'!$C$11:$BJ$11)</f>
        <v>N</v>
      </c>
      <c r="AN1" s="28" t="str">
        <f>LOOKUP(AN2,'Input-Stress Parameters'!$C$9:$BJ$9,'Input-Stress Parameters'!$C$11:$BJ$11)</f>
        <v>N</v>
      </c>
      <c r="AO1" s="28" t="str">
        <f>LOOKUP(AO2,'Input-Stress Parameters'!$C$9:$BJ$9,'Input-Stress Parameters'!$C$11:$BJ$11)</f>
        <v>N</v>
      </c>
      <c r="AP1" s="28" t="str">
        <f>LOOKUP(AP2,'Input-Stress Parameters'!$C$9:$BJ$9,'Input-Stress Parameters'!$C$11:$BJ$11)</f>
        <v>N</v>
      </c>
      <c r="AQ1" s="28" t="str">
        <f>LOOKUP(AQ2,'Input-Stress Parameters'!$C$9:$BJ$9,'Input-Stress Parameters'!$C$11:$BJ$11)</f>
        <v>N</v>
      </c>
      <c r="AR1" s="28" t="str">
        <f>LOOKUP(AR2,'Input-Stress Parameters'!$C$9:$BJ$9,'Input-Stress Parameters'!$C$11:$BJ$11)</f>
        <v>N</v>
      </c>
      <c r="AS1" s="28" t="str">
        <f>LOOKUP(AS2,'Input-Stress Parameters'!$C$9:$BJ$9,'Input-Stress Parameters'!$C$11:$BJ$11)</f>
        <v>N</v>
      </c>
      <c r="AT1" s="28" t="str">
        <f>LOOKUP(AT2,'Input-Stress Parameters'!$C$9:$BJ$9,'Input-Stress Parameters'!$C$11:$BJ$11)</f>
        <v>N</v>
      </c>
      <c r="AU1" s="28" t="str">
        <f>LOOKUP(AU2,'Input-Stress Parameters'!$C$9:$BJ$9,'Input-Stress Parameters'!$C$11:$BJ$11)</f>
        <v>N</v>
      </c>
      <c r="AV1" s="28" t="str">
        <f>LOOKUP(AV2,'Input-Stress Parameters'!$C$9:$BJ$9,'Input-Stress Parameters'!$C$11:$BJ$11)</f>
        <v>N</v>
      </c>
      <c r="AW1" s="28" t="str">
        <f>LOOKUP(AW2,'Input-Stress Parameters'!$C$9:$BJ$9,'Input-Stress Parameters'!$C$11:$BJ$11)</f>
        <v>N</v>
      </c>
      <c r="AX1" s="28" t="str">
        <f>LOOKUP(AX2,'Input-Stress Parameters'!$C$9:$BJ$9,'Input-Stress Parameters'!$C$11:$BJ$11)</f>
        <v>N</v>
      </c>
      <c r="AY1" s="28" t="str">
        <f>LOOKUP(AY2,'Input-Stress Parameters'!$C$9:$BJ$9,'Input-Stress Parameters'!$C$11:$BJ$11)</f>
        <v>N</v>
      </c>
      <c r="AZ1" s="28" t="str">
        <f>LOOKUP(AZ2,'Input-Stress Parameters'!$C$9:$BJ$9,'Input-Stress Parameters'!$C$11:$BJ$11)</f>
        <v>N</v>
      </c>
      <c r="BA1" s="28" t="str">
        <f>LOOKUP(BA2,'Input-Stress Parameters'!$C$9:$BJ$9,'Input-Stress Parameters'!$C$11:$BJ$11)</f>
        <v>N</v>
      </c>
      <c r="BB1" s="28" t="str">
        <f>LOOKUP(BB2,'Input-Stress Parameters'!$C$9:$BJ$9,'Input-Stress Parameters'!$C$11:$BJ$11)</f>
        <v>N</v>
      </c>
      <c r="BC1" s="28" t="str">
        <f>LOOKUP(BC2,'Input-Stress Parameters'!$C$9:$BJ$9,'Input-Stress Parameters'!$C$11:$BJ$11)</f>
        <v>N</v>
      </c>
      <c r="BD1" s="28" t="str">
        <f>LOOKUP(BD2,'Input-Stress Parameters'!$C$9:$BJ$9,'Input-Stress Parameters'!$C$11:$BJ$11)</f>
        <v>N</v>
      </c>
      <c r="BE1" s="28" t="str">
        <f>LOOKUP(BE2,'Input-Stress Parameters'!$C$9:$BJ$9,'Input-Stress Parameters'!$C$11:$BJ$11)</f>
        <v>N</v>
      </c>
      <c r="BF1" s="28" t="str">
        <f>LOOKUP(BF2,'Input-Stress Parameters'!$C$9:$BJ$9,'Input-Stress Parameters'!$C$11:$BJ$11)</f>
        <v>N</v>
      </c>
      <c r="BG1" s="28" t="str">
        <f>LOOKUP(BG2,'Input-Stress Parameters'!$C$9:$BJ$9,'Input-Stress Parameters'!$C$11:$BJ$11)</f>
        <v>N</v>
      </c>
      <c r="BH1" s="28" t="str">
        <f>LOOKUP(BH2,'Input-Stress Parameters'!$C$9:$BJ$9,'Input-Stress Parameters'!$C$11:$BJ$11)</f>
        <v>N</v>
      </c>
      <c r="BI1" s="28" t="str">
        <f>LOOKUP(BI2,'Input-Stress Parameters'!$C$9:$BJ$9,'Input-Stress Parameters'!$C$11:$BJ$11)</f>
        <v>N</v>
      </c>
      <c r="BJ1" s="28" t="str">
        <f>LOOKUP(BJ2,'Input-Stress Parameters'!$C$9:$BJ$9,'Input-Stress Parameters'!$C$11:$BJ$11)</f>
        <v>N</v>
      </c>
    </row>
    <row r="2" spans="1:62" x14ac:dyDescent="0.35">
      <c r="A2" s="25" t="s">
        <v>80</v>
      </c>
      <c r="B2" s="4" t="s">
        <v>3</v>
      </c>
      <c r="C2" s="19">
        <f>'Input-Stress Parameters'!C9</f>
        <v>45352</v>
      </c>
      <c r="D2" s="20">
        <f>EDATE(C2,1)</f>
        <v>45383</v>
      </c>
      <c r="E2" s="20">
        <f>EDATE(D2,1)</f>
        <v>45413</v>
      </c>
      <c r="F2" s="20">
        <f>EDATE(E2,1)</f>
        <v>45444</v>
      </c>
      <c r="G2" s="20">
        <f t="shared" ref="G2:BJ2" si="0">EDATE(F2,1)</f>
        <v>45474</v>
      </c>
      <c r="H2" s="20">
        <f t="shared" si="0"/>
        <v>45505</v>
      </c>
      <c r="I2" s="20">
        <f t="shared" si="0"/>
        <v>45536</v>
      </c>
      <c r="J2" s="20">
        <f t="shared" si="0"/>
        <v>45566</v>
      </c>
      <c r="K2" s="20">
        <f t="shared" si="0"/>
        <v>45597</v>
      </c>
      <c r="L2" s="20">
        <f t="shared" si="0"/>
        <v>45627</v>
      </c>
      <c r="M2" s="20">
        <f t="shared" si="0"/>
        <v>45658</v>
      </c>
      <c r="N2" s="21">
        <f t="shared" si="0"/>
        <v>45689</v>
      </c>
      <c r="O2" s="20">
        <f t="shared" si="0"/>
        <v>45717</v>
      </c>
      <c r="P2" s="20">
        <f t="shared" si="0"/>
        <v>45748</v>
      </c>
      <c r="Q2" s="20">
        <f t="shared" si="0"/>
        <v>45778</v>
      </c>
      <c r="R2" s="20">
        <f t="shared" si="0"/>
        <v>45809</v>
      </c>
      <c r="S2" s="20">
        <f t="shared" si="0"/>
        <v>45839</v>
      </c>
      <c r="T2" s="20">
        <f t="shared" si="0"/>
        <v>45870</v>
      </c>
      <c r="U2" s="20">
        <f t="shared" si="0"/>
        <v>45901</v>
      </c>
      <c r="V2" s="20">
        <f t="shared" si="0"/>
        <v>45931</v>
      </c>
      <c r="W2" s="20">
        <f t="shared" si="0"/>
        <v>45962</v>
      </c>
      <c r="X2" s="20">
        <f t="shared" si="0"/>
        <v>45992</v>
      </c>
      <c r="Y2" s="20">
        <f t="shared" si="0"/>
        <v>46023</v>
      </c>
      <c r="Z2" s="21">
        <f t="shared" si="0"/>
        <v>46054</v>
      </c>
      <c r="AA2" s="20">
        <f t="shared" si="0"/>
        <v>46082</v>
      </c>
      <c r="AB2" s="20">
        <f t="shared" si="0"/>
        <v>46113</v>
      </c>
      <c r="AC2" s="20">
        <f t="shared" si="0"/>
        <v>46143</v>
      </c>
      <c r="AD2" s="20">
        <f t="shared" si="0"/>
        <v>46174</v>
      </c>
      <c r="AE2" s="20">
        <f t="shared" si="0"/>
        <v>46204</v>
      </c>
      <c r="AF2" s="20">
        <f t="shared" si="0"/>
        <v>46235</v>
      </c>
      <c r="AG2" s="20">
        <f t="shared" si="0"/>
        <v>46266</v>
      </c>
      <c r="AH2" s="20">
        <f t="shared" si="0"/>
        <v>46296</v>
      </c>
      <c r="AI2" s="20">
        <f t="shared" si="0"/>
        <v>46327</v>
      </c>
      <c r="AJ2" s="20">
        <f t="shared" si="0"/>
        <v>46357</v>
      </c>
      <c r="AK2" s="20">
        <f t="shared" si="0"/>
        <v>46388</v>
      </c>
      <c r="AL2" s="21">
        <f t="shared" si="0"/>
        <v>46419</v>
      </c>
      <c r="AM2" s="20">
        <f t="shared" si="0"/>
        <v>46447</v>
      </c>
      <c r="AN2" s="20">
        <f t="shared" si="0"/>
        <v>46478</v>
      </c>
      <c r="AO2" s="20">
        <f t="shared" si="0"/>
        <v>46508</v>
      </c>
      <c r="AP2" s="20">
        <f t="shared" si="0"/>
        <v>46539</v>
      </c>
      <c r="AQ2" s="20">
        <f t="shared" si="0"/>
        <v>46569</v>
      </c>
      <c r="AR2" s="20">
        <f t="shared" si="0"/>
        <v>46600</v>
      </c>
      <c r="AS2" s="20">
        <f t="shared" si="0"/>
        <v>46631</v>
      </c>
      <c r="AT2" s="20">
        <f t="shared" si="0"/>
        <v>46661</v>
      </c>
      <c r="AU2" s="20">
        <f t="shared" si="0"/>
        <v>46692</v>
      </c>
      <c r="AV2" s="20">
        <f t="shared" si="0"/>
        <v>46722</v>
      </c>
      <c r="AW2" s="20">
        <f t="shared" si="0"/>
        <v>46753</v>
      </c>
      <c r="AX2" s="21">
        <f t="shared" si="0"/>
        <v>46784</v>
      </c>
      <c r="AY2" s="20">
        <f t="shared" si="0"/>
        <v>46813</v>
      </c>
      <c r="AZ2" s="20">
        <f t="shared" si="0"/>
        <v>46844</v>
      </c>
      <c r="BA2" s="20">
        <f t="shared" si="0"/>
        <v>46874</v>
      </c>
      <c r="BB2" s="20">
        <f t="shared" si="0"/>
        <v>46905</v>
      </c>
      <c r="BC2" s="20">
        <f t="shared" si="0"/>
        <v>46935</v>
      </c>
      <c r="BD2" s="20">
        <f t="shared" si="0"/>
        <v>46966</v>
      </c>
      <c r="BE2" s="20">
        <f t="shared" si="0"/>
        <v>46997</v>
      </c>
      <c r="BF2" s="20">
        <f t="shared" si="0"/>
        <v>47027</v>
      </c>
      <c r="BG2" s="20">
        <f t="shared" si="0"/>
        <v>47058</v>
      </c>
      <c r="BH2" s="20">
        <f t="shared" si="0"/>
        <v>47088</v>
      </c>
      <c r="BI2" s="20">
        <f t="shared" si="0"/>
        <v>47119</v>
      </c>
      <c r="BJ2" s="21">
        <f t="shared" si="0"/>
        <v>47150</v>
      </c>
    </row>
    <row r="3" spans="1:62" x14ac:dyDescent="0.35">
      <c r="A3" s="15" t="str">
        <f>$A$2</f>
        <v>Revenue - Stress</v>
      </c>
      <c r="B3" s="15" t="s">
        <v>160</v>
      </c>
      <c r="C3" s="16">
        <f>+SUM(C4:C6)</f>
        <v>0</v>
      </c>
      <c r="D3" s="17">
        <f t="shared" ref="D3:BJ3" si="1">+SUM(D4:D6)</f>
        <v>0</v>
      </c>
      <c r="E3" s="17">
        <f t="shared" si="1"/>
        <v>0</v>
      </c>
      <c r="F3" s="17">
        <f t="shared" si="1"/>
        <v>0</v>
      </c>
      <c r="G3" s="17">
        <f t="shared" si="1"/>
        <v>0</v>
      </c>
      <c r="H3" s="17">
        <f t="shared" si="1"/>
        <v>0</v>
      </c>
      <c r="I3" s="17">
        <f t="shared" si="1"/>
        <v>0</v>
      </c>
      <c r="J3" s="17">
        <f t="shared" si="1"/>
        <v>0</v>
      </c>
      <c r="K3" s="17">
        <f t="shared" si="1"/>
        <v>0</v>
      </c>
      <c r="L3" s="17">
        <f t="shared" si="1"/>
        <v>0</v>
      </c>
      <c r="M3" s="17">
        <f t="shared" si="1"/>
        <v>0</v>
      </c>
      <c r="N3" s="18">
        <f t="shared" si="1"/>
        <v>0</v>
      </c>
      <c r="O3" s="17">
        <f t="shared" si="1"/>
        <v>0</v>
      </c>
      <c r="P3" s="17">
        <f t="shared" si="1"/>
        <v>0</v>
      </c>
      <c r="Q3" s="17">
        <f t="shared" si="1"/>
        <v>0</v>
      </c>
      <c r="R3" s="17">
        <f t="shared" si="1"/>
        <v>0</v>
      </c>
      <c r="S3" s="17">
        <f t="shared" si="1"/>
        <v>0</v>
      </c>
      <c r="T3" s="17">
        <f t="shared" si="1"/>
        <v>0</v>
      </c>
      <c r="U3" s="17">
        <f t="shared" si="1"/>
        <v>0</v>
      </c>
      <c r="V3" s="17">
        <f t="shared" si="1"/>
        <v>0</v>
      </c>
      <c r="W3" s="17">
        <f t="shared" si="1"/>
        <v>0</v>
      </c>
      <c r="X3" s="17">
        <f t="shared" si="1"/>
        <v>0</v>
      </c>
      <c r="Y3" s="17">
        <f t="shared" si="1"/>
        <v>0</v>
      </c>
      <c r="Z3" s="18">
        <f t="shared" si="1"/>
        <v>0</v>
      </c>
      <c r="AA3" s="17">
        <f t="shared" si="1"/>
        <v>0</v>
      </c>
      <c r="AB3" s="17">
        <f t="shared" si="1"/>
        <v>0</v>
      </c>
      <c r="AC3" s="17">
        <f t="shared" si="1"/>
        <v>0</v>
      </c>
      <c r="AD3" s="17">
        <f t="shared" si="1"/>
        <v>0</v>
      </c>
      <c r="AE3" s="17">
        <f t="shared" si="1"/>
        <v>0</v>
      </c>
      <c r="AF3" s="17">
        <f t="shared" si="1"/>
        <v>0</v>
      </c>
      <c r="AG3" s="17">
        <f t="shared" si="1"/>
        <v>0</v>
      </c>
      <c r="AH3" s="17">
        <f t="shared" si="1"/>
        <v>0</v>
      </c>
      <c r="AI3" s="17">
        <f t="shared" si="1"/>
        <v>0</v>
      </c>
      <c r="AJ3" s="17">
        <f t="shared" si="1"/>
        <v>0</v>
      </c>
      <c r="AK3" s="17">
        <f t="shared" si="1"/>
        <v>0</v>
      </c>
      <c r="AL3" s="18">
        <f t="shared" si="1"/>
        <v>0</v>
      </c>
      <c r="AM3" s="17">
        <f t="shared" si="1"/>
        <v>0</v>
      </c>
      <c r="AN3" s="17">
        <f t="shared" si="1"/>
        <v>0</v>
      </c>
      <c r="AO3" s="17">
        <f t="shared" si="1"/>
        <v>0</v>
      </c>
      <c r="AP3" s="17">
        <f t="shared" si="1"/>
        <v>0</v>
      </c>
      <c r="AQ3" s="17">
        <f t="shared" si="1"/>
        <v>0</v>
      </c>
      <c r="AR3" s="17">
        <f t="shared" si="1"/>
        <v>0</v>
      </c>
      <c r="AS3" s="17">
        <f t="shared" si="1"/>
        <v>0</v>
      </c>
      <c r="AT3" s="17">
        <f t="shared" si="1"/>
        <v>0</v>
      </c>
      <c r="AU3" s="17">
        <f t="shared" si="1"/>
        <v>0</v>
      </c>
      <c r="AV3" s="17">
        <f t="shared" si="1"/>
        <v>0</v>
      </c>
      <c r="AW3" s="17">
        <f t="shared" si="1"/>
        <v>0</v>
      </c>
      <c r="AX3" s="18">
        <f t="shared" si="1"/>
        <v>0</v>
      </c>
      <c r="AY3" s="17">
        <f t="shared" si="1"/>
        <v>0</v>
      </c>
      <c r="AZ3" s="17">
        <f t="shared" si="1"/>
        <v>0</v>
      </c>
      <c r="BA3" s="17">
        <f t="shared" si="1"/>
        <v>0</v>
      </c>
      <c r="BB3" s="17">
        <f t="shared" si="1"/>
        <v>0</v>
      </c>
      <c r="BC3" s="17">
        <f t="shared" si="1"/>
        <v>0</v>
      </c>
      <c r="BD3" s="17">
        <f t="shared" si="1"/>
        <v>0</v>
      </c>
      <c r="BE3" s="17">
        <f t="shared" si="1"/>
        <v>0</v>
      </c>
      <c r="BF3" s="17">
        <f t="shared" si="1"/>
        <v>0</v>
      </c>
      <c r="BG3" s="17">
        <f t="shared" si="1"/>
        <v>0</v>
      </c>
      <c r="BH3" s="17">
        <f t="shared" si="1"/>
        <v>0</v>
      </c>
      <c r="BI3" s="17">
        <f t="shared" si="1"/>
        <v>0</v>
      </c>
      <c r="BJ3" s="18">
        <f t="shared" si="1"/>
        <v>0</v>
      </c>
    </row>
    <row r="4" spans="1:62" x14ac:dyDescent="0.35">
      <c r="A4" s="1" t="str">
        <f t="shared" ref="A4:A6" si="2">$A$2</f>
        <v>Revenue - Stress</v>
      </c>
      <c r="B4" s="1" t="s">
        <v>157</v>
      </c>
      <c r="C4" s="52"/>
      <c r="D4" s="53"/>
      <c r="E4" s="53"/>
      <c r="F4" s="53"/>
      <c r="G4" s="53"/>
      <c r="H4" s="53"/>
      <c r="I4" s="53"/>
      <c r="J4" s="53"/>
      <c r="K4" s="53"/>
      <c r="L4" s="53"/>
      <c r="M4" s="53"/>
      <c r="N4" s="54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4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4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4"/>
      <c r="AY4" s="53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4"/>
    </row>
    <row r="5" spans="1:62" x14ac:dyDescent="0.35">
      <c r="A5" s="2" t="str">
        <f t="shared" si="2"/>
        <v>Revenue - Stress</v>
      </c>
      <c r="B5" s="2" t="s">
        <v>158</v>
      </c>
      <c r="C5" s="55"/>
      <c r="D5" s="56"/>
      <c r="E5" s="56"/>
      <c r="F5" s="56"/>
      <c r="G5" s="56"/>
      <c r="H5" s="56"/>
      <c r="I5" s="56"/>
      <c r="J5" s="56"/>
      <c r="K5" s="56"/>
      <c r="L5" s="56"/>
      <c r="M5" s="56"/>
      <c r="N5" s="57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7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7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7"/>
      <c r="AY5" s="56"/>
      <c r="AZ5" s="56"/>
      <c r="BA5" s="56"/>
      <c r="BB5" s="56"/>
      <c r="BC5" s="56"/>
      <c r="BD5" s="56"/>
      <c r="BE5" s="56"/>
      <c r="BF5" s="56"/>
      <c r="BG5" s="56"/>
      <c r="BH5" s="56"/>
      <c r="BI5" s="56"/>
      <c r="BJ5" s="57"/>
    </row>
    <row r="6" spans="1:62" x14ac:dyDescent="0.35">
      <c r="A6" s="3" t="str">
        <f t="shared" si="2"/>
        <v>Revenue - Stress</v>
      </c>
      <c r="B6" s="3" t="s">
        <v>159</v>
      </c>
      <c r="C6" s="58"/>
      <c r="D6" s="59"/>
      <c r="E6" s="59"/>
      <c r="F6" s="59"/>
      <c r="G6" s="59"/>
      <c r="H6" s="59"/>
      <c r="I6" s="59"/>
      <c r="J6" s="59"/>
      <c r="K6" s="59"/>
      <c r="L6" s="59"/>
      <c r="M6" s="59"/>
      <c r="N6" s="60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60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60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60"/>
      <c r="AY6" s="59"/>
      <c r="AZ6" s="59"/>
      <c r="BA6" s="59"/>
      <c r="BB6" s="59"/>
      <c r="BC6" s="59"/>
      <c r="BD6" s="59"/>
      <c r="BE6" s="59"/>
      <c r="BF6" s="59"/>
      <c r="BG6" s="59"/>
      <c r="BH6" s="59"/>
      <c r="BI6" s="59"/>
      <c r="BJ6" s="60"/>
    </row>
    <row r="8" spans="1:62" x14ac:dyDescent="0.35">
      <c r="A8" s="25" t="s">
        <v>81</v>
      </c>
      <c r="B8" s="4" t="s">
        <v>3</v>
      </c>
      <c r="C8" s="19">
        <f>C2</f>
        <v>45352</v>
      </c>
      <c r="D8" s="20">
        <f>EDATE(C8,1)</f>
        <v>45383</v>
      </c>
      <c r="E8" s="20">
        <f>EDATE(D8,1)</f>
        <v>45413</v>
      </c>
      <c r="F8" s="20">
        <f>EDATE(E8,1)</f>
        <v>45444</v>
      </c>
      <c r="G8" s="20">
        <f t="shared" ref="G8" si="3">EDATE(F8,1)</f>
        <v>45474</v>
      </c>
      <c r="H8" s="20">
        <f t="shared" ref="H8" si="4">EDATE(G8,1)</f>
        <v>45505</v>
      </c>
      <c r="I8" s="20">
        <f t="shared" ref="I8" si="5">EDATE(H8,1)</f>
        <v>45536</v>
      </c>
      <c r="J8" s="20">
        <f t="shared" ref="J8" si="6">EDATE(I8,1)</f>
        <v>45566</v>
      </c>
      <c r="K8" s="20">
        <f t="shared" ref="K8" si="7">EDATE(J8,1)</f>
        <v>45597</v>
      </c>
      <c r="L8" s="20">
        <f t="shared" ref="L8" si="8">EDATE(K8,1)</f>
        <v>45627</v>
      </c>
      <c r="M8" s="20">
        <f t="shared" ref="M8" si="9">EDATE(L8,1)</f>
        <v>45658</v>
      </c>
      <c r="N8" s="21">
        <f t="shared" ref="N8" si="10">EDATE(M8,1)</f>
        <v>45689</v>
      </c>
      <c r="O8" s="20">
        <f t="shared" ref="O8" si="11">EDATE(N8,1)</f>
        <v>45717</v>
      </c>
      <c r="P8" s="20">
        <f t="shared" ref="P8" si="12">EDATE(O8,1)</f>
        <v>45748</v>
      </c>
      <c r="Q8" s="20">
        <f t="shared" ref="Q8" si="13">EDATE(P8,1)</f>
        <v>45778</v>
      </c>
      <c r="R8" s="20">
        <f t="shared" ref="R8" si="14">EDATE(Q8,1)</f>
        <v>45809</v>
      </c>
      <c r="S8" s="20">
        <f t="shared" ref="S8" si="15">EDATE(R8,1)</f>
        <v>45839</v>
      </c>
      <c r="T8" s="20">
        <f t="shared" ref="T8" si="16">EDATE(S8,1)</f>
        <v>45870</v>
      </c>
      <c r="U8" s="20">
        <f t="shared" ref="U8" si="17">EDATE(T8,1)</f>
        <v>45901</v>
      </c>
      <c r="V8" s="20">
        <f t="shared" ref="V8" si="18">EDATE(U8,1)</f>
        <v>45931</v>
      </c>
      <c r="W8" s="20">
        <f t="shared" ref="W8" si="19">EDATE(V8,1)</f>
        <v>45962</v>
      </c>
      <c r="X8" s="20">
        <f t="shared" ref="X8" si="20">EDATE(W8,1)</f>
        <v>45992</v>
      </c>
      <c r="Y8" s="20">
        <f t="shared" ref="Y8" si="21">EDATE(X8,1)</f>
        <v>46023</v>
      </c>
      <c r="Z8" s="21">
        <f t="shared" ref="Z8" si="22">EDATE(Y8,1)</f>
        <v>46054</v>
      </c>
      <c r="AA8" s="20">
        <f t="shared" ref="AA8" si="23">EDATE(Z8,1)</f>
        <v>46082</v>
      </c>
      <c r="AB8" s="20">
        <f t="shared" ref="AB8" si="24">EDATE(AA8,1)</f>
        <v>46113</v>
      </c>
      <c r="AC8" s="20">
        <f t="shared" ref="AC8" si="25">EDATE(AB8,1)</f>
        <v>46143</v>
      </c>
      <c r="AD8" s="20">
        <f t="shared" ref="AD8" si="26">EDATE(AC8,1)</f>
        <v>46174</v>
      </c>
      <c r="AE8" s="20">
        <f t="shared" ref="AE8" si="27">EDATE(AD8,1)</f>
        <v>46204</v>
      </c>
      <c r="AF8" s="20">
        <f t="shared" ref="AF8" si="28">EDATE(AE8,1)</f>
        <v>46235</v>
      </c>
      <c r="AG8" s="20">
        <f t="shared" ref="AG8" si="29">EDATE(AF8,1)</f>
        <v>46266</v>
      </c>
      <c r="AH8" s="20">
        <f t="shared" ref="AH8" si="30">EDATE(AG8,1)</f>
        <v>46296</v>
      </c>
      <c r="AI8" s="20">
        <f t="shared" ref="AI8" si="31">EDATE(AH8,1)</f>
        <v>46327</v>
      </c>
      <c r="AJ8" s="20">
        <f t="shared" ref="AJ8" si="32">EDATE(AI8,1)</f>
        <v>46357</v>
      </c>
      <c r="AK8" s="20">
        <f t="shared" ref="AK8" si="33">EDATE(AJ8,1)</f>
        <v>46388</v>
      </c>
      <c r="AL8" s="21">
        <f t="shared" ref="AL8" si="34">EDATE(AK8,1)</f>
        <v>46419</v>
      </c>
      <c r="AM8" s="20">
        <f t="shared" ref="AM8" si="35">EDATE(AL8,1)</f>
        <v>46447</v>
      </c>
      <c r="AN8" s="20">
        <f t="shared" ref="AN8" si="36">EDATE(AM8,1)</f>
        <v>46478</v>
      </c>
      <c r="AO8" s="20">
        <f t="shared" ref="AO8" si="37">EDATE(AN8,1)</f>
        <v>46508</v>
      </c>
      <c r="AP8" s="20">
        <f t="shared" ref="AP8" si="38">EDATE(AO8,1)</f>
        <v>46539</v>
      </c>
      <c r="AQ8" s="20">
        <f t="shared" ref="AQ8" si="39">EDATE(AP8,1)</f>
        <v>46569</v>
      </c>
      <c r="AR8" s="20">
        <f t="shared" ref="AR8" si="40">EDATE(AQ8,1)</f>
        <v>46600</v>
      </c>
      <c r="AS8" s="20">
        <f t="shared" ref="AS8" si="41">EDATE(AR8,1)</f>
        <v>46631</v>
      </c>
      <c r="AT8" s="20">
        <f t="shared" ref="AT8" si="42">EDATE(AS8,1)</f>
        <v>46661</v>
      </c>
      <c r="AU8" s="20">
        <f t="shared" ref="AU8" si="43">EDATE(AT8,1)</f>
        <v>46692</v>
      </c>
      <c r="AV8" s="20">
        <f t="shared" ref="AV8" si="44">EDATE(AU8,1)</f>
        <v>46722</v>
      </c>
      <c r="AW8" s="20">
        <f t="shared" ref="AW8" si="45">EDATE(AV8,1)</f>
        <v>46753</v>
      </c>
      <c r="AX8" s="21">
        <f t="shared" ref="AX8" si="46">EDATE(AW8,1)</f>
        <v>46784</v>
      </c>
      <c r="AY8" s="20">
        <f t="shared" ref="AY8" si="47">EDATE(AX8,1)</f>
        <v>46813</v>
      </c>
      <c r="AZ8" s="20">
        <f t="shared" ref="AZ8" si="48">EDATE(AY8,1)</f>
        <v>46844</v>
      </c>
      <c r="BA8" s="20">
        <f t="shared" ref="BA8" si="49">EDATE(AZ8,1)</f>
        <v>46874</v>
      </c>
      <c r="BB8" s="20">
        <f t="shared" ref="BB8" si="50">EDATE(BA8,1)</f>
        <v>46905</v>
      </c>
      <c r="BC8" s="20">
        <f t="shared" ref="BC8" si="51">EDATE(BB8,1)</f>
        <v>46935</v>
      </c>
      <c r="BD8" s="20">
        <f t="shared" ref="BD8" si="52">EDATE(BC8,1)</f>
        <v>46966</v>
      </c>
      <c r="BE8" s="20">
        <f t="shared" ref="BE8" si="53">EDATE(BD8,1)</f>
        <v>46997</v>
      </c>
      <c r="BF8" s="20">
        <f t="shared" ref="BF8" si="54">EDATE(BE8,1)</f>
        <v>47027</v>
      </c>
      <c r="BG8" s="20">
        <f t="shared" ref="BG8" si="55">EDATE(BF8,1)</f>
        <v>47058</v>
      </c>
      <c r="BH8" s="20">
        <f t="shared" ref="BH8" si="56">EDATE(BG8,1)</f>
        <v>47088</v>
      </c>
      <c r="BI8" s="20">
        <f t="shared" ref="BI8" si="57">EDATE(BH8,1)</f>
        <v>47119</v>
      </c>
      <c r="BJ8" s="21">
        <f t="shared" ref="BJ8" si="58">EDATE(BI8,1)</f>
        <v>47150</v>
      </c>
    </row>
    <row r="9" spans="1:62" x14ac:dyDescent="0.35">
      <c r="A9" s="15" t="str">
        <f>$A$8</f>
        <v>Revenue - Plan</v>
      </c>
      <c r="B9" s="15" t="s">
        <v>160</v>
      </c>
      <c r="C9" s="16">
        <f>+SUM(C10:C12)</f>
        <v>0</v>
      </c>
      <c r="D9" s="17">
        <f t="shared" ref="D9" si="59">+SUM(D10:D12)</f>
        <v>0</v>
      </c>
      <c r="E9" s="17">
        <f t="shared" ref="E9" si="60">+SUM(E10:E12)</f>
        <v>0</v>
      </c>
      <c r="F9" s="17">
        <f t="shared" ref="F9" si="61">+SUM(F10:F12)</f>
        <v>0</v>
      </c>
      <c r="G9" s="17">
        <f t="shared" ref="G9" si="62">+SUM(G10:G12)</f>
        <v>0</v>
      </c>
      <c r="H9" s="17">
        <f t="shared" ref="H9" si="63">+SUM(H10:H12)</f>
        <v>0</v>
      </c>
      <c r="I9" s="17">
        <f t="shared" ref="I9" si="64">+SUM(I10:I12)</f>
        <v>0</v>
      </c>
      <c r="J9" s="17">
        <f t="shared" ref="J9" si="65">+SUM(J10:J12)</f>
        <v>0</v>
      </c>
      <c r="K9" s="17">
        <f t="shared" ref="K9" si="66">+SUM(K10:K12)</f>
        <v>0</v>
      </c>
      <c r="L9" s="17">
        <f t="shared" ref="L9" si="67">+SUM(L10:L12)</f>
        <v>0</v>
      </c>
      <c r="M9" s="17">
        <f t="shared" ref="M9" si="68">+SUM(M10:M12)</f>
        <v>0</v>
      </c>
      <c r="N9" s="18">
        <f t="shared" ref="N9" si="69">+SUM(N10:N12)</f>
        <v>0</v>
      </c>
      <c r="O9" s="17">
        <f t="shared" ref="O9" si="70">+SUM(O10:O12)</f>
        <v>0</v>
      </c>
      <c r="P9" s="17">
        <f t="shared" ref="P9" si="71">+SUM(P10:P12)</f>
        <v>0</v>
      </c>
      <c r="Q9" s="17">
        <f t="shared" ref="Q9" si="72">+SUM(Q10:Q12)</f>
        <v>0</v>
      </c>
      <c r="R9" s="17">
        <f t="shared" ref="R9" si="73">+SUM(R10:R12)</f>
        <v>0</v>
      </c>
      <c r="S9" s="17">
        <f t="shared" ref="S9" si="74">+SUM(S10:S12)</f>
        <v>0</v>
      </c>
      <c r="T9" s="17">
        <f t="shared" ref="T9" si="75">+SUM(T10:T12)</f>
        <v>0</v>
      </c>
      <c r="U9" s="17">
        <f t="shared" ref="U9" si="76">+SUM(U10:U12)</f>
        <v>0</v>
      </c>
      <c r="V9" s="17">
        <f t="shared" ref="V9" si="77">+SUM(V10:V12)</f>
        <v>0</v>
      </c>
      <c r="W9" s="17">
        <f t="shared" ref="W9" si="78">+SUM(W10:W12)</f>
        <v>0</v>
      </c>
      <c r="X9" s="17">
        <f t="shared" ref="X9" si="79">+SUM(X10:X12)</f>
        <v>0</v>
      </c>
      <c r="Y9" s="17">
        <f t="shared" ref="Y9" si="80">+SUM(Y10:Y12)</f>
        <v>0</v>
      </c>
      <c r="Z9" s="18">
        <f t="shared" ref="Z9" si="81">+SUM(Z10:Z12)</f>
        <v>0</v>
      </c>
      <c r="AA9" s="17">
        <f t="shared" ref="AA9" si="82">+SUM(AA10:AA12)</f>
        <v>0</v>
      </c>
      <c r="AB9" s="17">
        <f t="shared" ref="AB9" si="83">+SUM(AB10:AB12)</f>
        <v>0</v>
      </c>
      <c r="AC9" s="17">
        <f t="shared" ref="AC9" si="84">+SUM(AC10:AC12)</f>
        <v>0</v>
      </c>
      <c r="AD9" s="17">
        <f t="shared" ref="AD9" si="85">+SUM(AD10:AD12)</f>
        <v>0</v>
      </c>
      <c r="AE9" s="17">
        <f t="shared" ref="AE9" si="86">+SUM(AE10:AE12)</f>
        <v>0</v>
      </c>
      <c r="AF9" s="17">
        <f t="shared" ref="AF9" si="87">+SUM(AF10:AF12)</f>
        <v>0</v>
      </c>
      <c r="AG9" s="17">
        <f t="shared" ref="AG9" si="88">+SUM(AG10:AG12)</f>
        <v>0</v>
      </c>
      <c r="AH9" s="17">
        <f t="shared" ref="AH9" si="89">+SUM(AH10:AH12)</f>
        <v>0</v>
      </c>
      <c r="AI9" s="17">
        <f t="shared" ref="AI9" si="90">+SUM(AI10:AI12)</f>
        <v>0</v>
      </c>
      <c r="AJ9" s="17">
        <f t="shared" ref="AJ9" si="91">+SUM(AJ10:AJ12)</f>
        <v>0</v>
      </c>
      <c r="AK9" s="17">
        <f t="shared" ref="AK9" si="92">+SUM(AK10:AK12)</f>
        <v>0</v>
      </c>
      <c r="AL9" s="18">
        <f t="shared" ref="AL9" si="93">+SUM(AL10:AL12)</f>
        <v>0</v>
      </c>
      <c r="AM9" s="17">
        <f t="shared" ref="AM9" si="94">+SUM(AM10:AM12)</f>
        <v>0</v>
      </c>
      <c r="AN9" s="17">
        <f t="shared" ref="AN9" si="95">+SUM(AN10:AN12)</f>
        <v>0</v>
      </c>
      <c r="AO9" s="17">
        <f t="shared" ref="AO9" si="96">+SUM(AO10:AO12)</f>
        <v>0</v>
      </c>
      <c r="AP9" s="17">
        <f t="shared" ref="AP9" si="97">+SUM(AP10:AP12)</f>
        <v>0</v>
      </c>
      <c r="AQ9" s="17">
        <f t="shared" ref="AQ9" si="98">+SUM(AQ10:AQ12)</f>
        <v>0</v>
      </c>
      <c r="AR9" s="17">
        <f t="shared" ref="AR9" si="99">+SUM(AR10:AR12)</f>
        <v>0</v>
      </c>
      <c r="AS9" s="17">
        <f t="shared" ref="AS9" si="100">+SUM(AS10:AS12)</f>
        <v>0</v>
      </c>
      <c r="AT9" s="17">
        <f t="shared" ref="AT9" si="101">+SUM(AT10:AT12)</f>
        <v>0</v>
      </c>
      <c r="AU9" s="17">
        <f t="shared" ref="AU9" si="102">+SUM(AU10:AU12)</f>
        <v>0</v>
      </c>
      <c r="AV9" s="17">
        <f t="shared" ref="AV9" si="103">+SUM(AV10:AV12)</f>
        <v>0</v>
      </c>
      <c r="AW9" s="17">
        <f t="shared" ref="AW9" si="104">+SUM(AW10:AW12)</f>
        <v>0</v>
      </c>
      <c r="AX9" s="18">
        <f t="shared" ref="AX9" si="105">+SUM(AX10:AX12)</f>
        <v>0</v>
      </c>
      <c r="AY9" s="17">
        <f t="shared" ref="AY9" si="106">+SUM(AY10:AY12)</f>
        <v>0</v>
      </c>
      <c r="AZ9" s="17">
        <f t="shared" ref="AZ9" si="107">+SUM(AZ10:AZ12)</f>
        <v>0</v>
      </c>
      <c r="BA9" s="17">
        <f t="shared" ref="BA9" si="108">+SUM(BA10:BA12)</f>
        <v>0</v>
      </c>
      <c r="BB9" s="17">
        <f t="shared" ref="BB9" si="109">+SUM(BB10:BB12)</f>
        <v>0</v>
      </c>
      <c r="BC9" s="17">
        <f t="shared" ref="BC9" si="110">+SUM(BC10:BC12)</f>
        <v>0</v>
      </c>
      <c r="BD9" s="17">
        <f t="shared" ref="BD9" si="111">+SUM(BD10:BD12)</f>
        <v>0</v>
      </c>
      <c r="BE9" s="17">
        <f t="shared" ref="BE9" si="112">+SUM(BE10:BE12)</f>
        <v>0</v>
      </c>
      <c r="BF9" s="17">
        <f t="shared" ref="BF9" si="113">+SUM(BF10:BF12)</f>
        <v>0</v>
      </c>
      <c r="BG9" s="17">
        <f t="shared" ref="BG9" si="114">+SUM(BG10:BG12)</f>
        <v>0</v>
      </c>
      <c r="BH9" s="17">
        <f t="shared" ref="BH9" si="115">+SUM(BH10:BH12)</f>
        <v>0</v>
      </c>
      <c r="BI9" s="17">
        <f t="shared" ref="BI9" si="116">+SUM(BI10:BI12)</f>
        <v>0</v>
      </c>
      <c r="BJ9" s="18">
        <f t="shared" ref="BJ9" si="117">+SUM(BJ10:BJ12)</f>
        <v>0</v>
      </c>
    </row>
    <row r="10" spans="1:62" x14ac:dyDescent="0.35">
      <c r="A10" s="1" t="str">
        <f>$A$8</f>
        <v>Revenue - Plan</v>
      </c>
      <c r="B10" s="1" t="s">
        <v>157</v>
      </c>
      <c r="C10" s="52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4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4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4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4"/>
      <c r="AY10" s="53"/>
      <c r="AZ10" s="53"/>
      <c r="BA10" s="53"/>
      <c r="BB10" s="53"/>
      <c r="BC10" s="53"/>
      <c r="BD10" s="53"/>
      <c r="BE10" s="53"/>
      <c r="BF10" s="53"/>
      <c r="BG10" s="53"/>
      <c r="BH10" s="53"/>
      <c r="BI10" s="53"/>
      <c r="BJ10" s="54"/>
    </row>
    <row r="11" spans="1:62" x14ac:dyDescent="0.35">
      <c r="A11" s="2" t="str">
        <f>$A$8</f>
        <v>Revenue - Plan</v>
      </c>
      <c r="B11" s="2" t="s">
        <v>158</v>
      </c>
      <c r="C11" s="55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7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7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7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7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7"/>
    </row>
    <row r="12" spans="1:62" x14ac:dyDescent="0.35">
      <c r="A12" s="3" t="str">
        <f>$A$8</f>
        <v>Revenue - Plan</v>
      </c>
      <c r="B12" s="3" t="s">
        <v>159</v>
      </c>
      <c r="C12" s="58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60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60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60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60"/>
      <c r="AY12" s="59"/>
      <c r="AZ12" s="59"/>
      <c r="BA12" s="59"/>
      <c r="BB12" s="59"/>
      <c r="BC12" s="59"/>
      <c r="BD12" s="59"/>
      <c r="BE12" s="59"/>
      <c r="BF12" s="59"/>
      <c r="BG12" s="59"/>
      <c r="BH12" s="59"/>
      <c r="BI12" s="59"/>
      <c r="BJ12" s="60"/>
    </row>
    <row r="14" spans="1:62" x14ac:dyDescent="0.35">
      <c r="A14" s="25" t="s">
        <v>83</v>
      </c>
      <c r="B14" s="4" t="s">
        <v>3</v>
      </c>
      <c r="C14" s="19">
        <f>C2</f>
        <v>45352</v>
      </c>
      <c r="D14" s="20">
        <f>EDATE(C14,1)</f>
        <v>45383</v>
      </c>
      <c r="E14" s="20">
        <f>EDATE(D14,1)</f>
        <v>45413</v>
      </c>
      <c r="F14" s="20">
        <f>EDATE(E14,1)</f>
        <v>45444</v>
      </c>
      <c r="G14" s="20">
        <f t="shared" ref="G14" si="118">EDATE(F14,1)</f>
        <v>45474</v>
      </c>
      <c r="H14" s="20">
        <f t="shared" ref="H14" si="119">EDATE(G14,1)</f>
        <v>45505</v>
      </c>
      <c r="I14" s="20">
        <f t="shared" ref="I14" si="120">EDATE(H14,1)</f>
        <v>45536</v>
      </c>
      <c r="J14" s="20">
        <f t="shared" ref="J14" si="121">EDATE(I14,1)</f>
        <v>45566</v>
      </c>
      <c r="K14" s="20">
        <f t="shared" ref="K14" si="122">EDATE(J14,1)</f>
        <v>45597</v>
      </c>
      <c r="L14" s="20">
        <f t="shared" ref="L14" si="123">EDATE(K14,1)</f>
        <v>45627</v>
      </c>
      <c r="M14" s="20">
        <f t="shared" ref="M14" si="124">EDATE(L14,1)</f>
        <v>45658</v>
      </c>
      <c r="N14" s="21">
        <f t="shared" ref="N14" si="125">EDATE(M14,1)</f>
        <v>45689</v>
      </c>
      <c r="O14" s="20">
        <f t="shared" ref="O14" si="126">EDATE(N14,1)</f>
        <v>45717</v>
      </c>
      <c r="P14" s="20">
        <f t="shared" ref="P14" si="127">EDATE(O14,1)</f>
        <v>45748</v>
      </c>
      <c r="Q14" s="20">
        <f t="shared" ref="Q14" si="128">EDATE(P14,1)</f>
        <v>45778</v>
      </c>
      <c r="R14" s="20">
        <f t="shared" ref="R14" si="129">EDATE(Q14,1)</f>
        <v>45809</v>
      </c>
      <c r="S14" s="20">
        <f t="shared" ref="S14" si="130">EDATE(R14,1)</f>
        <v>45839</v>
      </c>
      <c r="T14" s="20">
        <f t="shared" ref="T14" si="131">EDATE(S14,1)</f>
        <v>45870</v>
      </c>
      <c r="U14" s="20">
        <f t="shared" ref="U14" si="132">EDATE(T14,1)</f>
        <v>45901</v>
      </c>
      <c r="V14" s="20">
        <f t="shared" ref="V14" si="133">EDATE(U14,1)</f>
        <v>45931</v>
      </c>
      <c r="W14" s="20">
        <f t="shared" ref="W14" si="134">EDATE(V14,1)</f>
        <v>45962</v>
      </c>
      <c r="X14" s="20">
        <f t="shared" ref="X14" si="135">EDATE(W14,1)</f>
        <v>45992</v>
      </c>
      <c r="Y14" s="20">
        <f t="shared" ref="Y14" si="136">EDATE(X14,1)</f>
        <v>46023</v>
      </c>
      <c r="Z14" s="21">
        <f t="shared" ref="Z14" si="137">EDATE(Y14,1)</f>
        <v>46054</v>
      </c>
      <c r="AA14" s="20">
        <f t="shared" ref="AA14" si="138">EDATE(Z14,1)</f>
        <v>46082</v>
      </c>
      <c r="AB14" s="20">
        <f t="shared" ref="AB14" si="139">EDATE(AA14,1)</f>
        <v>46113</v>
      </c>
      <c r="AC14" s="20">
        <f t="shared" ref="AC14" si="140">EDATE(AB14,1)</f>
        <v>46143</v>
      </c>
      <c r="AD14" s="20">
        <f t="shared" ref="AD14" si="141">EDATE(AC14,1)</f>
        <v>46174</v>
      </c>
      <c r="AE14" s="20">
        <f t="shared" ref="AE14" si="142">EDATE(AD14,1)</f>
        <v>46204</v>
      </c>
      <c r="AF14" s="20">
        <f t="shared" ref="AF14" si="143">EDATE(AE14,1)</f>
        <v>46235</v>
      </c>
      <c r="AG14" s="20">
        <f t="shared" ref="AG14" si="144">EDATE(AF14,1)</f>
        <v>46266</v>
      </c>
      <c r="AH14" s="20">
        <f t="shared" ref="AH14" si="145">EDATE(AG14,1)</f>
        <v>46296</v>
      </c>
      <c r="AI14" s="20">
        <f t="shared" ref="AI14" si="146">EDATE(AH14,1)</f>
        <v>46327</v>
      </c>
      <c r="AJ14" s="20">
        <f t="shared" ref="AJ14" si="147">EDATE(AI14,1)</f>
        <v>46357</v>
      </c>
      <c r="AK14" s="20">
        <f t="shared" ref="AK14" si="148">EDATE(AJ14,1)</f>
        <v>46388</v>
      </c>
      <c r="AL14" s="21">
        <f t="shared" ref="AL14" si="149">EDATE(AK14,1)</f>
        <v>46419</v>
      </c>
      <c r="AM14" s="20">
        <f t="shared" ref="AM14" si="150">EDATE(AL14,1)</f>
        <v>46447</v>
      </c>
      <c r="AN14" s="20">
        <f t="shared" ref="AN14" si="151">EDATE(AM14,1)</f>
        <v>46478</v>
      </c>
      <c r="AO14" s="20">
        <f t="shared" ref="AO14" si="152">EDATE(AN14,1)</f>
        <v>46508</v>
      </c>
      <c r="AP14" s="20">
        <f t="shared" ref="AP14" si="153">EDATE(AO14,1)</f>
        <v>46539</v>
      </c>
      <c r="AQ14" s="20">
        <f t="shared" ref="AQ14" si="154">EDATE(AP14,1)</f>
        <v>46569</v>
      </c>
      <c r="AR14" s="20">
        <f t="shared" ref="AR14" si="155">EDATE(AQ14,1)</f>
        <v>46600</v>
      </c>
      <c r="AS14" s="20">
        <f t="shared" ref="AS14" si="156">EDATE(AR14,1)</f>
        <v>46631</v>
      </c>
      <c r="AT14" s="20">
        <f t="shared" ref="AT14" si="157">EDATE(AS14,1)</f>
        <v>46661</v>
      </c>
      <c r="AU14" s="20">
        <f t="shared" ref="AU14" si="158">EDATE(AT14,1)</f>
        <v>46692</v>
      </c>
      <c r="AV14" s="20">
        <f t="shared" ref="AV14" si="159">EDATE(AU14,1)</f>
        <v>46722</v>
      </c>
      <c r="AW14" s="20">
        <f t="shared" ref="AW14" si="160">EDATE(AV14,1)</f>
        <v>46753</v>
      </c>
      <c r="AX14" s="21">
        <f t="shared" ref="AX14" si="161">EDATE(AW14,1)</f>
        <v>46784</v>
      </c>
      <c r="AY14" s="20">
        <f t="shared" ref="AY14" si="162">EDATE(AX14,1)</f>
        <v>46813</v>
      </c>
      <c r="AZ14" s="20">
        <f t="shared" ref="AZ14" si="163">EDATE(AY14,1)</f>
        <v>46844</v>
      </c>
      <c r="BA14" s="20">
        <f t="shared" ref="BA14" si="164">EDATE(AZ14,1)</f>
        <v>46874</v>
      </c>
      <c r="BB14" s="20">
        <f t="shared" ref="BB14" si="165">EDATE(BA14,1)</f>
        <v>46905</v>
      </c>
      <c r="BC14" s="20">
        <f t="shared" ref="BC14" si="166">EDATE(BB14,1)</f>
        <v>46935</v>
      </c>
      <c r="BD14" s="20">
        <f t="shared" ref="BD14" si="167">EDATE(BC14,1)</f>
        <v>46966</v>
      </c>
      <c r="BE14" s="20">
        <f t="shared" ref="BE14" si="168">EDATE(BD14,1)</f>
        <v>46997</v>
      </c>
      <c r="BF14" s="20">
        <f t="shared" ref="BF14" si="169">EDATE(BE14,1)</f>
        <v>47027</v>
      </c>
      <c r="BG14" s="20">
        <f t="shared" ref="BG14" si="170">EDATE(BF14,1)</f>
        <v>47058</v>
      </c>
      <c r="BH14" s="20">
        <f t="shared" ref="BH14" si="171">EDATE(BG14,1)</f>
        <v>47088</v>
      </c>
      <c r="BI14" s="20">
        <f t="shared" ref="BI14" si="172">EDATE(BH14,1)</f>
        <v>47119</v>
      </c>
      <c r="BJ14" s="21">
        <f t="shared" ref="BJ14" si="173">EDATE(BI14,1)</f>
        <v>47150</v>
      </c>
    </row>
    <row r="15" spans="1:62" x14ac:dyDescent="0.35">
      <c r="A15" s="15" t="str">
        <f>$A$14</f>
        <v>Cost - Stress</v>
      </c>
      <c r="B15" s="15" t="s">
        <v>160</v>
      </c>
      <c r="C15" s="16">
        <f>+SUM(C16:C18)</f>
        <v>0</v>
      </c>
      <c r="D15" s="17">
        <f t="shared" ref="D15" si="174">+SUM(D16:D18)</f>
        <v>0</v>
      </c>
      <c r="E15" s="17">
        <f t="shared" ref="E15" si="175">+SUM(E16:E18)</f>
        <v>0</v>
      </c>
      <c r="F15" s="17">
        <f t="shared" ref="F15" si="176">+SUM(F16:F18)</f>
        <v>0</v>
      </c>
      <c r="G15" s="17">
        <f t="shared" ref="G15" si="177">+SUM(G16:G18)</f>
        <v>0</v>
      </c>
      <c r="H15" s="17">
        <f t="shared" ref="H15" si="178">+SUM(H16:H18)</f>
        <v>0</v>
      </c>
      <c r="I15" s="17">
        <f t="shared" ref="I15" si="179">+SUM(I16:I18)</f>
        <v>0</v>
      </c>
      <c r="J15" s="17">
        <f t="shared" ref="J15" si="180">+SUM(J16:J18)</f>
        <v>0</v>
      </c>
      <c r="K15" s="17">
        <f t="shared" ref="K15" si="181">+SUM(K16:K18)</f>
        <v>0</v>
      </c>
      <c r="L15" s="17">
        <f t="shared" ref="L15" si="182">+SUM(L16:L18)</f>
        <v>0</v>
      </c>
      <c r="M15" s="17">
        <f t="shared" ref="M15" si="183">+SUM(M16:M18)</f>
        <v>0</v>
      </c>
      <c r="N15" s="18">
        <f t="shared" ref="N15" si="184">+SUM(N16:N18)</f>
        <v>0</v>
      </c>
      <c r="O15" s="17">
        <f t="shared" ref="O15" si="185">+SUM(O16:O18)</f>
        <v>0</v>
      </c>
      <c r="P15" s="17">
        <f t="shared" ref="P15" si="186">+SUM(P16:P18)</f>
        <v>0</v>
      </c>
      <c r="Q15" s="17">
        <f t="shared" ref="Q15" si="187">+SUM(Q16:Q18)</f>
        <v>0</v>
      </c>
      <c r="R15" s="17">
        <f t="shared" ref="R15" si="188">+SUM(R16:R18)</f>
        <v>0</v>
      </c>
      <c r="S15" s="17">
        <f t="shared" ref="S15" si="189">+SUM(S16:S18)</f>
        <v>0</v>
      </c>
      <c r="T15" s="17">
        <f t="shared" ref="T15" si="190">+SUM(T16:T18)</f>
        <v>0</v>
      </c>
      <c r="U15" s="17">
        <f t="shared" ref="U15" si="191">+SUM(U16:U18)</f>
        <v>0</v>
      </c>
      <c r="V15" s="17">
        <f t="shared" ref="V15" si="192">+SUM(V16:V18)</f>
        <v>0</v>
      </c>
      <c r="W15" s="17">
        <f t="shared" ref="W15" si="193">+SUM(W16:W18)</f>
        <v>0</v>
      </c>
      <c r="X15" s="17">
        <f t="shared" ref="X15" si="194">+SUM(X16:X18)</f>
        <v>0</v>
      </c>
      <c r="Y15" s="17">
        <f t="shared" ref="Y15" si="195">+SUM(Y16:Y18)</f>
        <v>0</v>
      </c>
      <c r="Z15" s="18">
        <f t="shared" ref="Z15" si="196">+SUM(Z16:Z18)</f>
        <v>0</v>
      </c>
      <c r="AA15" s="17">
        <f t="shared" ref="AA15" si="197">+SUM(AA16:AA18)</f>
        <v>0</v>
      </c>
      <c r="AB15" s="17">
        <f t="shared" ref="AB15" si="198">+SUM(AB16:AB18)</f>
        <v>0</v>
      </c>
      <c r="AC15" s="17">
        <f t="shared" ref="AC15" si="199">+SUM(AC16:AC18)</f>
        <v>0</v>
      </c>
      <c r="AD15" s="17">
        <f t="shared" ref="AD15" si="200">+SUM(AD16:AD18)</f>
        <v>0</v>
      </c>
      <c r="AE15" s="17">
        <f t="shared" ref="AE15" si="201">+SUM(AE16:AE18)</f>
        <v>0</v>
      </c>
      <c r="AF15" s="17">
        <f t="shared" ref="AF15" si="202">+SUM(AF16:AF18)</f>
        <v>0</v>
      </c>
      <c r="AG15" s="17">
        <f t="shared" ref="AG15" si="203">+SUM(AG16:AG18)</f>
        <v>0</v>
      </c>
      <c r="AH15" s="17">
        <f t="shared" ref="AH15" si="204">+SUM(AH16:AH18)</f>
        <v>0</v>
      </c>
      <c r="AI15" s="17">
        <f t="shared" ref="AI15" si="205">+SUM(AI16:AI18)</f>
        <v>0</v>
      </c>
      <c r="AJ15" s="17">
        <f t="shared" ref="AJ15" si="206">+SUM(AJ16:AJ18)</f>
        <v>0</v>
      </c>
      <c r="AK15" s="17">
        <f t="shared" ref="AK15" si="207">+SUM(AK16:AK18)</f>
        <v>0</v>
      </c>
      <c r="AL15" s="18">
        <f t="shared" ref="AL15" si="208">+SUM(AL16:AL18)</f>
        <v>0</v>
      </c>
      <c r="AM15" s="17">
        <f t="shared" ref="AM15" si="209">+SUM(AM16:AM18)</f>
        <v>0</v>
      </c>
      <c r="AN15" s="17">
        <f t="shared" ref="AN15" si="210">+SUM(AN16:AN18)</f>
        <v>0</v>
      </c>
      <c r="AO15" s="17">
        <f t="shared" ref="AO15" si="211">+SUM(AO16:AO18)</f>
        <v>0</v>
      </c>
      <c r="AP15" s="17">
        <f t="shared" ref="AP15" si="212">+SUM(AP16:AP18)</f>
        <v>0</v>
      </c>
      <c r="AQ15" s="17">
        <f t="shared" ref="AQ15" si="213">+SUM(AQ16:AQ18)</f>
        <v>0</v>
      </c>
      <c r="AR15" s="17">
        <f t="shared" ref="AR15" si="214">+SUM(AR16:AR18)</f>
        <v>0</v>
      </c>
      <c r="AS15" s="17">
        <f t="shared" ref="AS15" si="215">+SUM(AS16:AS18)</f>
        <v>0</v>
      </c>
      <c r="AT15" s="17">
        <f t="shared" ref="AT15" si="216">+SUM(AT16:AT18)</f>
        <v>0</v>
      </c>
      <c r="AU15" s="17">
        <f t="shared" ref="AU15" si="217">+SUM(AU16:AU18)</f>
        <v>0</v>
      </c>
      <c r="AV15" s="17">
        <f t="shared" ref="AV15" si="218">+SUM(AV16:AV18)</f>
        <v>0</v>
      </c>
      <c r="AW15" s="17">
        <f t="shared" ref="AW15" si="219">+SUM(AW16:AW18)</f>
        <v>0</v>
      </c>
      <c r="AX15" s="18">
        <f t="shared" ref="AX15" si="220">+SUM(AX16:AX18)</f>
        <v>0</v>
      </c>
      <c r="AY15" s="17">
        <f t="shared" ref="AY15" si="221">+SUM(AY16:AY18)</f>
        <v>0</v>
      </c>
      <c r="AZ15" s="17">
        <f t="shared" ref="AZ15" si="222">+SUM(AZ16:AZ18)</f>
        <v>0</v>
      </c>
      <c r="BA15" s="17">
        <f t="shared" ref="BA15" si="223">+SUM(BA16:BA18)</f>
        <v>0</v>
      </c>
      <c r="BB15" s="17">
        <f t="shared" ref="BB15" si="224">+SUM(BB16:BB18)</f>
        <v>0</v>
      </c>
      <c r="BC15" s="17">
        <f t="shared" ref="BC15" si="225">+SUM(BC16:BC18)</f>
        <v>0</v>
      </c>
      <c r="BD15" s="17">
        <f t="shared" ref="BD15" si="226">+SUM(BD16:BD18)</f>
        <v>0</v>
      </c>
      <c r="BE15" s="17">
        <f t="shared" ref="BE15" si="227">+SUM(BE16:BE18)</f>
        <v>0</v>
      </c>
      <c r="BF15" s="17">
        <f t="shared" ref="BF15" si="228">+SUM(BF16:BF18)</f>
        <v>0</v>
      </c>
      <c r="BG15" s="17">
        <f t="shared" ref="BG15" si="229">+SUM(BG16:BG18)</f>
        <v>0</v>
      </c>
      <c r="BH15" s="17">
        <f t="shared" ref="BH15" si="230">+SUM(BH16:BH18)</f>
        <v>0</v>
      </c>
      <c r="BI15" s="17">
        <f t="shared" ref="BI15" si="231">+SUM(BI16:BI18)</f>
        <v>0</v>
      </c>
      <c r="BJ15" s="18">
        <f t="shared" ref="BJ15" si="232">+SUM(BJ16:BJ18)</f>
        <v>0</v>
      </c>
    </row>
    <row r="16" spans="1:62" x14ac:dyDescent="0.35">
      <c r="A16" s="1" t="str">
        <f>$A$14</f>
        <v>Cost - Stress</v>
      </c>
      <c r="B16" s="1" t="s">
        <v>157</v>
      </c>
      <c r="C16" s="52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4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4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4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4"/>
      <c r="AY16" s="53"/>
      <c r="AZ16" s="53"/>
      <c r="BA16" s="53"/>
      <c r="BB16" s="53"/>
      <c r="BC16" s="53"/>
      <c r="BD16" s="53"/>
      <c r="BE16" s="53"/>
      <c r="BF16" s="53"/>
      <c r="BG16" s="53"/>
      <c r="BH16" s="53"/>
      <c r="BI16" s="53"/>
      <c r="BJ16" s="54"/>
    </row>
    <row r="17" spans="1:62" x14ac:dyDescent="0.35">
      <c r="A17" s="2" t="str">
        <f>$A$14</f>
        <v>Cost - Stress</v>
      </c>
      <c r="B17" s="2" t="s">
        <v>158</v>
      </c>
      <c r="C17" s="55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7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7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7"/>
      <c r="AM17" s="56"/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AX17" s="57"/>
      <c r="AY17" s="56"/>
      <c r="AZ17" s="56"/>
      <c r="BA17" s="56"/>
      <c r="BB17" s="56"/>
      <c r="BC17" s="56"/>
      <c r="BD17" s="56"/>
      <c r="BE17" s="56"/>
      <c r="BF17" s="56"/>
      <c r="BG17" s="56"/>
      <c r="BH17" s="56"/>
      <c r="BI17" s="56"/>
      <c r="BJ17" s="57"/>
    </row>
    <row r="18" spans="1:62" x14ac:dyDescent="0.35">
      <c r="A18" s="3" t="str">
        <f>$A$14</f>
        <v>Cost - Stress</v>
      </c>
      <c r="B18" s="3" t="s">
        <v>159</v>
      </c>
      <c r="C18" s="58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60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60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60"/>
      <c r="AM18" s="59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60"/>
      <c r="AY18" s="59"/>
      <c r="AZ18" s="59"/>
      <c r="BA18" s="59"/>
      <c r="BB18" s="59"/>
      <c r="BC18" s="59"/>
      <c r="BD18" s="59"/>
      <c r="BE18" s="59"/>
      <c r="BF18" s="59"/>
      <c r="BG18" s="59"/>
      <c r="BH18" s="59"/>
      <c r="BI18" s="59"/>
      <c r="BJ18" s="60"/>
    </row>
    <row r="20" spans="1:62" x14ac:dyDescent="0.35">
      <c r="A20" s="25" t="s">
        <v>82</v>
      </c>
      <c r="B20" s="4" t="s">
        <v>3</v>
      </c>
      <c r="C20" s="19">
        <f>C2</f>
        <v>45352</v>
      </c>
      <c r="D20" s="20">
        <f>EDATE(C20,1)</f>
        <v>45383</v>
      </c>
      <c r="E20" s="20">
        <f>EDATE(D20,1)</f>
        <v>45413</v>
      </c>
      <c r="F20" s="20">
        <f>EDATE(E20,1)</f>
        <v>45444</v>
      </c>
      <c r="G20" s="20">
        <f t="shared" ref="G20" si="233">EDATE(F20,1)</f>
        <v>45474</v>
      </c>
      <c r="H20" s="20">
        <f t="shared" ref="H20" si="234">EDATE(G20,1)</f>
        <v>45505</v>
      </c>
      <c r="I20" s="20">
        <f t="shared" ref="I20" si="235">EDATE(H20,1)</f>
        <v>45536</v>
      </c>
      <c r="J20" s="20">
        <f t="shared" ref="J20" si="236">EDATE(I20,1)</f>
        <v>45566</v>
      </c>
      <c r="K20" s="20">
        <f t="shared" ref="K20" si="237">EDATE(J20,1)</f>
        <v>45597</v>
      </c>
      <c r="L20" s="20">
        <f t="shared" ref="L20" si="238">EDATE(K20,1)</f>
        <v>45627</v>
      </c>
      <c r="M20" s="20">
        <f t="shared" ref="M20" si="239">EDATE(L20,1)</f>
        <v>45658</v>
      </c>
      <c r="N20" s="21">
        <f t="shared" ref="N20" si="240">EDATE(M20,1)</f>
        <v>45689</v>
      </c>
      <c r="O20" s="20">
        <f t="shared" ref="O20" si="241">EDATE(N20,1)</f>
        <v>45717</v>
      </c>
      <c r="P20" s="20">
        <f t="shared" ref="P20" si="242">EDATE(O20,1)</f>
        <v>45748</v>
      </c>
      <c r="Q20" s="20">
        <f t="shared" ref="Q20" si="243">EDATE(P20,1)</f>
        <v>45778</v>
      </c>
      <c r="R20" s="20">
        <f t="shared" ref="R20" si="244">EDATE(Q20,1)</f>
        <v>45809</v>
      </c>
      <c r="S20" s="20">
        <f t="shared" ref="S20" si="245">EDATE(R20,1)</f>
        <v>45839</v>
      </c>
      <c r="T20" s="20">
        <f t="shared" ref="T20" si="246">EDATE(S20,1)</f>
        <v>45870</v>
      </c>
      <c r="U20" s="20">
        <f t="shared" ref="U20" si="247">EDATE(T20,1)</f>
        <v>45901</v>
      </c>
      <c r="V20" s="20">
        <f t="shared" ref="V20" si="248">EDATE(U20,1)</f>
        <v>45931</v>
      </c>
      <c r="W20" s="20">
        <f t="shared" ref="W20" si="249">EDATE(V20,1)</f>
        <v>45962</v>
      </c>
      <c r="X20" s="20">
        <f t="shared" ref="X20" si="250">EDATE(W20,1)</f>
        <v>45992</v>
      </c>
      <c r="Y20" s="20">
        <f t="shared" ref="Y20" si="251">EDATE(X20,1)</f>
        <v>46023</v>
      </c>
      <c r="Z20" s="21">
        <f t="shared" ref="Z20" si="252">EDATE(Y20,1)</f>
        <v>46054</v>
      </c>
      <c r="AA20" s="20">
        <f t="shared" ref="AA20" si="253">EDATE(Z20,1)</f>
        <v>46082</v>
      </c>
      <c r="AB20" s="20">
        <f t="shared" ref="AB20" si="254">EDATE(AA20,1)</f>
        <v>46113</v>
      </c>
      <c r="AC20" s="20">
        <f t="shared" ref="AC20" si="255">EDATE(AB20,1)</f>
        <v>46143</v>
      </c>
      <c r="AD20" s="20">
        <f t="shared" ref="AD20" si="256">EDATE(AC20,1)</f>
        <v>46174</v>
      </c>
      <c r="AE20" s="20">
        <f t="shared" ref="AE20" si="257">EDATE(AD20,1)</f>
        <v>46204</v>
      </c>
      <c r="AF20" s="20">
        <f t="shared" ref="AF20" si="258">EDATE(AE20,1)</f>
        <v>46235</v>
      </c>
      <c r="AG20" s="20">
        <f t="shared" ref="AG20" si="259">EDATE(AF20,1)</f>
        <v>46266</v>
      </c>
      <c r="AH20" s="20">
        <f t="shared" ref="AH20" si="260">EDATE(AG20,1)</f>
        <v>46296</v>
      </c>
      <c r="AI20" s="20">
        <f t="shared" ref="AI20" si="261">EDATE(AH20,1)</f>
        <v>46327</v>
      </c>
      <c r="AJ20" s="20">
        <f t="shared" ref="AJ20" si="262">EDATE(AI20,1)</f>
        <v>46357</v>
      </c>
      <c r="AK20" s="20">
        <f t="shared" ref="AK20" si="263">EDATE(AJ20,1)</f>
        <v>46388</v>
      </c>
      <c r="AL20" s="21">
        <f t="shared" ref="AL20" si="264">EDATE(AK20,1)</f>
        <v>46419</v>
      </c>
      <c r="AM20" s="20">
        <f t="shared" ref="AM20" si="265">EDATE(AL20,1)</f>
        <v>46447</v>
      </c>
      <c r="AN20" s="20">
        <f t="shared" ref="AN20" si="266">EDATE(AM20,1)</f>
        <v>46478</v>
      </c>
      <c r="AO20" s="20">
        <f t="shared" ref="AO20" si="267">EDATE(AN20,1)</f>
        <v>46508</v>
      </c>
      <c r="AP20" s="20">
        <f t="shared" ref="AP20" si="268">EDATE(AO20,1)</f>
        <v>46539</v>
      </c>
      <c r="AQ20" s="20">
        <f t="shared" ref="AQ20" si="269">EDATE(AP20,1)</f>
        <v>46569</v>
      </c>
      <c r="AR20" s="20">
        <f t="shared" ref="AR20" si="270">EDATE(AQ20,1)</f>
        <v>46600</v>
      </c>
      <c r="AS20" s="20">
        <f t="shared" ref="AS20" si="271">EDATE(AR20,1)</f>
        <v>46631</v>
      </c>
      <c r="AT20" s="20">
        <f t="shared" ref="AT20" si="272">EDATE(AS20,1)</f>
        <v>46661</v>
      </c>
      <c r="AU20" s="20">
        <f t="shared" ref="AU20" si="273">EDATE(AT20,1)</f>
        <v>46692</v>
      </c>
      <c r="AV20" s="20">
        <f t="shared" ref="AV20" si="274">EDATE(AU20,1)</f>
        <v>46722</v>
      </c>
      <c r="AW20" s="20">
        <f t="shared" ref="AW20" si="275">EDATE(AV20,1)</f>
        <v>46753</v>
      </c>
      <c r="AX20" s="21">
        <f t="shared" ref="AX20" si="276">EDATE(AW20,1)</f>
        <v>46784</v>
      </c>
      <c r="AY20" s="20">
        <f t="shared" ref="AY20" si="277">EDATE(AX20,1)</f>
        <v>46813</v>
      </c>
      <c r="AZ20" s="20">
        <f t="shared" ref="AZ20" si="278">EDATE(AY20,1)</f>
        <v>46844</v>
      </c>
      <c r="BA20" s="20">
        <f t="shared" ref="BA20" si="279">EDATE(AZ20,1)</f>
        <v>46874</v>
      </c>
      <c r="BB20" s="20">
        <f t="shared" ref="BB20" si="280">EDATE(BA20,1)</f>
        <v>46905</v>
      </c>
      <c r="BC20" s="20">
        <f t="shared" ref="BC20" si="281">EDATE(BB20,1)</f>
        <v>46935</v>
      </c>
      <c r="BD20" s="20">
        <f t="shared" ref="BD20" si="282">EDATE(BC20,1)</f>
        <v>46966</v>
      </c>
      <c r="BE20" s="20">
        <f t="shared" ref="BE20" si="283">EDATE(BD20,1)</f>
        <v>46997</v>
      </c>
      <c r="BF20" s="20">
        <f t="shared" ref="BF20" si="284">EDATE(BE20,1)</f>
        <v>47027</v>
      </c>
      <c r="BG20" s="20">
        <f t="shared" ref="BG20" si="285">EDATE(BF20,1)</f>
        <v>47058</v>
      </c>
      <c r="BH20" s="20">
        <f t="shared" ref="BH20" si="286">EDATE(BG20,1)</f>
        <v>47088</v>
      </c>
      <c r="BI20" s="20">
        <f t="shared" ref="BI20" si="287">EDATE(BH20,1)</f>
        <v>47119</v>
      </c>
      <c r="BJ20" s="21">
        <f t="shared" ref="BJ20" si="288">EDATE(BI20,1)</f>
        <v>47150</v>
      </c>
    </row>
    <row r="21" spans="1:62" x14ac:dyDescent="0.35">
      <c r="A21" s="15" t="str">
        <f>$A$20</f>
        <v>Cost - Plan</v>
      </c>
      <c r="B21" s="15" t="s">
        <v>160</v>
      </c>
      <c r="C21" s="16">
        <f>+SUM(C22:C24)</f>
        <v>0</v>
      </c>
      <c r="D21" s="17">
        <f t="shared" ref="D21" si="289">+SUM(D22:D24)</f>
        <v>0</v>
      </c>
      <c r="E21" s="17">
        <f t="shared" ref="E21" si="290">+SUM(E22:E24)</f>
        <v>0</v>
      </c>
      <c r="F21" s="17">
        <f t="shared" ref="F21" si="291">+SUM(F22:F24)</f>
        <v>0</v>
      </c>
      <c r="G21" s="17">
        <f t="shared" ref="G21" si="292">+SUM(G22:G24)</f>
        <v>0</v>
      </c>
      <c r="H21" s="17">
        <f t="shared" ref="H21" si="293">+SUM(H22:H24)</f>
        <v>0</v>
      </c>
      <c r="I21" s="17">
        <f t="shared" ref="I21" si="294">+SUM(I22:I24)</f>
        <v>0</v>
      </c>
      <c r="J21" s="17">
        <f t="shared" ref="J21" si="295">+SUM(J22:J24)</f>
        <v>0</v>
      </c>
      <c r="K21" s="17">
        <f t="shared" ref="K21" si="296">+SUM(K22:K24)</f>
        <v>0</v>
      </c>
      <c r="L21" s="17">
        <f t="shared" ref="L21" si="297">+SUM(L22:L24)</f>
        <v>0</v>
      </c>
      <c r="M21" s="17">
        <f t="shared" ref="M21" si="298">+SUM(M22:M24)</f>
        <v>0</v>
      </c>
      <c r="N21" s="18">
        <f t="shared" ref="N21" si="299">+SUM(N22:N24)</f>
        <v>0</v>
      </c>
      <c r="O21" s="17">
        <f t="shared" ref="O21" si="300">+SUM(O22:O24)</f>
        <v>0</v>
      </c>
      <c r="P21" s="17">
        <f t="shared" ref="P21" si="301">+SUM(P22:P24)</f>
        <v>0</v>
      </c>
      <c r="Q21" s="17">
        <f t="shared" ref="Q21" si="302">+SUM(Q22:Q24)</f>
        <v>0</v>
      </c>
      <c r="R21" s="17">
        <f t="shared" ref="R21" si="303">+SUM(R22:R24)</f>
        <v>0</v>
      </c>
      <c r="S21" s="17">
        <f t="shared" ref="S21" si="304">+SUM(S22:S24)</f>
        <v>0</v>
      </c>
      <c r="T21" s="17">
        <f t="shared" ref="T21" si="305">+SUM(T22:T24)</f>
        <v>0</v>
      </c>
      <c r="U21" s="17">
        <f t="shared" ref="U21" si="306">+SUM(U22:U24)</f>
        <v>0</v>
      </c>
      <c r="V21" s="17">
        <f t="shared" ref="V21" si="307">+SUM(V22:V24)</f>
        <v>0</v>
      </c>
      <c r="W21" s="17">
        <f t="shared" ref="W21" si="308">+SUM(W22:W24)</f>
        <v>0</v>
      </c>
      <c r="X21" s="17">
        <f t="shared" ref="X21" si="309">+SUM(X22:X24)</f>
        <v>0</v>
      </c>
      <c r="Y21" s="17">
        <f t="shared" ref="Y21" si="310">+SUM(Y22:Y24)</f>
        <v>0</v>
      </c>
      <c r="Z21" s="18">
        <f t="shared" ref="Z21" si="311">+SUM(Z22:Z24)</f>
        <v>0</v>
      </c>
      <c r="AA21" s="17">
        <f t="shared" ref="AA21" si="312">+SUM(AA22:AA24)</f>
        <v>0</v>
      </c>
      <c r="AB21" s="17">
        <f t="shared" ref="AB21" si="313">+SUM(AB22:AB24)</f>
        <v>0</v>
      </c>
      <c r="AC21" s="17">
        <f t="shared" ref="AC21" si="314">+SUM(AC22:AC24)</f>
        <v>0</v>
      </c>
      <c r="AD21" s="17">
        <f t="shared" ref="AD21" si="315">+SUM(AD22:AD24)</f>
        <v>0</v>
      </c>
      <c r="AE21" s="17">
        <f t="shared" ref="AE21" si="316">+SUM(AE22:AE24)</f>
        <v>0</v>
      </c>
      <c r="AF21" s="17">
        <f t="shared" ref="AF21" si="317">+SUM(AF22:AF24)</f>
        <v>0</v>
      </c>
      <c r="AG21" s="17">
        <f t="shared" ref="AG21" si="318">+SUM(AG22:AG24)</f>
        <v>0</v>
      </c>
      <c r="AH21" s="17">
        <f t="shared" ref="AH21" si="319">+SUM(AH22:AH24)</f>
        <v>0</v>
      </c>
      <c r="AI21" s="17">
        <f t="shared" ref="AI21" si="320">+SUM(AI22:AI24)</f>
        <v>0</v>
      </c>
      <c r="AJ21" s="17">
        <f t="shared" ref="AJ21" si="321">+SUM(AJ22:AJ24)</f>
        <v>0</v>
      </c>
      <c r="AK21" s="17">
        <f t="shared" ref="AK21" si="322">+SUM(AK22:AK24)</f>
        <v>0</v>
      </c>
      <c r="AL21" s="18">
        <f t="shared" ref="AL21" si="323">+SUM(AL22:AL24)</f>
        <v>0</v>
      </c>
      <c r="AM21" s="17">
        <f t="shared" ref="AM21" si="324">+SUM(AM22:AM24)</f>
        <v>0</v>
      </c>
      <c r="AN21" s="17">
        <f t="shared" ref="AN21" si="325">+SUM(AN22:AN24)</f>
        <v>0</v>
      </c>
      <c r="AO21" s="17">
        <f t="shared" ref="AO21" si="326">+SUM(AO22:AO24)</f>
        <v>0</v>
      </c>
      <c r="AP21" s="17">
        <f t="shared" ref="AP21" si="327">+SUM(AP22:AP24)</f>
        <v>0</v>
      </c>
      <c r="AQ21" s="17">
        <f t="shared" ref="AQ21" si="328">+SUM(AQ22:AQ24)</f>
        <v>0</v>
      </c>
      <c r="AR21" s="17">
        <f t="shared" ref="AR21" si="329">+SUM(AR22:AR24)</f>
        <v>0</v>
      </c>
      <c r="AS21" s="17">
        <f t="shared" ref="AS21" si="330">+SUM(AS22:AS24)</f>
        <v>0</v>
      </c>
      <c r="AT21" s="17">
        <f t="shared" ref="AT21" si="331">+SUM(AT22:AT24)</f>
        <v>0</v>
      </c>
      <c r="AU21" s="17">
        <f t="shared" ref="AU21" si="332">+SUM(AU22:AU24)</f>
        <v>0</v>
      </c>
      <c r="AV21" s="17">
        <f t="shared" ref="AV21" si="333">+SUM(AV22:AV24)</f>
        <v>0</v>
      </c>
      <c r="AW21" s="17">
        <f t="shared" ref="AW21" si="334">+SUM(AW22:AW24)</f>
        <v>0</v>
      </c>
      <c r="AX21" s="18">
        <f t="shared" ref="AX21" si="335">+SUM(AX22:AX24)</f>
        <v>0</v>
      </c>
      <c r="AY21" s="17">
        <f t="shared" ref="AY21" si="336">+SUM(AY22:AY24)</f>
        <v>0</v>
      </c>
      <c r="AZ21" s="17">
        <f t="shared" ref="AZ21" si="337">+SUM(AZ22:AZ24)</f>
        <v>0</v>
      </c>
      <c r="BA21" s="17">
        <f t="shared" ref="BA21" si="338">+SUM(BA22:BA24)</f>
        <v>0</v>
      </c>
      <c r="BB21" s="17">
        <f t="shared" ref="BB21" si="339">+SUM(BB22:BB24)</f>
        <v>0</v>
      </c>
      <c r="BC21" s="17">
        <f t="shared" ref="BC21" si="340">+SUM(BC22:BC24)</f>
        <v>0</v>
      </c>
      <c r="BD21" s="17">
        <f t="shared" ref="BD21" si="341">+SUM(BD22:BD24)</f>
        <v>0</v>
      </c>
      <c r="BE21" s="17">
        <f t="shared" ref="BE21" si="342">+SUM(BE22:BE24)</f>
        <v>0</v>
      </c>
      <c r="BF21" s="17">
        <f t="shared" ref="BF21" si="343">+SUM(BF22:BF24)</f>
        <v>0</v>
      </c>
      <c r="BG21" s="17">
        <f t="shared" ref="BG21" si="344">+SUM(BG22:BG24)</f>
        <v>0</v>
      </c>
      <c r="BH21" s="17">
        <f t="shared" ref="BH21" si="345">+SUM(BH22:BH24)</f>
        <v>0</v>
      </c>
      <c r="BI21" s="17">
        <f t="shared" ref="BI21" si="346">+SUM(BI22:BI24)</f>
        <v>0</v>
      </c>
      <c r="BJ21" s="18">
        <f t="shared" ref="BJ21" si="347">+SUM(BJ22:BJ24)</f>
        <v>0</v>
      </c>
    </row>
    <row r="22" spans="1:62" x14ac:dyDescent="0.35">
      <c r="A22" s="1" t="str">
        <f>$A$20</f>
        <v>Cost - Plan</v>
      </c>
      <c r="B22" s="1" t="s">
        <v>157</v>
      </c>
      <c r="C22" s="52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4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4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4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4"/>
      <c r="AY22" s="53"/>
      <c r="AZ22" s="53"/>
      <c r="BA22" s="53"/>
      <c r="BB22" s="53"/>
      <c r="BC22" s="53"/>
      <c r="BD22" s="53"/>
      <c r="BE22" s="53"/>
      <c r="BF22" s="53"/>
      <c r="BG22" s="53"/>
      <c r="BH22" s="53"/>
      <c r="BI22" s="53"/>
      <c r="BJ22" s="54"/>
    </row>
    <row r="23" spans="1:62" x14ac:dyDescent="0.35">
      <c r="A23" s="2" t="str">
        <f>$A$20</f>
        <v>Cost - Plan</v>
      </c>
      <c r="B23" s="2" t="s">
        <v>158</v>
      </c>
      <c r="C23" s="55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7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7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7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7"/>
      <c r="AY23" s="56"/>
      <c r="AZ23" s="56"/>
      <c r="BA23" s="56"/>
      <c r="BB23" s="56"/>
      <c r="BC23" s="56"/>
      <c r="BD23" s="56"/>
      <c r="BE23" s="56"/>
      <c r="BF23" s="56"/>
      <c r="BG23" s="56"/>
      <c r="BH23" s="56"/>
      <c r="BI23" s="56"/>
      <c r="BJ23" s="57"/>
    </row>
    <row r="24" spans="1:62" x14ac:dyDescent="0.35">
      <c r="A24" s="3" t="str">
        <f>$A$20</f>
        <v>Cost - Plan</v>
      </c>
      <c r="B24" s="3" t="s">
        <v>159</v>
      </c>
      <c r="C24" s="58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60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60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60"/>
      <c r="AM24" s="59"/>
      <c r="AN24" s="59"/>
      <c r="AO24" s="59"/>
      <c r="AP24" s="59"/>
      <c r="AQ24" s="59"/>
      <c r="AR24" s="59"/>
      <c r="AS24" s="59"/>
      <c r="AT24" s="59"/>
      <c r="AU24" s="59"/>
      <c r="AV24" s="59"/>
      <c r="AW24" s="59"/>
      <c r="AX24" s="60"/>
      <c r="AY24" s="59"/>
      <c r="AZ24" s="59"/>
      <c r="BA24" s="59"/>
      <c r="BB24" s="59"/>
      <c r="BC24" s="59"/>
      <c r="BD24" s="59"/>
      <c r="BE24" s="59"/>
      <c r="BF24" s="59"/>
      <c r="BG24" s="59"/>
      <c r="BH24" s="59"/>
      <c r="BI24" s="59"/>
      <c r="BJ24" s="60"/>
    </row>
    <row r="26" spans="1:62" x14ac:dyDescent="0.35">
      <c r="A26" s="25" t="s">
        <v>84</v>
      </c>
      <c r="B26" s="4" t="s">
        <v>3</v>
      </c>
      <c r="C26" s="19">
        <f>C2</f>
        <v>45352</v>
      </c>
      <c r="D26" s="20">
        <f>EDATE(C26,1)</f>
        <v>45383</v>
      </c>
      <c r="E26" s="20">
        <f>EDATE(D26,1)</f>
        <v>45413</v>
      </c>
      <c r="F26" s="20">
        <f>EDATE(E26,1)</f>
        <v>45444</v>
      </c>
      <c r="G26" s="20">
        <f t="shared" ref="G26" si="348">EDATE(F26,1)</f>
        <v>45474</v>
      </c>
      <c r="H26" s="20">
        <f t="shared" ref="H26" si="349">EDATE(G26,1)</f>
        <v>45505</v>
      </c>
      <c r="I26" s="20">
        <f t="shared" ref="I26" si="350">EDATE(H26,1)</f>
        <v>45536</v>
      </c>
      <c r="J26" s="20">
        <f t="shared" ref="J26" si="351">EDATE(I26,1)</f>
        <v>45566</v>
      </c>
      <c r="K26" s="20">
        <f t="shared" ref="K26" si="352">EDATE(J26,1)</f>
        <v>45597</v>
      </c>
      <c r="L26" s="20">
        <f t="shared" ref="L26" si="353">EDATE(K26,1)</f>
        <v>45627</v>
      </c>
      <c r="M26" s="20">
        <f t="shared" ref="M26" si="354">EDATE(L26,1)</f>
        <v>45658</v>
      </c>
      <c r="N26" s="21">
        <f t="shared" ref="N26" si="355">EDATE(M26,1)</f>
        <v>45689</v>
      </c>
      <c r="O26" s="20">
        <f t="shared" ref="O26" si="356">EDATE(N26,1)</f>
        <v>45717</v>
      </c>
      <c r="P26" s="20">
        <f t="shared" ref="P26" si="357">EDATE(O26,1)</f>
        <v>45748</v>
      </c>
      <c r="Q26" s="20">
        <f t="shared" ref="Q26" si="358">EDATE(P26,1)</f>
        <v>45778</v>
      </c>
      <c r="R26" s="20">
        <f t="shared" ref="R26" si="359">EDATE(Q26,1)</f>
        <v>45809</v>
      </c>
      <c r="S26" s="20">
        <f t="shared" ref="S26" si="360">EDATE(R26,1)</f>
        <v>45839</v>
      </c>
      <c r="T26" s="20">
        <f t="shared" ref="T26" si="361">EDATE(S26,1)</f>
        <v>45870</v>
      </c>
      <c r="U26" s="20">
        <f t="shared" ref="U26" si="362">EDATE(T26,1)</f>
        <v>45901</v>
      </c>
      <c r="V26" s="20">
        <f t="shared" ref="V26" si="363">EDATE(U26,1)</f>
        <v>45931</v>
      </c>
      <c r="W26" s="20">
        <f t="shared" ref="W26" si="364">EDATE(V26,1)</f>
        <v>45962</v>
      </c>
      <c r="X26" s="20">
        <f t="shared" ref="X26" si="365">EDATE(W26,1)</f>
        <v>45992</v>
      </c>
      <c r="Y26" s="20">
        <f t="shared" ref="Y26" si="366">EDATE(X26,1)</f>
        <v>46023</v>
      </c>
      <c r="Z26" s="21">
        <f t="shared" ref="Z26" si="367">EDATE(Y26,1)</f>
        <v>46054</v>
      </c>
      <c r="AA26" s="20">
        <f t="shared" ref="AA26" si="368">EDATE(Z26,1)</f>
        <v>46082</v>
      </c>
      <c r="AB26" s="20">
        <f t="shared" ref="AB26" si="369">EDATE(AA26,1)</f>
        <v>46113</v>
      </c>
      <c r="AC26" s="20">
        <f t="shared" ref="AC26" si="370">EDATE(AB26,1)</f>
        <v>46143</v>
      </c>
      <c r="AD26" s="20">
        <f t="shared" ref="AD26" si="371">EDATE(AC26,1)</f>
        <v>46174</v>
      </c>
      <c r="AE26" s="20">
        <f t="shared" ref="AE26" si="372">EDATE(AD26,1)</f>
        <v>46204</v>
      </c>
      <c r="AF26" s="20">
        <f t="shared" ref="AF26" si="373">EDATE(AE26,1)</f>
        <v>46235</v>
      </c>
      <c r="AG26" s="20">
        <f t="shared" ref="AG26" si="374">EDATE(AF26,1)</f>
        <v>46266</v>
      </c>
      <c r="AH26" s="20">
        <f t="shared" ref="AH26" si="375">EDATE(AG26,1)</f>
        <v>46296</v>
      </c>
      <c r="AI26" s="20">
        <f t="shared" ref="AI26" si="376">EDATE(AH26,1)</f>
        <v>46327</v>
      </c>
      <c r="AJ26" s="20">
        <f t="shared" ref="AJ26" si="377">EDATE(AI26,1)</f>
        <v>46357</v>
      </c>
      <c r="AK26" s="20">
        <f t="shared" ref="AK26" si="378">EDATE(AJ26,1)</f>
        <v>46388</v>
      </c>
      <c r="AL26" s="21">
        <f t="shared" ref="AL26" si="379">EDATE(AK26,1)</f>
        <v>46419</v>
      </c>
      <c r="AM26" s="20">
        <f t="shared" ref="AM26" si="380">EDATE(AL26,1)</f>
        <v>46447</v>
      </c>
      <c r="AN26" s="20">
        <f t="shared" ref="AN26" si="381">EDATE(AM26,1)</f>
        <v>46478</v>
      </c>
      <c r="AO26" s="20">
        <f t="shared" ref="AO26" si="382">EDATE(AN26,1)</f>
        <v>46508</v>
      </c>
      <c r="AP26" s="20">
        <f t="shared" ref="AP26" si="383">EDATE(AO26,1)</f>
        <v>46539</v>
      </c>
      <c r="AQ26" s="20">
        <f t="shared" ref="AQ26" si="384">EDATE(AP26,1)</f>
        <v>46569</v>
      </c>
      <c r="AR26" s="20">
        <f t="shared" ref="AR26" si="385">EDATE(AQ26,1)</f>
        <v>46600</v>
      </c>
      <c r="AS26" s="20">
        <f t="shared" ref="AS26" si="386">EDATE(AR26,1)</f>
        <v>46631</v>
      </c>
      <c r="AT26" s="20">
        <f t="shared" ref="AT26" si="387">EDATE(AS26,1)</f>
        <v>46661</v>
      </c>
      <c r="AU26" s="20">
        <f t="shared" ref="AU26" si="388">EDATE(AT26,1)</f>
        <v>46692</v>
      </c>
      <c r="AV26" s="20">
        <f t="shared" ref="AV26" si="389">EDATE(AU26,1)</f>
        <v>46722</v>
      </c>
      <c r="AW26" s="20">
        <f t="shared" ref="AW26" si="390">EDATE(AV26,1)</f>
        <v>46753</v>
      </c>
      <c r="AX26" s="21">
        <f t="shared" ref="AX26" si="391">EDATE(AW26,1)</f>
        <v>46784</v>
      </c>
      <c r="AY26" s="20">
        <f t="shared" ref="AY26" si="392">EDATE(AX26,1)</f>
        <v>46813</v>
      </c>
      <c r="AZ26" s="20">
        <f t="shared" ref="AZ26" si="393">EDATE(AY26,1)</f>
        <v>46844</v>
      </c>
      <c r="BA26" s="20">
        <f t="shared" ref="BA26" si="394">EDATE(AZ26,1)</f>
        <v>46874</v>
      </c>
      <c r="BB26" s="20">
        <f t="shared" ref="BB26" si="395">EDATE(BA26,1)</f>
        <v>46905</v>
      </c>
      <c r="BC26" s="20">
        <f t="shared" ref="BC26" si="396">EDATE(BB26,1)</f>
        <v>46935</v>
      </c>
      <c r="BD26" s="20">
        <f t="shared" ref="BD26" si="397">EDATE(BC26,1)</f>
        <v>46966</v>
      </c>
      <c r="BE26" s="20">
        <f t="shared" ref="BE26" si="398">EDATE(BD26,1)</f>
        <v>46997</v>
      </c>
      <c r="BF26" s="20">
        <f t="shared" ref="BF26" si="399">EDATE(BE26,1)</f>
        <v>47027</v>
      </c>
      <c r="BG26" s="20">
        <f t="shared" ref="BG26" si="400">EDATE(BF26,1)</f>
        <v>47058</v>
      </c>
      <c r="BH26" s="20">
        <f t="shared" ref="BH26" si="401">EDATE(BG26,1)</f>
        <v>47088</v>
      </c>
      <c r="BI26" s="20">
        <f t="shared" ref="BI26" si="402">EDATE(BH26,1)</f>
        <v>47119</v>
      </c>
      <c r="BJ26" s="21">
        <f t="shared" ref="BJ26" si="403">EDATE(BI26,1)</f>
        <v>47150</v>
      </c>
    </row>
    <row r="27" spans="1:62" x14ac:dyDescent="0.35">
      <c r="A27" s="15" t="str">
        <f>$A$26</f>
        <v>Treasury benefit - Stress</v>
      </c>
      <c r="B27" s="15" t="s">
        <v>160</v>
      </c>
      <c r="C27" s="16">
        <f>+SUM(C28:C30)</f>
        <v>0</v>
      </c>
      <c r="D27" s="17">
        <f t="shared" ref="D27" si="404">+SUM(D28:D30)</f>
        <v>0</v>
      </c>
      <c r="E27" s="17">
        <f t="shared" ref="E27" si="405">+SUM(E28:E30)</f>
        <v>0</v>
      </c>
      <c r="F27" s="17">
        <f t="shared" ref="F27" si="406">+SUM(F28:F30)</f>
        <v>0</v>
      </c>
      <c r="G27" s="17">
        <f t="shared" ref="G27" si="407">+SUM(G28:G30)</f>
        <v>0</v>
      </c>
      <c r="H27" s="17">
        <f t="shared" ref="H27" si="408">+SUM(H28:H30)</f>
        <v>0</v>
      </c>
      <c r="I27" s="17">
        <f t="shared" ref="I27" si="409">+SUM(I28:I30)</f>
        <v>0</v>
      </c>
      <c r="J27" s="17">
        <f t="shared" ref="J27" si="410">+SUM(J28:J30)</f>
        <v>0</v>
      </c>
      <c r="K27" s="17">
        <f t="shared" ref="K27" si="411">+SUM(K28:K30)</f>
        <v>0</v>
      </c>
      <c r="L27" s="17">
        <f t="shared" ref="L27" si="412">+SUM(L28:L30)</f>
        <v>0</v>
      </c>
      <c r="M27" s="17">
        <f t="shared" ref="M27" si="413">+SUM(M28:M30)</f>
        <v>0</v>
      </c>
      <c r="N27" s="18">
        <f t="shared" ref="N27" si="414">+SUM(N28:N30)</f>
        <v>0</v>
      </c>
      <c r="O27" s="17">
        <f t="shared" ref="O27" si="415">+SUM(O28:O30)</f>
        <v>0</v>
      </c>
      <c r="P27" s="17">
        <f t="shared" ref="P27" si="416">+SUM(P28:P30)</f>
        <v>0</v>
      </c>
      <c r="Q27" s="17">
        <f t="shared" ref="Q27" si="417">+SUM(Q28:Q30)</f>
        <v>0</v>
      </c>
      <c r="R27" s="17">
        <f t="shared" ref="R27" si="418">+SUM(R28:R30)</f>
        <v>0</v>
      </c>
      <c r="S27" s="17">
        <f t="shared" ref="S27" si="419">+SUM(S28:S30)</f>
        <v>0</v>
      </c>
      <c r="T27" s="17">
        <f t="shared" ref="T27" si="420">+SUM(T28:T30)</f>
        <v>0</v>
      </c>
      <c r="U27" s="17">
        <f t="shared" ref="U27" si="421">+SUM(U28:U30)</f>
        <v>0</v>
      </c>
      <c r="V27" s="17">
        <f t="shared" ref="V27" si="422">+SUM(V28:V30)</f>
        <v>0</v>
      </c>
      <c r="W27" s="17">
        <f t="shared" ref="W27" si="423">+SUM(W28:W30)</f>
        <v>0</v>
      </c>
      <c r="X27" s="17">
        <f t="shared" ref="X27" si="424">+SUM(X28:X30)</f>
        <v>0</v>
      </c>
      <c r="Y27" s="17">
        <f t="shared" ref="Y27" si="425">+SUM(Y28:Y30)</f>
        <v>0</v>
      </c>
      <c r="Z27" s="18">
        <f t="shared" ref="Z27" si="426">+SUM(Z28:Z30)</f>
        <v>0</v>
      </c>
      <c r="AA27" s="17">
        <f t="shared" ref="AA27" si="427">+SUM(AA28:AA30)</f>
        <v>0</v>
      </c>
      <c r="AB27" s="17">
        <f t="shared" ref="AB27" si="428">+SUM(AB28:AB30)</f>
        <v>0</v>
      </c>
      <c r="AC27" s="17">
        <f t="shared" ref="AC27" si="429">+SUM(AC28:AC30)</f>
        <v>0</v>
      </c>
      <c r="AD27" s="17">
        <f t="shared" ref="AD27" si="430">+SUM(AD28:AD30)</f>
        <v>0</v>
      </c>
      <c r="AE27" s="17">
        <f t="shared" ref="AE27" si="431">+SUM(AE28:AE30)</f>
        <v>0</v>
      </c>
      <c r="AF27" s="17">
        <f t="shared" ref="AF27" si="432">+SUM(AF28:AF30)</f>
        <v>0</v>
      </c>
      <c r="AG27" s="17">
        <f t="shared" ref="AG27" si="433">+SUM(AG28:AG30)</f>
        <v>0</v>
      </c>
      <c r="AH27" s="17">
        <f t="shared" ref="AH27" si="434">+SUM(AH28:AH30)</f>
        <v>0</v>
      </c>
      <c r="AI27" s="17">
        <f t="shared" ref="AI27" si="435">+SUM(AI28:AI30)</f>
        <v>0</v>
      </c>
      <c r="AJ27" s="17">
        <f t="shared" ref="AJ27" si="436">+SUM(AJ28:AJ30)</f>
        <v>0</v>
      </c>
      <c r="AK27" s="17">
        <f t="shared" ref="AK27" si="437">+SUM(AK28:AK30)</f>
        <v>0</v>
      </c>
      <c r="AL27" s="18">
        <f t="shared" ref="AL27" si="438">+SUM(AL28:AL30)</f>
        <v>0</v>
      </c>
      <c r="AM27" s="17">
        <f t="shared" ref="AM27" si="439">+SUM(AM28:AM30)</f>
        <v>0</v>
      </c>
      <c r="AN27" s="17">
        <f t="shared" ref="AN27" si="440">+SUM(AN28:AN30)</f>
        <v>0</v>
      </c>
      <c r="AO27" s="17">
        <f t="shared" ref="AO27" si="441">+SUM(AO28:AO30)</f>
        <v>0</v>
      </c>
      <c r="AP27" s="17">
        <f t="shared" ref="AP27" si="442">+SUM(AP28:AP30)</f>
        <v>0</v>
      </c>
      <c r="AQ27" s="17">
        <f t="shared" ref="AQ27" si="443">+SUM(AQ28:AQ30)</f>
        <v>0</v>
      </c>
      <c r="AR27" s="17">
        <f t="shared" ref="AR27" si="444">+SUM(AR28:AR30)</f>
        <v>0</v>
      </c>
      <c r="AS27" s="17">
        <f t="shared" ref="AS27" si="445">+SUM(AS28:AS30)</f>
        <v>0</v>
      </c>
      <c r="AT27" s="17">
        <f t="shared" ref="AT27" si="446">+SUM(AT28:AT30)</f>
        <v>0</v>
      </c>
      <c r="AU27" s="17">
        <f t="shared" ref="AU27" si="447">+SUM(AU28:AU30)</f>
        <v>0</v>
      </c>
      <c r="AV27" s="17">
        <f t="shared" ref="AV27" si="448">+SUM(AV28:AV30)</f>
        <v>0</v>
      </c>
      <c r="AW27" s="17">
        <f t="shared" ref="AW27" si="449">+SUM(AW28:AW30)</f>
        <v>0</v>
      </c>
      <c r="AX27" s="18">
        <f t="shared" ref="AX27" si="450">+SUM(AX28:AX30)</f>
        <v>0</v>
      </c>
      <c r="AY27" s="17">
        <f t="shared" ref="AY27" si="451">+SUM(AY28:AY30)</f>
        <v>0</v>
      </c>
      <c r="AZ27" s="17">
        <f t="shared" ref="AZ27" si="452">+SUM(AZ28:AZ30)</f>
        <v>0</v>
      </c>
      <c r="BA27" s="17">
        <f t="shared" ref="BA27" si="453">+SUM(BA28:BA30)</f>
        <v>0</v>
      </c>
      <c r="BB27" s="17">
        <f t="shared" ref="BB27" si="454">+SUM(BB28:BB30)</f>
        <v>0</v>
      </c>
      <c r="BC27" s="17">
        <f t="shared" ref="BC27" si="455">+SUM(BC28:BC30)</f>
        <v>0</v>
      </c>
      <c r="BD27" s="17">
        <f t="shared" ref="BD27" si="456">+SUM(BD28:BD30)</f>
        <v>0</v>
      </c>
      <c r="BE27" s="17">
        <f t="shared" ref="BE27" si="457">+SUM(BE28:BE30)</f>
        <v>0</v>
      </c>
      <c r="BF27" s="17">
        <f t="shared" ref="BF27" si="458">+SUM(BF28:BF30)</f>
        <v>0</v>
      </c>
      <c r="BG27" s="17">
        <f t="shared" ref="BG27" si="459">+SUM(BG28:BG30)</f>
        <v>0</v>
      </c>
      <c r="BH27" s="17">
        <f t="shared" ref="BH27" si="460">+SUM(BH28:BH30)</f>
        <v>0</v>
      </c>
      <c r="BI27" s="17">
        <f t="shared" ref="BI27" si="461">+SUM(BI28:BI30)</f>
        <v>0</v>
      </c>
      <c r="BJ27" s="18">
        <f t="shared" ref="BJ27" si="462">+SUM(BJ28:BJ30)</f>
        <v>0</v>
      </c>
    </row>
    <row r="28" spans="1:62" x14ac:dyDescent="0.35">
      <c r="A28" s="1" t="str">
        <f>$A$26</f>
        <v>Treasury benefit - Stress</v>
      </c>
      <c r="B28" s="1" t="s">
        <v>157</v>
      </c>
      <c r="C28" s="52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4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4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4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4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4"/>
    </row>
    <row r="29" spans="1:62" x14ac:dyDescent="0.35">
      <c r="A29" s="2" t="str">
        <f>$A$26</f>
        <v>Treasury benefit - Stress</v>
      </c>
      <c r="B29" s="2" t="s">
        <v>158</v>
      </c>
      <c r="C29" s="55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7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7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7"/>
      <c r="AM29" s="56"/>
      <c r="AN29" s="56"/>
      <c r="AO29" s="56"/>
      <c r="AP29" s="56"/>
      <c r="AQ29" s="56"/>
      <c r="AR29" s="56"/>
      <c r="AS29" s="56"/>
      <c r="AT29" s="56"/>
      <c r="AU29" s="56"/>
      <c r="AV29" s="56"/>
      <c r="AW29" s="56"/>
      <c r="AX29" s="57"/>
      <c r="AY29" s="56"/>
      <c r="AZ29" s="56"/>
      <c r="BA29" s="56"/>
      <c r="BB29" s="56"/>
      <c r="BC29" s="56"/>
      <c r="BD29" s="56"/>
      <c r="BE29" s="56"/>
      <c r="BF29" s="56"/>
      <c r="BG29" s="56"/>
      <c r="BH29" s="56"/>
      <c r="BI29" s="56"/>
      <c r="BJ29" s="57"/>
    </row>
    <row r="30" spans="1:62" x14ac:dyDescent="0.35">
      <c r="A30" s="3" t="str">
        <f>$A$26</f>
        <v>Treasury benefit - Stress</v>
      </c>
      <c r="B30" s="3" t="s">
        <v>159</v>
      </c>
      <c r="C30" s="58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60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60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60"/>
      <c r="AM30" s="59"/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X30" s="60"/>
      <c r="AY30" s="59"/>
      <c r="AZ30" s="59"/>
      <c r="BA30" s="59"/>
      <c r="BB30" s="59"/>
      <c r="BC30" s="59"/>
      <c r="BD30" s="59"/>
      <c r="BE30" s="59"/>
      <c r="BF30" s="59"/>
      <c r="BG30" s="59"/>
      <c r="BH30" s="59"/>
      <c r="BI30" s="59"/>
      <c r="BJ30" s="60"/>
    </row>
    <row r="32" spans="1:62" x14ac:dyDescent="0.35">
      <c r="A32" s="25" t="s">
        <v>85</v>
      </c>
      <c r="B32" s="4" t="s">
        <v>3</v>
      </c>
      <c r="C32" s="19">
        <f>C2</f>
        <v>45352</v>
      </c>
      <c r="D32" s="20">
        <f>EDATE(C32,1)</f>
        <v>45383</v>
      </c>
      <c r="E32" s="20">
        <f>EDATE(D32,1)</f>
        <v>45413</v>
      </c>
      <c r="F32" s="20">
        <f>EDATE(E32,1)</f>
        <v>45444</v>
      </c>
      <c r="G32" s="20">
        <f t="shared" ref="G32" si="463">EDATE(F32,1)</f>
        <v>45474</v>
      </c>
      <c r="H32" s="20">
        <f t="shared" ref="H32" si="464">EDATE(G32,1)</f>
        <v>45505</v>
      </c>
      <c r="I32" s="20">
        <f t="shared" ref="I32" si="465">EDATE(H32,1)</f>
        <v>45536</v>
      </c>
      <c r="J32" s="20">
        <f t="shared" ref="J32" si="466">EDATE(I32,1)</f>
        <v>45566</v>
      </c>
      <c r="K32" s="20">
        <f t="shared" ref="K32" si="467">EDATE(J32,1)</f>
        <v>45597</v>
      </c>
      <c r="L32" s="20">
        <f t="shared" ref="L32" si="468">EDATE(K32,1)</f>
        <v>45627</v>
      </c>
      <c r="M32" s="20">
        <f t="shared" ref="M32" si="469">EDATE(L32,1)</f>
        <v>45658</v>
      </c>
      <c r="N32" s="21">
        <f t="shared" ref="N32" si="470">EDATE(M32,1)</f>
        <v>45689</v>
      </c>
      <c r="O32" s="20">
        <f t="shared" ref="O32" si="471">EDATE(N32,1)</f>
        <v>45717</v>
      </c>
      <c r="P32" s="20">
        <f t="shared" ref="P32" si="472">EDATE(O32,1)</f>
        <v>45748</v>
      </c>
      <c r="Q32" s="20">
        <f t="shared" ref="Q32" si="473">EDATE(P32,1)</f>
        <v>45778</v>
      </c>
      <c r="R32" s="20">
        <f t="shared" ref="R32" si="474">EDATE(Q32,1)</f>
        <v>45809</v>
      </c>
      <c r="S32" s="20">
        <f t="shared" ref="S32" si="475">EDATE(R32,1)</f>
        <v>45839</v>
      </c>
      <c r="T32" s="20">
        <f t="shared" ref="T32" si="476">EDATE(S32,1)</f>
        <v>45870</v>
      </c>
      <c r="U32" s="20">
        <f t="shared" ref="U32" si="477">EDATE(T32,1)</f>
        <v>45901</v>
      </c>
      <c r="V32" s="20">
        <f t="shared" ref="V32" si="478">EDATE(U32,1)</f>
        <v>45931</v>
      </c>
      <c r="W32" s="20">
        <f t="shared" ref="W32" si="479">EDATE(V32,1)</f>
        <v>45962</v>
      </c>
      <c r="X32" s="20">
        <f t="shared" ref="X32" si="480">EDATE(W32,1)</f>
        <v>45992</v>
      </c>
      <c r="Y32" s="20">
        <f t="shared" ref="Y32" si="481">EDATE(X32,1)</f>
        <v>46023</v>
      </c>
      <c r="Z32" s="21">
        <f t="shared" ref="Z32" si="482">EDATE(Y32,1)</f>
        <v>46054</v>
      </c>
      <c r="AA32" s="20">
        <f t="shared" ref="AA32" si="483">EDATE(Z32,1)</f>
        <v>46082</v>
      </c>
      <c r="AB32" s="20">
        <f t="shared" ref="AB32" si="484">EDATE(AA32,1)</f>
        <v>46113</v>
      </c>
      <c r="AC32" s="20">
        <f t="shared" ref="AC32" si="485">EDATE(AB32,1)</f>
        <v>46143</v>
      </c>
      <c r="AD32" s="20">
        <f t="shared" ref="AD32" si="486">EDATE(AC32,1)</f>
        <v>46174</v>
      </c>
      <c r="AE32" s="20">
        <f t="shared" ref="AE32" si="487">EDATE(AD32,1)</f>
        <v>46204</v>
      </c>
      <c r="AF32" s="20">
        <f t="shared" ref="AF32" si="488">EDATE(AE32,1)</f>
        <v>46235</v>
      </c>
      <c r="AG32" s="20">
        <f t="shared" ref="AG32" si="489">EDATE(AF32,1)</f>
        <v>46266</v>
      </c>
      <c r="AH32" s="20">
        <f t="shared" ref="AH32" si="490">EDATE(AG32,1)</f>
        <v>46296</v>
      </c>
      <c r="AI32" s="20">
        <f t="shared" ref="AI32" si="491">EDATE(AH32,1)</f>
        <v>46327</v>
      </c>
      <c r="AJ32" s="20">
        <f t="shared" ref="AJ32" si="492">EDATE(AI32,1)</f>
        <v>46357</v>
      </c>
      <c r="AK32" s="20">
        <f t="shared" ref="AK32" si="493">EDATE(AJ32,1)</f>
        <v>46388</v>
      </c>
      <c r="AL32" s="21">
        <f t="shared" ref="AL32" si="494">EDATE(AK32,1)</f>
        <v>46419</v>
      </c>
      <c r="AM32" s="20">
        <f t="shared" ref="AM32" si="495">EDATE(AL32,1)</f>
        <v>46447</v>
      </c>
      <c r="AN32" s="20">
        <f t="shared" ref="AN32" si="496">EDATE(AM32,1)</f>
        <v>46478</v>
      </c>
      <c r="AO32" s="20">
        <f t="shared" ref="AO32" si="497">EDATE(AN32,1)</f>
        <v>46508</v>
      </c>
      <c r="AP32" s="20">
        <f t="shared" ref="AP32" si="498">EDATE(AO32,1)</f>
        <v>46539</v>
      </c>
      <c r="AQ32" s="20">
        <f t="shared" ref="AQ32" si="499">EDATE(AP32,1)</f>
        <v>46569</v>
      </c>
      <c r="AR32" s="20">
        <f t="shared" ref="AR32" si="500">EDATE(AQ32,1)</f>
        <v>46600</v>
      </c>
      <c r="AS32" s="20">
        <f t="shared" ref="AS32" si="501">EDATE(AR32,1)</f>
        <v>46631</v>
      </c>
      <c r="AT32" s="20">
        <f t="shared" ref="AT32" si="502">EDATE(AS32,1)</f>
        <v>46661</v>
      </c>
      <c r="AU32" s="20">
        <f t="shared" ref="AU32" si="503">EDATE(AT32,1)</f>
        <v>46692</v>
      </c>
      <c r="AV32" s="20">
        <f t="shared" ref="AV32" si="504">EDATE(AU32,1)</f>
        <v>46722</v>
      </c>
      <c r="AW32" s="20">
        <f t="shared" ref="AW32" si="505">EDATE(AV32,1)</f>
        <v>46753</v>
      </c>
      <c r="AX32" s="21">
        <f t="shared" ref="AX32" si="506">EDATE(AW32,1)</f>
        <v>46784</v>
      </c>
      <c r="AY32" s="20">
        <f t="shared" ref="AY32" si="507">EDATE(AX32,1)</f>
        <v>46813</v>
      </c>
      <c r="AZ32" s="20">
        <f t="shared" ref="AZ32" si="508">EDATE(AY32,1)</f>
        <v>46844</v>
      </c>
      <c r="BA32" s="20">
        <f t="shared" ref="BA32" si="509">EDATE(AZ32,1)</f>
        <v>46874</v>
      </c>
      <c r="BB32" s="20">
        <f t="shared" ref="BB32" si="510">EDATE(BA32,1)</f>
        <v>46905</v>
      </c>
      <c r="BC32" s="20">
        <f t="shared" ref="BC32" si="511">EDATE(BB32,1)</f>
        <v>46935</v>
      </c>
      <c r="BD32" s="20">
        <f t="shared" ref="BD32" si="512">EDATE(BC32,1)</f>
        <v>46966</v>
      </c>
      <c r="BE32" s="20">
        <f t="shared" ref="BE32" si="513">EDATE(BD32,1)</f>
        <v>46997</v>
      </c>
      <c r="BF32" s="20">
        <f t="shared" ref="BF32" si="514">EDATE(BE32,1)</f>
        <v>47027</v>
      </c>
      <c r="BG32" s="20">
        <f t="shared" ref="BG32" si="515">EDATE(BF32,1)</f>
        <v>47058</v>
      </c>
      <c r="BH32" s="20">
        <f t="shared" ref="BH32" si="516">EDATE(BG32,1)</f>
        <v>47088</v>
      </c>
      <c r="BI32" s="20">
        <f t="shared" ref="BI32" si="517">EDATE(BH32,1)</f>
        <v>47119</v>
      </c>
      <c r="BJ32" s="21">
        <f t="shared" ref="BJ32" si="518">EDATE(BI32,1)</f>
        <v>47150</v>
      </c>
    </row>
    <row r="33" spans="1:62" x14ac:dyDescent="0.35">
      <c r="A33" s="15" t="str">
        <f>$A$32</f>
        <v>Treasury benefit - Plan</v>
      </c>
      <c r="B33" s="15" t="s">
        <v>160</v>
      </c>
      <c r="C33" s="16">
        <f>+SUM(C34:C36)</f>
        <v>0</v>
      </c>
      <c r="D33" s="17">
        <f t="shared" ref="D33" si="519">+SUM(D34:D36)</f>
        <v>0</v>
      </c>
      <c r="E33" s="17">
        <f t="shared" ref="E33" si="520">+SUM(E34:E36)</f>
        <v>0</v>
      </c>
      <c r="F33" s="17">
        <f t="shared" ref="F33" si="521">+SUM(F34:F36)</f>
        <v>0</v>
      </c>
      <c r="G33" s="17">
        <f t="shared" ref="G33" si="522">+SUM(G34:G36)</f>
        <v>0</v>
      </c>
      <c r="H33" s="17">
        <f t="shared" ref="H33" si="523">+SUM(H34:H36)</f>
        <v>0</v>
      </c>
      <c r="I33" s="17">
        <f t="shared" ref="I33" si="524">+SUM(I34:I36)</f>
        <v>0</v>
      </c>
      <c r="J33" s="17">
        <f t="shared" ref="J33" si="525">+SUM(J34:J36)</f>
        <v>0</v>
      </c>
      <c r="K33" s="17">
        <f t="shared" ref="K33" si="526">+SUM(K34:K36)</f>
        <v>0</v>
      </c>
      <c r="L33" s="17">
        <f t="shared" ref="L33" si="527">+SUM(L34:L36)</f>
        <v>0</v>
      </c>
      <c r="M33" s="17">
        <f t="shared" ref="M33" si="528">+SUM(M34:M36)</f>
        <v>0</v>
      </c>
      <c r="N33" s="18">
        <f t="shared" ref="N33" si="529">+SUM(N34:N36)</f>
        <v>0</v>
      </c>
      <c r="O33" s="17">
        <f t="shared" ref="O33" si="530">+SUM(O34:O36)</f>
        <v>0</v>
      </c>
      <c r="P33" s="17">
        <f t="shared" ref="P33" si="531">+SUM(P34:P36)</f>
        <v>0</v>
      </c>
      <c r="Q33" s="17">
        <f t="shared" ref="Q33" si="532">+SUM(Q34:Q36)</f>
        <v>0</v>
      </c>
      <c r="R33" s="17">
        <f t="shared" ref="R33" si="533">+SUM(R34:R36)</f>
        <v>0</v>
      </c>
      <c r="S33" s="17">
        <f t="shared" ref="S33" si="534">+SUM(S34:S36)</f>
        <v>0</v>
      </c>
      <c r="T33" s="17">
        <f t="shared" ref="T33" si="535">+SUM(T34:T36)</f>
        <v>0</v>
      </c>
      <c r="U33" s="17">
        <f t="shared" ref="U33" si="536">+SUM(U34:U36)</f>
        <v>0</v>
      </c>
      <c r="V33" s="17">
        <f t="shared" ref="V33" si="537">+SUM(V34:V36)</f>
        <v>0</v>
      </c>
      <c r="W33" s="17">
        <f t="shared" ref="W33" si="538">+SUM(W34:W36)</f>
        <v>0</v>
      </c>
      <c r="X33" s="17">
        <f t="shared" ref="X33" si="539">+SUM(X34:X36)</f>
        <v>0</v>
      </c>
      <c r="Y33" s="17">
        <f t="shared" ref="Y33" si="540">+SUM(Y34:Y36)</f>
        <v>0</v>
      </c>
      <c r="Z33" s="18">
        <f t="shared" ref="Z33" si="541">+SUM(Z34:Z36)</f>
        <v>0</v>
      </c>
      <c r="AA33" s="17">
        <f t="shared" ref="AA33" si="542">+SUM(AA34:AA36)</f>
        <v>0</v>
      </c>
      <c r="AB33" s="17">
        <f t="shared" ref="AB33" si="543">+SUM(AB34:AB36)</f>
        <v>0</v>
      </c>
      <c r="AC33" s="17">
        <f t="shared" ref="AC33" si="544">+SUM(AC34:AC36)</f>
        <v>0</v>
      </c>
      <c r="AD33" s="17">
        <f t="shared" ref="AD33" si="545">+SUM(AD34:AD36)</f>
        <v>0</v>
      </c>
      <c r="AE33" s="17">
        <f t="shared" ref="AE33" si="546">+SUM(AE34:AE36)</f>
        <v>0</v>
      </c>
      <c r="AF33" s="17">
        <f t="shared" ref="AF33" si="547">+SUM(AF34:AF36)</f>
        <v>0</v>
      </c>
      <c r="AG33" s="17">
        <f t="shared" ref="AG33" si="548">+SUM(AG34:AG36)</f>
        <v>0</v>
      </c>
      <c r="AH33" s="17">
        <f t="shared" ref="AH33" si="549">+SUM(AH34:AH36)</f>
        <v>0</v>
      </c>
      <c r="AI33" s="17">
        <f t="shared" ref="AI33" si="550">+SUM(AI34:AI36)</f>
        <v>0</v>
      </c>
      <c r="AJ33" s="17">
        <f t="shared" ref="AJ33" si="551">+SUM(AJ34:AJ36)</f>
        <v>0</v>
      </c>
      <c r="AK33" s="17">
        <f t="shared" ref="AK33" si="552">+SUM(AK34:AK36)</f>
        <v>0</v>
      </c>
      <c r="AL33" s="18">
        <f t="shared" ref="AL33" si="553">+SUM(AL34:AL36)</f>
        <v>0</v>
      </c>
      <c r="AM33" s="17">
        <f t="shared" ref="AM33" si="554">+SUM(AM34:AM36)</f>
        <v>0</v>
      </c>
      <c r="AN33" s="17">
        <f t="shared" ref="AN33" si="555">+SUM(AN34:AN36)</f>
        <v>0</v>
      </c>
      <c r="AO33" s="17">
        <f t="shared" ref="AO33" si="556">+SUM(AO34:AO36)</f>
        <v>0</v>
      </c>
      <c r="AP33" s="17">
        <f t="shared" ref="AP33" si="557">+SUM(AP34:AP36)</f>
        <v>0</v>
      </c>
      <c r="AQ33" s="17">
        <f t="shared" ref="AQ33" si="558">+SUM(AQ34:AQ36)</f>
        <v>0</v>
      </c>
      <c r="AR33" s="17">
        <f t="shared" ref="AR33" si="559">+SUM(AR34:AR36)</f>
        <v>0</v>
      </c>
      <c r="AS33" s="17">
        <f t="shared" ref="AS33" si="560">+SUM(AS34:AS36)</f>
        <v>0</v>
      </c>
      <c r="AT33" s="17">
        <f t="shared" ref="AT33" si="561">+SUM(AT34:AT36)</f>
        <v>0</v>
      </c>
      <c r="AU33" s="17">
        <f t="shared" ref="AU33" si="562">+SUM(AU34:AU36)</f>
        <v>0</v>
      </c>
      <c r="AV33" s="17">
        <f t="shared" ref="AV33" si="563">+SUM(AV34:AV36)</f>
        <v>0</v>
      </c>
      <c r="AW33" s="17">
        <f t="shared" ref="AW33" si="564">+SUM(AW34:AW36)</f>
        <v>0</v>
      </c>
      <c r="AX33" s="18">
        <f t="shared" ref="AX33" si="565">+SUM(AX34:AX36)</f>
        <v>0</v>
      </c>
      <c r="AY33" s="17">
        <f t="shared" ref="AY33" si="566">+SUM(AY34:AY36)</f>
        <v>0</v>
      </c>
      <c r="AZ33" s="17">
        <f t="shared" ref="AZ33" si="567">+SUM(AZ34:AZ36)</f>
        <v>0</v>
      </c>
      <c r="BA33" s="17">
        <f t="shared" ref="BA33" si="568">+SUM(BA34:BA36)</f>
        <v>0</v>
      </c>
      <c r="BB33" s="17">
        <f t="shared" ref="BB33" si="569">+SUM(BB34:BB36)</f>
        <v>0</v>
      </c>
      <c r="BC33" s="17">
        <f t="shared" ref="BC33" si="570">+SUM(BC34:BC36)</f>
        <v>0</v>
      </c>
      <c r="BD33" s="17">
        <f t="shared" ref="BD33" si="571">+SUM(BD34:BD36)</f>
        <v>0</v>
      </c>
      <c r="BE33" s="17">
        <f t="shared" ref="BE33" si="572">+SUM(BE34:BE36)</f>
        <v>0</v>
      </c>
      <c r="BF33" s="17">
        <f t="shared" ref="BF33" si="573">+SUM(BF34:BF36)</f>
        <v>0</v>
      </c>
      <c r="BG33" s="17">
        <f t="shared" ref="BG33" si="574">+SUM(BG34:BG36)</f>
        <v>0</v>
      </c>
      <c r="BH33" s="17">
        <f t="shared" ref="BH33" si="575">+SUM(BH34:BH36)</f>
        <v>0</v>
      </c>
      <c r="BI33" s="17">
        <f t="shared" ref="BI33" si="576">+SUM(BI34:BI36)</f>
        <v>0</v>
      </c>
      <c r="BJ33" s="18">
        <f t="shared" ref="BJ33" si="577">+SUM(BJ34:BJ36)</f>
        <v>0</v>
      </c>
    </row>
    <row r="34" spans="1:62" x14ac:dyDescent="0.35">
      <c r="A34" s="1" t="str">
        <f>$A$32</f>
        <v>Treasury benefit - Plan</v>
      </c>
      <c r="B34" s="1" t="s">
        <v>157</v>
      </c>
      <c r="C34" s="52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4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4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4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4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4"/>
    </row>
    <row r="35" spans="1:62" x14ac:dyDescent="0.35">
      <c r="A35" s="2" t="str">
        <f>$A$32</f>
        <v>Treasury benefit - Plan</v>
      </c>
      <c r="B35" s="2" t="s">
        <v>158</v>
      </c>
      <c r="C35" s="55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7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7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7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7"/>
      <c r="AY35" s="56"/>
      <c r="AZ35" s="56"/>
      <c r="BA35" s="56"/>
      <c r="BB35" s="56"/>
      <c r="BC35" s="56"/>
      <c r="BD35" s="56"/>
      <c r="BE35" s="56"/>
      <c r="BF35" s="56"/>
      <c r="BG35" s="56"/>
      <c r="BH35" s="56"/>
      <c r="BI35" s="56"/>
      <c r="BJ35" s="57"/>
    </row>
    <row r="36" spans="1:62" x14ac:dyDescent="0.35">
      <c r="A36" s="3" t="str">
        <f>$A$32</f>
        <v>Treasury benefit - Plan</v>
      </c>
      <c r="B36" s="3" t="s">
        <v>159</v>
      </c>
      <c r="C36" s="58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60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60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60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60"/>
      <c r="AY36" s="59"/>
      <c r="AZ36" s="59"/>
      <c r="BA36" s="59"/>
      <c r="BB36" s="59"/>
      <c r="BC36" s="59"/>
      <c r="BD36" s="59"/>
      <c r="BE36" s="59"/>
      <c r="BF36" s="59"/>
      <c r="BG36" s="59"/>
      <c r="BH36" s="59"/>
      <c r="BI36" s="59"/>
      <c r="BJ36" s="60"/>
    </row>
    <row r="38" spans="1:62" x14ac:dyDescent="0.35">
      <c r="A38" s="25" t="s">
        <v>86</v>
      </c>
      <c r="B38" s="4" t="s">
        <v>3</v>
      </c>
      <c r="C38" s="19">
        <f>C2</f>
        <v>45352</v>
      </c>
      <c r="D38" s="20">
        <f>EDATE(C38,1)</f>
        <v>45383</v>
      </c>
      <c r="E38" s="20">
        <f>EDATE(D38,1)</f>
        <v>45413</v>
      </c>
      <c r="F38" s="20">
        <f>EDATE(E38,1)</f>
        <v>45444</v>
      </c>
      <c r="G38" s="20">
        <f t="shared" ref="G38" si="578">EDATE(F38,1)</f>
        <v>45474</v>
      </c>
      <c r="H38" s="20">
        <f t="shared" ref="H38" si="579">EDATE(G38,1)</f>
        <v>45505</v>
      </c>
      <c r="I38" s="20">
        <f t="shared" ref="I38" si="580">EDATE(H38,1)</f>
        <v>45536</v>
      </c>
      <c r="J38" s="20">
        <f t="shared" ref="J38" si="581">EDATE(I38,1)</f>
        <v>45566</v>
      </c>
      <c r="K38" s="20">
        <f t="shared" ref="K38" si="582">EDATE(J38,1)</f>
        <v>45597</v>
      </c>
      <c r="L38" s="20">
        <f t="shared" ref="L38" si="583">EDATE(K38,1)</f>
        <v>45627</v>
      </c>
      <c r="M38" s="20">
        <f t="shared" ref="M38" si="584">EDATE(L38,1)</f>
        <v>45658</v>
      </c>
      <c r="N38" s="21">
        <f t="shared" ref="N38" si="585">EDATE(M38,1)</f>
        <v>45689</v>
      </c>
      <c r="O38" s="20">
        <f t="shared" ref="O38" si="586">EDATE(N38,1)</f>
        <v>45717</v>
      </c>
      <c r="P38" s="20">
        <f t="shared" ref="P38" si="587">EDATE(O38,1)</f>
        <v>45748</v>
      </c>
      <c r="Q38" s="20">
        <f t="shared" ref="Q38" si="588">EDATE(P38,1)</f>
        <v>45778</v>
      </c>
      <c r="R38" s="20">
        <f t="shared" ref="R38" si="589">EDATE(Q38,1)</f>
        <v>45809</v>
      </c>
      <c r="S38" s="20">
        <f t="shared" ref="S38" si="590">EDATE(R38,1)</f>
        <v>45839</v>
      </c>
      <c r="T38" s="20">
        <f t="shared" ref="T38" si="591">EDATE(S38,1)</f>
        <v>45870</v>
      </c>
      <c r="U38" s="20">
        <f t="shared" ref="U38" si="592">EDATE(T38,1)</f>
        <v>45901</v>
      </c>
      <c r="V38" s="20">
        <f t="shared" ref="V38" si="593">EDATE(U38,1)</f>
        <v>45931</v>
      </c>
      <c r="W38" s="20">
        <f t="shared" ref="W38" si="594">EDATE(V38,1)</f>
        <v>45962</v>
      </c>
      <c r="X38" s="20">
        <f t="shared" ref="X38" si="595">EDATE(W38,1)</f>
        <v>45992</v>
      </c>
      <c r="Y38" s="20">
        <f t="shared" ref="Y38" si="596">EDATE(X38,1)</f>
        <v>46023</v>
      </c>
      <c r="Z38" s="21">
        <f t="shared" ref="Z38" si="597">EDATE(Y38,1)</f>
        <v>46054</v>
      </c>
      <c r="AA38" s="20">
        <f t="shared" ref="AA38" si="598">EDATE(Z38,1)</f>
        <v>46082</v>
      </c>
      <c r="AB38" s="20">
        <f t="shared" ref="AB38" si="599">EDATE(AA38,1)</f>
        <v>46113</v>
      </c>
      <c r="AC38" s="20">
        <f t="shared" ref="AC38" si="600">EDATE(AB38,1)</f>
        <v>46143</v>
      </c>
      <c r="AD38" s="20">
        <f t="shared" ref="AD38" si="601">EDATE(AC38,1)</f>
        <v>46174</v>
      </c>
      <c r="AE38" s="20">
        <f t="shared" ref="AE38" si="602">EDATE(AD38,1)</f>
        <v>46204</v>
      </c>
      <c r="AF38" s="20">
        <f t="shared" ref="AF38" si="603">EDATE(AE38,1)</f>
        <v>46235</v>
      </c>
      <c r="AG38" s="20">
        <f t="shared" ref="AG38" si="604">EDATE(AF38,1)</f>
        <v>46266</v>
      </c>
      <c r="AH38" s="20">
        <f t="shared" ref="AH38" si="605">EDATE(AG38,1)</f>
        <v>46296</v>
      </c>
      <c r="AI38" s="20">
        <f t="shared" ref="AI38" si="606">EDATE(AH38,1)</f>
        <v>46327</v>
      </c>
      <c r="AJ38" s="20">
        <f t="shared" ref="AJ38" si="607">EDATE(AI38,1)</f>
        <v>46357</v>
      </c>
      <c r="AK38" s="20">
        <f t="shared" ref="AK38" si="608">EDATE(AJ38,1)</f>
        <v>46388</v>
      </c>
      <c r="AL38" s="21">
        <f t="shared" ref="AL38" si="609">EDATE(AK38,1)</f>
        <v>46419</v>
      </c>
      <c r="AM38" s="20">
        <f t="shared" ref="AM38" si="610">EDATE(AL38,1)</f>
        <v>46447</v>
      </c>
      <c r="AN38" s="20">
        <f t="shared" ref="AN38" si="611">EDATE(AM38,1)</f>
        <v>46478</v>
      </c>
      <c r="AO38" s="20">
        <f t="shared" ref="AO38" si="612">EDATE(AN38,1)</f>
        <v>46508</v>
      </c>
      <c r="AP38" s="20">
        <f t="shared" ref="AP38" si="613">EDATE(AO38,1)</f>
        <v>46539</v>
      </c>
      <c r="AQ38" s="20">
        <f t="shared" ref="AQ38" si="614">EDATE(AP38,1)</f>
        <v>46569</v>
      </c>
      <c r="AR38" s="20">
        <f t="shared" ref="AR38" si="615">EDATE(AQ38,1)</f>
        <v>46600</v>
      </c>
      <c r="AS38" s="20">
        <f t="shared" ref="AS38" si="616">EDATE(AR38,1)</f>
        <v>46631</v>
      </c>
      <c r="AT38" s="20">
        <f t="shared" ref="AT38" si="617">EDATE(AS38,1)</f>
        <v>46661</v>
      </c>
      <c r="AU38" s="20">
        <f t="shared" ref="AU38" si="618">EDATE(AT38,1)</f>
        <v>46692</v>
      </c>
      <c r="AV38" s="20">
        <f t="shared" ref="AV38" si="619">EDATE(AU38,1)</f>
        <v>46722</v>
      </c>
      <c r="AW38" s="20">
        <f t="shared" ref="AW38" si="620">EDATE(AV38,1)</f>
        <v>46753</v>
      </c>
      <c r="AX38" s="21">
        <f t="shared" ref="AX38" si="621">EDATE(AW38,1)</f>
        <v>46784</v>
      </c>
      <c r="AY38" s="20">
        <f t="shared" ref="AY38" si="622">EDATE(AX38,1)</f>
        <v>46813</v>
      </c>
      <c r="AZ38" s="20">
        <f t="shared" ref="AZ38" si="623">EDATE(AY38,1)</f>
        <v>46844</v>
      </c>
      <c r="BA38" s="20">
        <f t="shared" ref="BA38" si="624">EDATE(AZ38,1)</f>
        <v>46874</v>
      </c>
      <c r="BB38" s="20">
        <f t="shared" ref="BB38" si="625">EDATE(BA38,1)</f>
        <v>46905</v>
      </c>
      <c r="BC38" s="20">
        <f t="shared" ref="BC38" si="626">EDATE(BB38,1)</f>
        <v>46935</v>
      </c>
      <c r="BD38" s="20">
        <f t="shared" ref="BD38" si="627">EDATE(BC38,1)</f>
        <v>46966</v>
      </c>
      <c r="BE38" s="20">
        <f t="shared" ref="BE38" si="628">EDATE(BD38,1)</f>
        <v>46997</v>
      </c>
      <c r="BF38" s="20">
        <f t="shared" ref="BF38" si="629">EDATE(BE38,1)</f>
        <v>47027</v>
      </c>
      <c r="BG38" s="20">
        <f t="shared" ref="BG38" si="630">EDATE(BF38,1)</f>
        <v>47058</v>
      </c>
      <c r="BH38" s="20">
        <f t="shared" ref="BH38" si="631">EDATE(BG38,1)</f>
        <v>47088</v>
      </c>
      <c r="BI38" s="20">
        <f t="shared" ref="BI38" si="632">EDATE(BH38,1)</f>
        <v>47119</v>
      </c>
      <c r="BJ38" s="21">
        <f t="shared" ref="BJ38" si="633">EDATE(BI38,1)</f>
        <v>47150</v>
      </c>
    </row>
    <row r="39" spans="1:62" x14ac:dyDescent="0.35">
      <c r="A39" s="15" t="str">
        <f>$A$38</f>
        <v>Capital Infusion - Stress</v>
      </c>
      <c r="B39" s="15" t="s">
        <v>160</v>
      </c>
      <c r="C39" s="16">
        <f>+SUM(C40:C42)</f>
        <v>0</v>
      </c>
      <c r="D39" s="17">
        <f t="shared" ref="D39" si="634">+SUM(D40:D42)</f>
        <v>0</v>
      </c>
      <c r="E39" s="17">
        <f t="shared" ref="E39" si="635">+SUM(E40:E42)</f>
        <v>0</v>
      </c>
      <c r="F39" s="17">
        <f t="shared" ref="F39" si="636">+SUM(F40:F42)</f>
        <v>0</v>
      </c>
      <c r="G39" s="17">
        <f t="shared" ref="G39" si="637">+SUM(G40:G42)</f>
        <v>0</v>
      </c>
      <c r="H39" s="17">
        <f t="shared" ref="H39" si="638">+SUM(H40:H42)</f>
        <v>0</v>
      </c>
      <c r="I39" s="17">
        <f t="shared" ref="I39" si="639">+SUM(I40:I42)</f>
        <v>0</v>
      </c>
      <c r="J39" s="17">
        <f t="shared" ref="J39" si="640">+SUM(J40:J42)</f>
        <v>0</v>
      </c>
      <c r="K39" s="17">
        <f t="shared" ref="K39" si="641">+SUM(K40:K42)</f>
        <v>0</v>
      </c>
      <c r="L39" s="17">
        <f t="shared" ref="L39" si="642">+SUM(L40:L42)</f>
        <v>0</v>
      </c>
      <c r="M39" s="17">
        <f t="shared" ref="M39" si="643">+SUM(M40:M42)</f>
        <v>0</v>
      </c>
      <c r="N39" s="18">
        <f t="shared" ref="N39" si="644">+SUM(N40:N42)</f>
        <v>0</v>
      </c>
      <c r="O39" s="17">
        <f t="shared" ref="O39" si="645">+SUM(O40:O42)</f>
        <v>0</v>
      </c>
      <c r="P39" s="17">
        <f t="shared" ref="P39" si="646">+SUM(P40:P42)</f>
        <v>0</v>
      </c>
      <c r="Q39" s="17">
        <f t="shared" ref="Q39" si="647">+SUM(Q40:Q42)</f>
        <v>0</v>
      </c>
      <c r="R39" s="17">
        <f t="shared" ref="R39" si="648">+SUM(R40:R42)</f>
        <v>0</v>
      </c>
      <c r="S39" s="17">
        <f t="shared" ref="S39" si="649">+SUM(S40:S42)</f>
        <v>0</v>
      </c>
      <c r="T39" s="17">
        <f t="shared" ref="T39" si="650">+SUM(T40:T42)</f>
        <v>0</v>
      </c>
      <c r="U39" s="17">
        <f t="shared" ref="U39" si="651">+SUM(U40:U42)</f>
        <v>0</v>
      </c>
      <c r="V39" s="17">
        <f t="shared" ref="V39" si="652">+SUM(V40:V42)</f>
        <v>0</v>
      </c>
      <c r="W39" s="17">
        <f t="shared" ref="W39" si="653">+SUM(W40:W42)</f>
        <v>0</v>
      </c>
      <c r="X39" s="17">
        <f t="shared" ref="X39" si="654">+SUM(X40:X42)</f>
        <v>0</v>
      </c>
      <c r="Y39" s="17">
        <f t="shared" ref="Y39" si="655">+SUM(Y40:Y42)</f>
        <v>0</v>
      </c>
      <c r="Z39" s="18">
        <f t="shared" ref="Z39" si="656">+SUM(Z40:Z42)</f>
        <v>0</v>
      </c>
      <c r="AA39" s="17">
        <f t="shared" ref="AA39" si="657">+SUM(AA40:AA42)</f>
        <v>0</v>
      </c>
      <c r="AB39" s="17">
        <f t="shared" ref="AB39" si="658">+SUM(AB40:AB42)</f>
        <v>0</v>
      </c>
      <c r="AC39" s="17">
        <f t="shared" ref="AC39" si="659">+SUM(AC40:AC42)</f>
        <v>0</v>
      </c>
      <c r="AD39" s="17">
        <f t="shared" ref="AD39" si="660">+SUM(AD40:AD42)</f>
        <v>0</v>
      </c>
      <c r="AE39" s="17">
        <f t="shared" ref="AE39" si="661">+SUM(AE40:AE42)</f>
        <v>0</v>
      </c>
      <c r="AF39" s="17">
        <f t="shared" ref="AF39" si="662">+SUM(AF40:AF42)</f>
        <v>0</v>
      </c>
      <c r="AG39" s="17">
        <f t="shared" ref="AG39" si="663">+SUM(AG40:AG42)</f>
        <v>0</v>
      </c>
      <c r="AH39" s="17">
        <f t="shared" ref="AH39" si="664">+SUM(AH40:AH42)</f>
        <v>0</v>
      </c>
      <c r="AI39" s="17">
        <f t="shared" ref="AI39" si="665">+SUM(AI40:AI42)</f>
        <v>0</v>
      </c>
      <c r="AJ39" s="17">
        <f t="shared" ref="AJ39" si="666">+SUM(AJ40:AJ42)</f>
        <v>0</v>
      </c>
      <c r="AK39" s="17">
        <f t="shared" ref="AK39" si="667">+SUM(AK40:AK42)</f>
        <v>0</v>
      </c>
      <c r="AL39" s="18">
        <f t="shared" ref="AL39" si="668">+SUM(AL40:AL42)</f>
        <v>0</v>
      </c>
      <c r="AM39" s="17">
        <f t="shared" ref="AM39" si="669">+SUM(AM40:AM42)</f>
        <v>0</v>
      </c>
      <c r="AN39" s="17">
        <f t="shared" ref="AN39" si="670">+SUM(AN40:AN42)</f>
        <v>0</v>
      </c>
      <c r="AO39" s="17">
        <f t="shared" ref="AO39" si="671">+SUM(AO40:AO42)</f>
        <v>0</v>
      </c>
      <c r="AP39" s="17">
        <f t="shared" ref="AP39" si="672">+SUM(AP40:AP42)</f>
        <v>0</v>
      </c>
      <c r="AQ39" s="17">
        <f t="shared" ref="AQ39" si="673">+SUM(AQ40:AQ42)</f>
        <v>0</v>
      </c>
      <c r="AR39" s="17">
        <f t="shared" ref="AR39" si="674">+SUM(AR40:AR42)</f>
        <v>0</v>
      </c>
      <c r="AS39" s="17">
        <f t="shared" ref="AS39" si="675">+SUM(AS40:AS42)</f>
        <v>0</v>
      </c>
      <c r="AT39" s="17">
        <f t="shared" ref="AT39" si="676">+SUM(AT40:AT42)</f>
        <v>0</v>
      </c>
      <c r="AU39" s="17">
        <f t="shared" ref="AU39" si="677">+SUM(AU40:AU42)</f>
        <v>0</v>
      </c>
      <c r="AV39" s="17">
        <f t="shared" ref="AV39" si="678">+SUM(AV40:AV42)</f>
        <v>0</v>
      </c>
      <c r="AW39" s="17">
        <f t="shared" ref="AW39" si="679">+SUM(AW40:AW42)</f>
        <v>0</v>
      </c>
      <c r="AX39" s="18">
        <f t="shared" ref="AX39" si="680">+SUM(AX40:AX42)</f>
        <v>0</v>
      </c>
      <c r="AY39" s="17">
        <f t="shared" ref="AY39" si="681">+SUM(AY40:AY42)</f>
        <v>0</v>
      </c>
      <c r="AZ39" s="17">
        <f t="shared" ref="AZ39" si="682">+SUM(AZ40:AZ42)</f>
        <v>0</v>
      </c>
      <c r="BA39" s="17">
        <f t="shared" ref="BA39" si="683">+SUM(BA40:BA42)</f>
        <v>0</v>
      </c>
      <c r="BB39" s="17">
        <f t="shared" ref="BB39" si="684">+SUM(BB40:BB42)</f>
        <v>0</v>
      </c>
      <c r="BC39" s="17">
        <f t="shared" ref="BC39" si="685">+SUM(BC40:BC42)</f>
        <v>0</v>
      </c>
      <c r="BD39" s="17">
        <f t="shared" ref="BD39" si="686">+SUM(BD40:BD42)</f>
        <v>0</v>
      </c>
      <c r="BE39" s="17">
        <f t="shared" ref="BE39" si="687">+SUM(BE40:BE42)</f>
        <v>0</v>
      </c>
      <c r="BF39" s="17">
        <f t="shared" ref="BF39" si="688">+SUM(BF40:BF42)</f>
        <v>0</v>
      </c>
      <c r="BG39" s="17">
        <f t="shared" ref="BG39" si="689">+SUM(BG40:BG42)</f>
        <v>0</v>
      </c>
      <c r="BH39" s="17">
        <f t="shared" ref="BH39" si="690">+SUM(BH40:BH42)</f>
        <v>0</v>
      </c>
      <c r="BI39" s="17">
        <f t="shared" ref="BI39" si="691">+SUM(BI40:BI42)</f>
        <v>0</v>
      </c>
      <c r="BJ39" s="18">
        <f t="shared" ref="BJ39" si="692">+SUM(BJ40:BJ42)</f>
        <v>0</v>
      </c>
    </row>
    <row r="40" spans="1:62" x14ac:dyDescent="0.35">
      <c r="A40" s="1" t="str">
        <f>$A$38</f>
        <v>Capital Infusion - Stress</v>
      </c>
      <c r="B40" s="1" t="s">
        <v>157</v>
      </c>
      <c r="C40" s="52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4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4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4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4"/>
      <c r="AY40" s="53"/>
      <c r="AZ40" s="53"/>
      <c r="BA40" s="53"/>
      <c r="BB40" s="53"/>
      <c r="BC40" s="53"/>
      <c r="BD40" s="53"/>
      <c r="BE40" s="53"/>
      <c r="BF40" s="53"/>
      <c r="BG40" s="53"/>
      <c r="BH40" s="53"/>
      <c r="BI40" s="53"/>
      <c r="BJ40" s="54"/>
    </row>
    <row r="41" spans="1:62" x14ac:dyDescent="0.35">
      <c r="A41" s="2" t="str">
        <f>$A$38</f>
        <v>Capital Infusion - Stress</v>
      </c>
      <c r="B41" s="2" t="s">
        <v>158</v>
      </c>
      <c r="C41" s="55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7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7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7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7"/>
      <c r="AY41" s="56"/>
      <c r="AZ41" s="56"/>
      <c r="BA41" s="56"/>
      <c r="BB41" s="56"/>
      <c r="BC41" s="56"/>
      <c r="BD41" s="56"/>
      <c r="BE41" s="56"/>
      <c r="BF41" s="56"/>
      <c r="BG41" s="56"/>
      <c r="BH41" s="56"/>
      <c r="BI41" s="56"/>
      <c r="BJ41" s="57"/>
    </row>
    <row r="42" spans="1:62" x14ac:dyDescent="0.35">
      <c r="A42" s="3" t="str">
        <f>$A$38</f>
        <v>Capital Infusion - Stress</v>
      </c>
      <c r="B42" s="3" t="s">
        <v>159</v>
      </c>
      <c r="C42" s="58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60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60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60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60"/>
      <c r="AY42" s="59"/>
      <c r="AZ42" s="59"/>
      <c r="BA42" s="59"/>
      <c r="BB42" s="59"/>
      <c r="BC42" s="59"/>
      <c r="BD42" s="59"/>
      <c r="BE42" s="59"/>
      <c r="BF42" s="59"/>
      <c r="BG42" s="59"/>
      <c r="BH42" s="59"/>
      <c r="BI42" s="59"/>
      <c r="BJ42" s="60"/>
    </row>
    <row r="44" spans="1:62" x14ac:dyDescent="0.35">
      <c r="A44" s="25" t="s">
        <v>87</v>
      </c>
      <c r="B44" s="4" t="s">
        <v>3</v>
      </c>
      <c r="C44" s="19">
        <f>C2</f>
        <v>45352</v>
      </c>
      <c r="D44" s="20">
        <f>EDATE(C44,1)</f>
        <v>45383</v>
      </c>
      <c r="E44" s="20">
        <f>EDATE(D44,1)</f>
        <v>45413</v>
      </c>
      <c r="F44" s="20">
        <f>EDATE(E44,1)</f>
        <v>45444</v>
      </c>
      <c r="G44" s="20">
        <f t="shared" ref="G44" si="693">EDATE(F44,1)</f>
        <v>45474</v>
      </c>
      <c r="H44" s="20">
        <f t="shared" ref="H44" si="694">EDATE(G44,1)</f>
        <v>45505</v>
      </c>
      <c r="I44" s="20">
        <f t="shared" ref="I44" si="695">EDATE(H44,1)</f>
        <v>45536</v>
      </c>
      <c r="J44" s="20">
        <f t="shared" ref="J44" si="696">EDATE(I44,1)</f>
        <v>45566</v>
      </c>
      <c r="K44" s="20">
        <f t="shared" ref="K44" si="697">EDATE(J44,1)</f>
        <v>45597</v>
      </c>
      <c r="L44" s="20">
        <f t="shared" ref="L44" si="698">EDATE(K44,1)</f>
        <v>45627</v>
      </c>
      <c r="M44" s="20">
        <f t="shared" ref="M44" si="699">EDATE(L44,1)</f>
        <v>45658</v>
      </c>
      <c r="N44" s="21">
        <f t="shared" ref="N44" si="700">EDATE(M44,1)</f>
        <v>45689</v>
      </c>
      <c r="O44" s="20">
        <f t="shared" ref="O44" si="701">EDATE(N44,1)</f>
        <v>45717</v>
      </c>
      <c r="P44" s="20">
        <f t="shared" ref="P44" si="702">EDATE(O44,1)</f>
        <v>45748</v>
      </c>
      <c r="Q44" s="20">
        <f t="shared" ref="Q44" si="703">EDATE(P44,1)</f>
        <v>45778</v>
      </c>
      <c r="R44" s="20">
        <f t="shared" ref="R44" si="704">EDATE(Q44,1)</f>
        <v>45809</v>
      </c>
      <c r="S44" s="20">
        <f t="shared" ref="S44" si="705">EDATE(R44,1)</f>
        <v>45839</v>
      </c>
      <c r="T44" s="20">
        <f t="shared" ref="T44" si="706">EDATE(S44,1)</f>
        <v>45870</v>
      </c>
      <c r="U44" s="20">
        <f t="shared" ref="U44" si="707">EDATE(T44,1)</f>
        <v>45901</v>
      </c>
      <c r="V44" s="20">
        <f t="shared" ref="V44" si="708">EDATE(U44,1)</f>
        <v>45931</v>
      </c>
      <c r="W44" s="20">
        <f t="shared" ref="W44" si="709">EDATE(V44,1)</f>
        <v>45962</v>
      </c>
      <c r="X44" s="20">
        <f t="shared" ref="X44" si="710">EDATE(W44,1)</f>
        <v>45992</v>
      </c>
      <c r="Y44" s="20">
        <f t="shared" ref="Y44" si="711">EDATE(X44,1)</f>
        <v>46023</v>
      </c>
      <c r="Z44" s="21">
        <f t="shared" ref="Z44" si="712">EDATE(Y44,1)</f>
        <v>46054</v>
      </c>
      <c r="AA44" s="20">
        <f t="shared" ref="AA44" si="713">EDATE(Z44,1)</f>
        <v>46082</v>
      </c>
      <c r="AB44" s="20">
        <f t="shared" ref="AB44" si="714">EDATE(AA44,1)</f>
        <v>46113</v>
      </c>
      <c r="AC44" s="20">
        <f t="shared" ref="AC44" si="715">EDATE(AB44,1)</f>
        <v>46143</v>
      </c>
      <c r="AD44" s="20">
        <f t="shared" ref="AD44" si="716">EDATE(AC44,1)</f>
        <v>46174</v>
      </c>
      <c r="AE44" s="20">
        <f t="shared" ref="AE44" si="717">EDATE(AD44,1)</f>
        <v>46204</v>
      </c>
      <c r="AF44" s="20">
        <f t="shared" ref="AF44" si="718">EDATE(AE44,1)</f>
        <v>46235</v>
      </c>
      <c r="AG44" s="20">
        <f t="shared" ref="AG44" si="719">EDATE(AF44,1)</f>
        <v>46266</v>
      </c>
      <c r="AH44" s="20">
        <f t="shared" ref="AH44" si="720">EDATE(AG44,1)</f>
        <v>46296</v>
      </c>
      <c r="AI44" s="20">
        <f t="shared" ref="AI44" si="721">EDATE(AH44,1)</f>
        <v>46327</v>
      </c>
      <c r="AJ44" s="20">
        <f t="shared" ref="AJ44" si="722">EDATE(AI44,1)</f>
        <v>46357</v>
      </c>
      <c r="AK44" s="20">
        <f t="shared" ref="AK44" si="723">EDATE(AJ44,1)</f>
        <v>46388</v>
      </c>
      <c r="AL44" s="21">
        <f t="shared" ref="AL44" si="724">EDATE(AK44,1)</f>
        <v>46419</v>
      </c>
      <c r="AM44" s="20">
        <f t="shared" ref="AM44" si="725">EDATE(AL44,1)</f>
        <v>46447</v>
      </c>
      <c r="AN44" s="20">
        <f t="shared" ref="AN44" si="726">EDATE(AM44,1)</f>
        <v>46478</v>
      </c>
      <c r="AO44" s="20">
        <f t="shared" ref="AO44" si="727">EDATE(AN44,1)</f>
        <v>46508</v>
      </c>
      <c r="AP44" s="20">
        <f t="shared" ref="AP44" si="728">EDATE(AO44,1)</f>
        <v>46539</v>
      </c>
      <c r="AQ44" s="20">
        <f t="shared" ref="AQ44" si="729">EDATE(AP44,1)</f>
        <v>46569</v>
      </c>
      <c r="AR44" s="20">
        <f t="shared" ref="AR44" si="730">EDATE(AQ44,1)</f>
        <v>46600</v>
      </c>
      <c r="AS44" s="20">
        <f t="shared" ref="AS44" si="731">EDATE(AR44,1)</f>
        <v>46631</v>
      </c>
      <c r="AT44" s="20">
        <f t="shared" ref="AT44" si="732">EDATE(AS44,1)</f>
        <v>46661</v>
      </c>
      <c r="AU44" s="20">
        <f t="shared" ref="AU44" si="733">EDATE(AT44,1)</f>
        <v>46692</v>
      </c>
      <c r="AV44" s="20">
        <f t="shared" ref="AV44" si="734">EDATE(AU44,1)</f>
        <v>46722</v>
      </c>
      <c r="AW44" s="20">
        <f t="shared" ref="AW44" si="735">EDATE(AV44,1)</f>
        <v>46753</v>
      </c>
      <c r="AX44" s="21">
        <f t="shared" ref="AX44" si="736">EDATE(AW44,1)</f>
        <v>46784</v>
      </c>
      <c r="AY44" s="20">
        <f t="shared" ref="AY44" si="737">EDATE(AX44,1)</f>
        <v>46813</v>
      </c>
      <c r="AZ44" s="20">
        <f t="shared" ref="AZ44" si="738">EDATE(AY44,1)</f>
        <v>46844</v>
      </c>
      <c r="BA44" s="20">
        <f t="shared" ref="BA44" si="739">EDATE(AZ44,1)</f>
        <v>46874</v>
      </c>
      <c r="BB44" s="20">
        <f t="shared" ref="BB44" si="740">EDATE(BA44,1)</f>
        <v>46905</v>
      </c>
      <c r="BC44" s="20">
        <f t="shared" ref="BC44" si="741">EDATE(BB44,1)</f>
        <v>46935</v>
      </c>
      <c r="BD44" s="20">
        <f t="shared" ref="BD44" si="742">EDATE(BC44,1)</f>
        <v>46966</v>
      </c>
      <c r="BE44" s="20">
        <f t="shared" ref="BE44" si="743">EDATE(BD44,1)</f>
        <v>46997</v>
      </c>
      <c r="BF44" s="20">
        <f t="shared" ref="BF44" si="744">EDATE(BE44,1)</f>
        <v>47027</v>
      </c>
      <c r="BG44" s="20">
        <f t="shared" ref="BG44" si="745">EDATE(BF44,1)</f>
        <v>47058</v>
      </c>
      <c r="BH44" s="20">
        <f t="shared" ref="BH44" si="746">EDATE(BG44,1)</f>
        <v>47088</v>
      </c>
      <c r="BI44" s="20">
        <f t="shared" ref="BI44" si="747">EDATE(BH44,1)</f>
        <v>47119</v>
      </c>
      <c r="BJ44" s="21">
        <f t="shared" ref="BJ44" si="748">EDATE(BI44,1)</f>
        <v>47150</v>
      </c>
    </row>
    <row r="45" spans="1:62" x14ac:dyDescent="0.35">
      <c r="A45" s="15" t="str">
        <f>$A$44</f>
        <v>Capital Infusion - Plan</v>
      </c>
      <c r="B45" s="15" t="s">
        <v>160</v>
      </c>
      <c r="C45" s="16">
        <f>+SUM(C46:C48)</f>
        <v>0</v>
      </c>
      <c r="D45" s="17">
        <f t="shared" ref="D45" si="749">+SUM(D46:D48)</f>
        <v>0</v>
      </c>
      <c r="E45" s="17">
        <f t="shared" ref="E45" si="750">+SUM(E46:E48)</f>
        <v>0</v>
      </c>
      <c r="F45" s="17">
        <f t="shared" ref="F45" si="751">+SUM(F46:F48)</f>
        <v>0</v>
      </c>
      <c r="G45" s="17">
        <f t="shared" ref="G45" si="752">+SUM(G46:G48)</f>
        <v>0</v>
      </c>
      <c r="H45" s="17">
        <f t="shared" ref="H45" si="753">+SUM(H46:H48)</f>
        <v>0</v>
      </c>
      <c r="I45" s="17">
        <f t="shared" ref="I45" si="754">+SUM(I46:I48)</f>
        <v>0</v>
      </c>
      <c r="J45" s="17">
        <f t="shared" ref="J45" si="755">+SUM(J46:J48)</f>
        <v>0</v>
      </c>
      <c r="K45" s="17">
        <f t="shared" ref="K45" si="756">+SUM(K46:K48)</f>
        <v>0</v>
      </c>
      <c r="L45" s="17">
        <f t="shared" ref="L45" si="757">+SUM(L46:L48)</f>
        <v>0</v>
      </c>
      <c r="M45" s="17">
        <f t="shared" ref="M45" si="758">+SUM(M46:M48)</f>
        <v>0</v>
      </c>
      <c r="N45" s="18">
        <f t="shared" ref="N45" si="759">+SUM(N46:N48)</f>
        <v>0</v>
      </c>
      <c r="O45" s="17">
        <f t="shared" ref="O45" si="760">+SUM(O46:O48)</f>
        <v>0</v>
      </c>
      <c r="P45" s="17">
        <f t="shared" ref="P45" si="761">+SUM(P46:P48)</f>
        <v>0</v>
      </c>
      <c r="Q45" s="17">
        <f t="shared" ref="Q45" si="762">+SUM(Q46:Q48)</f>
        <v>0</v>
      </c>
      <c r="R45" s="17">
        <f t="shared" ref="R45" si="763">+SUM(R46:R48)</f>
        <v>0</v>
      </c>
      <c r="S45" s="17">
        <f t="shared" ref="S45" si="764">+SUM(S46:S48)</f>
        <v>0</v>
      </c>
      <c r="T45" s="17">
        <f t="shared" ref="T45" si="765">+SUM(T46:T48)</f>
        <v>0</v>
      </c>
      <c r="U45" s="17">
        <f t="shared" ref="U45" si="766">+SUM(U46:U48)</f>
        <v>0</v>
      </c>
      <c r="V45" s="17">
        <f t="shared" ref="V45" si="767">+SUM(V46:V48)</f>
        <v>0</v>
      </c>
      <c r="W45" s="17">
        <f t="shared" ref="W45" si="768">+SUM(W46:W48)</f>
        <v>0</v>
      </c>
      <c r="X45" s="17">
        <f t="shared" ref="X45" si="769">+SUM(X46:X48)</f>
        <v>0</v>
      </c>
      <c r="Y45" s="17">
        <f t="shared" ref="Y45" si="770">+SUM(Y46:Y48)</f>
        <v>0</v>
      </c>
      <c r="Z45" s="18">
        <f t="shared" ref="Z45" si="771">+SUM(Z46:Z48)</f>
        <v>0</v>
      </c>
      <c r="AA45" s="17">
        <f t="shared" ref="AA45" si="772">+SUM(AA46:AA48)</f>
        <v>0</v>
      </c>
      <c r="AB45" s="17">
        <f t="shared" ref="AB45" si="773">+SUM(AB46:AB48)</f>
        <v>0</v>
      </c>
      <c r="AC45" s="17">
        <f t="shared" ref="AC45" si="774">+SUM(AC46:AC48)</f>
        <v>0</v>
      </c>
      <c r="AD45" s="17">
        <f t="shared" ref="AD45" si="775">+SUM(AD46:AD48)</f>
        <v>0</v>
      </c>
      <c r="AE45" s="17">
        <f t="shared" ref="AE45" si="776">+SUM(AE46:AE48)</f>
        <v>0</v>
      </c>
      <c r="AF45" s="17">
        <f t="shared" ref="AF45" si="777">+SUM(AF46:AF48)</f>
        <v>0</v>
      </c>
      <c r="AG45" s="17">
        <f t="shared" ref="AG45" si="778">+SUM(AG46:AG48)</f>
        <v>0</v>
      </c>
      <c r="AH45" s="17">
        <f t="shared" ref="AH45" si="779">+SUM(AH46:AH48)</f>
        <v>0</v>
      </c>
      <c r="AI45" s="17">
        <f t="shared" ref="AI45" si="780">+SUM(AI46:AI48)</f>
        <v>0</v>
      </c>
      <c r="AJ45" s="17">
        <f t="shared" ref="AJ45" si="781">+SUM(AJ46:AJ48)</f>
        <v>0</v>
      </c>
      <c r="AK45" s="17">
        <f t="shared" ref="AK45" si="782">+SUM(AK46:AK48)</f>
        <v>0</v>
      </c>
      <c r="AL45" s="18">
        <f t="shared" ref="AL45" si="783">+SUM(AL46:AL48)</f>
        <v>0</v>
      </c>
      <c r="AM45" s="17">
        <f t="shared" ref="AM45" si="784">+SUM(AM46:AM48)</f>
        <v>0</v>
      </c>
      <c r="AN45" s="17">
        <f t="shared" ref="AN45" si="785">+SUM(AN46:AN48)</f>
        <v>0</v>
      </c>
      <c r="AO45" s="17">
        <f t="shared" ref="AO45" si="786">+SUM(AO46:AO48)</f>
        <v>0</v>
      </c>
      <c r="AP45" s="17">
        <f t="shared" ref="AP45" si="787">+SUM(AP46:AP48)</f>
        <v>0</v>
      </c>
      <c r="AQ45" s="17">
        <f t="shared" ref="AQ45" si="788">+SUM(AQ46:AQ48)</f>
        <v>0</v>
      </c>
      <c r="AR45" s="17">
        <f t="shared" ref="AR45" si="789">+SUM(AR46:AR48)</f>
        <v>0</v>
      </c>
      <c r="AS45" s="17">
        <f t="shared" ref="AS45" si="790">+SUM(AS46:AS48)</f>
        <v>0</v>
      </c>
      <c r="AT45" s="17">
        <f t="shared" ref="AT45" si="791">+SUM(AT46:AT48)</f>
        <v>0</v>
      </c>
      <c r="AU45" s="17">
        <f t="shared" ref="AU45" si="792">+SUM(AU46:AU48)</f>
        <v>0</v>
      </c>
      <c r="AV45" s="17">
        <f t="shared" ref="AV45" si="793">+SUM(AV46:AV48)</f>
        <v>0</v>
      </c>
      <c r="AW45" s="17">
        <f t="shared" ref="AW45" si="794">+SUM(AW46:AW48)</f>
        <v>0</v>
      </c>
      <c r="AX45" s="18">
        <f t="shared" ref="AX45" si="795">+SUM(AX46:AX48)</f>
        <v>0</v>
      </c>
      <c r="AY45" s="17">
        <f t="shared" ref="AY45" si="796">+SUM(AY46:AY48)</f>
        <v>0</v>
      </c>
      <c r="AZ45" s="17">
        <f t="shared" ref="AZ45" si="797">+SUM(AZ46:AZ48)</f>
        <v>0</v>
      </c>
      <c r="BA45" s="17">
        <f t="shared" ref="BA45" si="798">+SUM(BA46:BA48)</f>
        <v>0</v>
      </c>
      <c r="BB45" s="17">
        <f t="shared" ref="BB45" si="799">+SUM(BB46:BB48)</f>
        <v>0</v>
      </c>
      <c r="BC45" s="17">
        <f t="shared" ref="BC45" si="800">+SUM(BC46:BC48)</f>
        <v>0</v>
      </c>
      <c r="BD45" s="17">
        <f t="shared" ref="BD45" si="801">+SUM(BD46:BD48)</f>
        <v>0</v>
      </c>
      <c r="BE45" s="17">
        <f t="shared" ref="BE45" si="802">+SUM(BE46:BE48)</f>
        <v>0</v>
      </c>
      <c r="BF45" s="17">
        <f t="shared" ref="BF45" si="803">+SUM(BF46:BF48)</f>
        <v>0</v>
      </c>
      <c r="BG45" s="17">
        <f t="shared" ref="BG45" si="804">+SUM(BG46:BG48)</f>
        <v>0</v>
      </c>
      <c r="BH45" s="17">
        <f t="shared" ref="BH45" si="805">+SUM(BH46:BH48)</f>
        <v>0</v>
      </c>
      <c r="BI45" s="17">
        <f t="shared" ref="BI45" si="806">+SUM(BI46:BI48)</f>
        <v>0</v>
      </c>
      <c r="BJ45" s="18">
        <f t="shared" ref="BJ45" si="807">+SUM(BJ46:BJ48)</f>
        <v>0</v>
      </c>
    </row>
    <row r="46" spans="1:62" x14ac:dyDescent="0.35">
      <c r="A46" s="1" t="str">
        <f>$A$44</f>
        <v>Capital Infusion - Plan</v>
      </c>
      <c r="B46" s="1" t="s">
        <v>157</v>
      </c>
      <c r="C46" s="52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4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4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4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4"/>
      <c r="AY46" s="53"/>
      <c r="AZ46" s="53"/>
      <c r="BA46" s="53"/>
      <c r="BB46" s="53"/>
      <c r="BC46" s="53"/>
      <c r="BD46" s="53"/>
      <c r="BE46" s="53"/>
      <c r="BF46" s="53"/>
      <c r="BG46" s="53"/>
      <c r="BH46" s="53"/>
      <c r="BI46" s="53"/>
      <c r="BJ46" s="54"/>
    </row>
    <row r="47" spans="1:62" x14ac:dyDescent="0.35">
      <c r="A47" s="2" t="str">
        <f>$A$44</f>
        <v>Capital Infusion - Plan</v>
      </c>
      <c r="B47" s="2" t="s">
        <v>158</v>
      </c>
      <c r="C47" s="55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7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7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7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57"/>
      <c r="AY47" s="56"/>
      <c r="AZ47" s="56"/>
      <c r="BA47" s="56"/>
      <c r="BB47" s="56"/>
      <c r="BC47" s="56"/>
      <c r="BD47" s="56"/>
      <c r="BE47" s="56"/>
      <c r="BF47" s="56"/>
      <c r="BG47" s="56"/>
      <c r="BH47" s="56"/>
      <c r="BI47" s="56"/>
      <c r="BJ47" s="57"/>
    </row>
    <row r="48" spans="1:62" x14ac:dyDescent="0.35">
      <c r="A48" s="3" t="str">
        <f>$A$44</f>
        <v>Capital Infusion - Plan</v>
      </c>
      <c r="B48" s="3" t="s">
        <v>159</v>
      </c>
      <c r="C48" s="58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60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60"/>
      <c r="AA48" s="59"/>
      <c r="AB48" s="59"/>
      <c r="AC48" s="59"/>
      <c r="AD48" s="59"/>
      <c r="AE48" s="59"/>
      <c r="AF48" s="59"/>
      <c r="AG48" s="59"/>
      <c r="AH48" s="59"/>
      <c r="AI48" s="59"/>
      <c r="AJ48" s="59"/>
      <c r="AK48" s="59"/>
      <c r="AL48" s="60"/>
      <c r="AM48" s="59"/>
      <c r="AN48" s="59"/>
      <c r="AO48" s="59"/>
      <c r="AP48" s="59"/>
      <c r="AQ48" s="59"/>
      <c r="AR48" s="59"/>
      <c r="AS48" s="59"/>
      <c r="AT48" s="59"/>
      <c r="AU48" s="59"/>
      <c r="AV48" s="59"/>
      <c r="AW48" s="59"/>
      <c r="AX48" s="60"/>
      <c r="AY48" s="59"/>
      <c r="AZ48" s="59"/>
      <c r="BA48" s="59"/>
      <c r="BB48" s="59"/>
      <c r="BC48" s="59"/>
      <c r="BD48" s="59"/>
      <c r="BE48" s="59"/>
      <c r="BF48" s="59"/>
      <c r="BG48" s="59"/>
      <c r="BH48" s="59"/>
      <c r="BI48" s="59"/>
      <c r="BJ48" s="60"/>
    </row>
  </sheetData>
  <conditionalFormatting sqref="C3:BJ3">
    <cfRule type="expression" dxfId="275" priority="22">
      <formula>C$1="SL3"</formula>
    </cfRule>
    <cfRule type="expression" dxfId="274" priority="23">
      <formula>C$1="SL2"</formula>
    </cfRule>
    <cfRule type="expression" dxfId="273" priority="24">
      <formula>C$1="SL1"</formula>
    </cfRule>
  </conditionalFormatting>
  <conditionalFormatting sqref="C9:BJ9">
    <cfRule type="expression" dxfId="272" priority="19">
      <formula>C$1="SL3"</formula>
    </cfRule>
    <cfRule type="expression" dxfId="271" priority="20">
      <formula>C$1="SL2"</formula>
    </cfRule>
    <cfRule type="expression" dxfId="270" priority="21">
      <formula>C$1="SL1"</formula>
    </cfRule>
  </conditionalFormatting>
  <conditionalFormatting sqref="C15:BJ15">
    <cfRule type="expression" dxfId="269" priority="16">
      <formula>C$1="SL3"</formula>
    </cfRule>
    <cfRule type="expression" dxfId="268" priority="17">
      <formula>C$1="SL2"</formula>
    </cfRule>
    <cfRule type="expression" dxfId="267" priority="18">
      <formula>C$1="SL1"</formula>
    </cfRule>
  </conditionalFormatting>
  <conditionalFormatting sqref="C21:BJ21">
    <cfRule type="expression" dxfId="266" priority="13">
      <formula>C$1="SL3"</formula>
    </cfRule>
    <cfRule type="expression" dxfId="265" priority="14">
      <formula>C$1="SL2"</formula>
    </cfRule>
    <cfRule type="expression" dxfId="264" priority="15">
      <formula>C$1="SL1"</formula>
    </cfRule>
  </conditionalFormatting>
  <conditionalFormatting sqref="C27:BJ27">
    <cfRule type="expression" dxfId="263" priority="10">
      <formula>C$1="SL3"</formula>
    </cfRule>
    <cfRule type="expression" dxfId="262" priority="11">
      <formula>C$1="SL2"</formula>
    </cfRule>
    <cfRule type="expression" dxfId="261" priority="12">
      <formula>C$1="SL1"</formula>
    </cfRule>
  </conditionalFormatting>
  <conditionalFormatting sqref="C33:BJ33">
    <cfRule type="expression" dxfId="260" priority="7">
      <formula>C$1="SL3"</formula>
    </cfRule>
    <cfRule type="expression" dxfId="259" priority="8">
      <formula>C$1="SL2"</formula>
    </cfRule>
    <cfRule type="expression" dxfId="258" priority="9">
      <formula>C$1="SL1"</formula>
    </cfRule>
  </conditionalFormatting>
  <conditionalFormatting sqref="C39:BJ39">
    <cfRule type="expression" dxfId="257" priority="4">
      <formula>C$1="SL3"</formula>
    </cfRule>
    <cfRule type="expression" dxfId="256" priority="5">
      <formula>C$1="SL2"</formula>
    </cfRule>
    <cfRule type="expression" dxfId="255" priority="6">
      <formula>C$1="SL1"</formula>
    </cfRule>
  </conditionalFormatting>
  <conditionalFormatting sqref="C45:BJ45">
    <cfRule type="expression" dxfId="254" priority="1">
      <formula>C$1="SL3"</formula>
    </cfRule>
    <cfRule type="expression" dxfId="253" priority="2">
      <formula>C$1="SL2"</formula>
    </cfRule>
    <cfRule type="expression" dxfId="252" priority="3">
      <formula>C$1="SL1"</formula>
    </cfRule>
  </conditionalFormatting>
  <hyperlinks>
    <hyperlink ref="A1" location="Index!C7" display="Back - Index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EJ42"/>
  <sheetViews>
    <sheetView showGridLines="0" zoomScale="90" zoomScaleNormal="90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G10" sqref="G10"/>
    </sheetView>
  </sheetViews>
  <sheetFormatPr defaultRowHeight="14.5" x14ac:dyDescent="0.35"/>
  <cols>
    <col min="2" max="2" width="9.1796875" bestFit="1" customWidth="1"/>
    <col min="3" max="3" width="4.81640625" style="137" customWidth="1"/>
    <col min="4" max="4" width="11.54296875" bestFit="1" customWidth="1"/>
    <col min="5" max="5" width="6.81640625" bestFit="1" customWidth="1"/>
    <col min="7" max="7" width="10.54296875" customWidth="1"/>
    <col min="9" max="9" width="8.54296875" bestFit="1" customWidth="1"/>
    <col min="10" max="10" width="6.81640625" bestFit="1" customWidth="1"/>
    <col min="13" max="13" width="10.90625" customWidth="1"/>
    <col min="18" max="42" width="9.1796875" customWidth="1"/>
    <col min="43" max="65" width="9.1796875" hidden="1" customWidth="1"/>
    <col min="67" max="67" width="9.81640625" bestFit="1" customWidth="1"/>
    <col min="71" max="71" width="11.81640625" customWidth="1"/>
    <col min="132" max="132" width="8.1796875" customWidth="1"/>
    <col min="134" max="134" width="10.453125" customWidth="1"/>
    <col min="137" max="137" width="11.1796875" customWidth="1"/>
    <col min="139" max="139" width="10.1796875" customWidth="1"/>
  </cols>
  <sheetData>
    <row r="1" spans="1:140" x14ac:dyDescent="0.35">
      <c r="D1" s="121" t="s">
        <v>117</v>
      </c>
      <c r="F1" s="171" t="str">
        <f>LOOKUP(F4,'Input-Stress Parameters'!$C$9:$BJ$9,'Input-Stress Parameters'!$C$11:$BJ$11)</f>
        <v>N</v>
      </c>
      <c r="G1" s="171" t="str">
        <f>LOOKUP(G4,'Input-Stress Parameters'!$C$9:$BJ$9,'Input-Stress Parameters'!$C$11:$BJ$11)</f>
        <v>SL1</v>
      </c>
      <c r="H1" s="171" t="str">
        <f>LOOKUP(H4,'Input-Stress Parameters'!$C$9:$BJ$9,'Input-Stress Parameters'!$C$11:$BJ$11)</f>
        <v>SL1</v>
      </c>
      <c r="I1" s="171" t="str">
        <f>LOOKUP(I4,'Input-Stress Parameters'!$C$9:$BJ$9,'Input-Stress Parameters'!$C$11:$BJ$11)</f>
        <v>SL1</v>
      </c>
      <c r="J1" s="171" t="str">
        <f>LOOKUP(J4,'Input-Stress Parameters'!$C$9:$BJ$9,'Input-Stress Parameters'!$C$11:$BJ$11)</f>
        <v>SL1</v>
      </c>
      <c r="K1" s="171" t="str">
        <f>LOOKUP(K4,'Input-Stress Parameters'!$C$9:$BJ$9,'Input-Stress Parameters'!$C$11:$BJ$11)</f>
        <v>SL1</v>
      </c>
      <c r="L1" s="171" t="str">
        <f>LOOKUP(L4,'Input-Stress Parameters'!$C$9:$BJ$9,'Input-Stress Parameters'!$C$11:$BJ$11)</f>
        <v>SL1</v>
      </c>
      <c r="M1" s="171" t="str">
        <f>LOOKUP(M4,'Input-Stress Parameters'!$C$9:$BJ$9,'Input-Stress Parameters'!$C$11:$BJ$11)</f>
        <v>SL2</v>
      </c>
      <c r="N1" s="171" t="str">
        <f>LOOKUP(N4,'Input-Stress Parameters'!$C$9:$BJ$9,'Input-Stress Parameters'!$C$11:$BJ$11)</f>
        <v>SL2</v>
      </c>
      <c r="O1" s="171" t="str">
        <f>LOOKUP(O4,'Input-Stress Parameters'!$C$9:$BJ$9,'Input-Stress Parameters'!$C$11:$BJ$11)</f>
        <v>SL2</v>
      </c>
      <c r="P1" s="171" t="str">
        <f>LOOKUP(P4,'Input-Stress Parameters'!$C$9:$BJ$9,'Input-Stress Parameters'!$C$11:$BJ$11)</f>
        <v>SL2</v>
      </c>
      <c r="Q1" s="171" t="str">
        <f>LOOKUP(Q4,'Input-Stress Parameters'!$C$9:$BJ$9,'Input-Stress Parameters'!$C$11:$BJ$11)</f>
        <v>SL2</v>
      </c>
      <c r="R1" s="171" t="str">
        <f>LOOKUP(R4,'Input-Stress Parameters'!$C$9:$BJ$9,'Input-Stress Parameters'!$C$11:$BJ$11)</f>
        <v>SL2</v>
      </c>
      <c r="S1" s="171" t="str">
        <f>LOOKUP(S4,'Input-Stress Parameters'!$C$9:$BJ$9,'Input-Stress Parameters'!$C$11:$BJ$11)</f>
        <v>SL2</v>
      </c>
      <c r="T1" s="171" t="str">
        <f>LOOKUP(T4,'Input-Stress Parameters'!$C$9:$BJ$9,'Input-Stress Parameters'!$C$11:$BJ$11)</f>
        <v>SL2</v>
      </c>
      <c r="U1" s="171" t="str">
        <f>LOOKUP(U4,'Input-Stress Parameters'!$C$9:$BJ$9,'Input-Stress Parameters'!$C$11:$BJ$11)</f>
        <v>SL2</v>
      </c>
      <c r="V1" s="171" t="str">
        <f>LOOKUP(V4,'Input-Stress Parameters'!$C$9:$BJ$9,'Input-Stress Parameters'!$C$11:$BJ$11)</f>
        <v>SL2</v>
      </c>
      <c r="W1" s="171" t="str">
        <f>LOOKUP(W4,'Input-Stress Parameters'!$C$9:$BJ$9,'Input-Stress Parameters'!$C$11:$BJ$11)</f>
        <v>SL2</v>
      </c>
      <c r="X1" s="171" t="str">
        <f>LOOKUP(X4,'Input-Stress Parameters'!$C$9:$BJ$9,'Input-Stress Parameters'!$C$11:$BJ$11)</f>
        <v>SL2</v>
      </c>
      <c r="Y1" s="171" t="str">
        <f>LOOKUP(Y4,'Input-Stress Parameters'!$C$9:$BJ$9,'Input-Stress Parameters'!$C$11:$BJ$11)</f>
        <v>SL3</v>
      </c>
      <c r="Z1" s="171" t="str">
        <f>LOOKUP(Z4,'Input-Stress Parameters'!$C$9:$BJ$9,'Input-Stress Parameters'!$C$11:$BJ$11)</f>
        <v>SL3</v>
      </c>
      <c r="AA1" s="171" t="str">
        <f>LOOKUP(AA4,'Input-Stress Parameters'!$C$9:$BJ$9,'Input-Stress Parameters'!$C$11:$BJ$11)</f>
        <v>SL3</v>
      </c>
      <c r="AB1" s="171" t="str">
        <f>LOOKUP(AB4,'Input-Stress Parameters'!$C$9:$BJ$9,'Input-Stress Parameters'!$C$11:$BJ$11)</f>
        <v>SL3</v>
      </c>
      <c r="AC1" s="171" t="str">
        <f>LOOKUP(AC4,'Input-Stress Parameters'!$C$9:$BJ$9,'Input-Stress Parameters'!$C$11:$BJ$11)</f>
        <v>SL3</v>
      </c>
      <c r="AD1" s="171" t="str">
        <f>LOOKUP(AD4,'Input-Stress Parameters'!$C$9:$BJ$9,'Input-Stress Parameters'!$C$11:$BJ$11)</f>
        <v>SL3</v>
      </c>
      <c r="AE1" s="171" t="str">
        <f>LOOKUP(AE4,'Input-Stress Parameters'!$C$9:$BJ$9,'Input-Stress Parameters'!$C$11:$BJ$11)</f>
        <v>SL3</v>
      </c>
      <c r="AF1" s="171" t="str">
        <f>LOOKUP(AF4,'Input-Stress Parameters'!$C$9:$BJ$9,'Input-Stress Parameters'!$C$11:$BJ$11)</f>
        <v>SL3</v>
      </c>
      <c r="AG1" s="171" t="str">
        <f>LOOKUP(AG4,'Input-Stress Parameters'!$C$9:$BJ$9,'Input-Stress Parameters'!$C$11:$BJ$11)</f>
        <v>SL3</v>
      </c>
      <c r="AH1" s="171" t="str">
        <f>LOOKUP(AH4,'Input-Stress Parameters'!$C$9:$BJ$9,'Input-Stress Parameters'!$C$11:$BJ$11)</f>
        <v>SL3</v>
      </c>
      <c r="AI1" s="171" t="str">
        <f>LOOKUP(AI4,'Input-Stress Parameters'!$C$9:$BJ$9,'Input-Stress Parameters'!$C$11:$BJ$11)</f>
        <v>SL3</v>
      </c>
      <c r="AJ1" s="171" t="str">
        <f>LOOKUP(AJ4,'Input-Stress Parameters'!$C$9:$BJ$9,'Input-Stress Parameters'!$C$11:$BJ$11)</f>
        <v>SL3</v>
      </c>
      <c r="AK1" s="171" t="str">
        <f>LOOKUP(AK4,'Input-Stress Parameters'!$C$9:$BJ$9,'Input-Stress Parameters'!$C$11:$BJ$11)</f>
        <v>N</v>
      </c>
      <c r="AL1" s="171" t="str">
        <f>LOOKUP(AL4,'Input-Stress Parameters'!$C$9:$BJ$9,'Input-Stress Parameters'!$C$11:$BJ$11)</f>
        <v>N</v>
      </c>
      <c r="AM1" s="171" t="str">
        <f>LOOKUP(AM4,'Input-Stress Parameters'!$C$9:$BJ$9,'Input-Stress Parameters'!$C$11:$BJ$11)</f>
        <v>N</v>
      </c>
      <c r="AN1" s="171" t="str">
        <f>LOOKUP(AN4,'Input-Stress Parameters'!$C$9:$BJ$9,'Input-Stress Parameters'!$C$11:$BJ$11)</f>
        <v>N</v>
      </c>
      <c r="AO1" s="171" t="str">
        <f>LOOKUP(AO4,'Input-Stress Parameters'!$C$9:$BJ$9,'Input-Stress Parameters'!$C$11:$BJ$11)</f>
        <v>N</v>
      </c>
      <c r="AP1" s="171" t="str">
        <f>LOOKUP(AP4,'Input-Stress Parameters'!$C$9:$BJ$9,'Input-Stress Parameters'!$C$11:$BJ$11)</f>
        <v>N</v>
      </c>
      <c r="AQ1" s="171" t="str">
        <f>LOOKUP(AQ4,'Input-Stress Parameters'!$C$9:$BJ$9,'Input-Stress Parameters'!$C$11:$BJ$11)</f>
        <v>N</v>
      </c>
      <c r="AR1" s="171" t="str">
        <f>LOOKUP(AR4,'Input-Stress Parameters'!$C$9:$BJ$9,'Input-Stress Parameters'!$C$11:$BJ$11)</f>
        <v>N</v>
      </c>
      <c r="AS1" s="171" t="str">
        <f>LOOKUP(AS4,'Input-Stress Parameters'!$C$9:$BJ$9,'Input-Stress Parameters'!$C$11:$BJ$11)</f>
        <v>N</v>
      </c>
      <c r="AT1" s="171" t="str">
        <f>LOOKUP(AT4,'Input-Stress Parameters'!$C$9:$BJ$9,'Input-Stress Parameters'!$C$11:$BJ$11)</f>
        <v>N</v>
      </c>
      <c r="AU1" s="171" t="str">
        <f>LOOKUP(AU4,'Input-Stress Parameters'!$C$9:$BJ$9,'Input-Stress Parameters'!$C$11:$BJ$11)</f>
        <v>N</v>
      </c>
      <c r="AV1" s="171" t="str">
        <f>LOOKUP(AV4,'Input-Stress Parameters'!$C$9:$BJ$9,'Input-Stress Parameters'!$C$11:$BJ$11)</f>
        <v>N</v>
      </c>
      <c r="AW1" s="171" t="str">
        <f>LOOKUP(AW4,'Input-Stress Parameters'!$C$9:$BJ$9,'Input-Stress Parameters'!$C$11:$BJ$11)</f>
        <v>N</v>
      </c>
      <c r="AX1" s="171" t="str">
        <f>LOOKUP(AX4,'Input-Stress Parameters'!$C$9:$BJ$9,'Input-Stress Parameters'!$C$11:$BJ$11)</f>
        <v>N</v>
      </c>
      <c r="AY1" s="171" t="str">
        <f>LOOKUP(AY4,'Input-Stress Parameters'!$C$9:$BJ$9,'Input-Stress Parameters'!$C$11:$BJ$11)</f>
        <v>N</v>
      </c>
      <c r="AZ1" s="171" t="str">
        <f>LOOKUP(AZ4,'Input-Stress Parameters'!$C$9:$BJ$9,'Input-Stress Parameters'!$C$11:$BJ$11)</f>
        <v>N</v>
      </c>
      <c r="BA1" s="171" t="str">
        <f>LOOKUP(BA4,'Input-Stress Parameters'!$C$9:$BJ$9,'Input-Stress Parameters'!$C$11:$BJ$11)</f>
        <v>N</v>
      </c>
      <c r="BB1" s="171" t="str">
        <f>LOOKUP(BB4,'Input-Stress Parameters'!$C$9:$BJ$9,'Input-Stress Parameters'!$C$11:$BJ$11)</f>
        <v>N</v>
      </c>
      <c r="BC1" s="171" t="str">
        <f>LOOKUP(BC4,'Input-Stress Parameters'!$C$9:$BJ$9,'Input-Stress Parameters'!$C$11:$BJ$11)</f>
        <v>N</v>
      </c>
      <c r="BD1" s="171" t="str">
        <f>LOOKUP(BD4,'Input-Stress Parameters'!$C$9:$BJ$9,'Input-Stress Parameters'!$C$11:$BJ$11)</f>
        <v>N</v>
      </c>
      <c r="BE1" s="171" t="str">
        <f>LOOKUP(BE4,'Input-Stress Parameters'!$C$9:$BJ$9,'Input-Stress Parameters'!$C$11:$BJ$11)</f>
        <v>N</v>
      </c>
      <c r="BF1" s="171" t="str">
        <f>LOOKUP(BF4,'Input-Stress Parameters'!$C$9:$BJ$9,'Input-Stress Parameters'!$C$11:$BJ$11)</f>
        <v>N</v>
      </c>
      <c r="BG1" s="171" t="str">
        <f>LOOKUP(BG4,'Input-Stress Parameters'!$C$9:$BJ$9,'Input-Stress Parameters'!$C$11:$BJ$11)</f>
        <v>N</v>
      </c>
      <c r="BH1" s="171" t="str">
        <f>LOOKUP(BH4,'Input-Stress Parameters'!$C$9:$BJ$9,'Input-Stress Parameters'!$C$11:$BJ$11)</f>
        <v>N</v>
      </c>
      <c r="BI1" s="171" t="str">
        <f>LOOKUP(BI4,'Input-Stress Parameters'!$C$9:$BJ$9,'Input-Stress Parameters'!$C$11:$BJ$11)</f>
        <v>N</v>
      </c>
      <c r="BJ1" s="171" t="str">
        <f>LOOKUP(BJ4,'Input-Stress Parameters'!$C$9:$BJ$9,'Input-Stress Parameters'!$C$11:$BJ$11)</f>
        <v>N</v>
      </c>
      <c r="BK1" s="171" t="str">
        <f>LOOKUP(BK4,'Input-Stress Parameters'!$C$9:$BJ$9,'Input-Stress Parameters'!$C$11:$BJ$11)</f>
        <v>N</v>
      </c>
      <c r="BL1" s="171" t="str">
        <f>LOOKUP(BL4,'Input-Stress Parameters'!$C$9:$BJ$9,'Input-Stress Parameters'!$C$11:$BJ$11)</f>
        <v>N</v>
      </c>
      <c r="BM1" s="171" t="str">
        <f>LOOKUP(BM4,'Input-Stress Parameters'!$C$9:$BJ$9,'Input-Stress Parameters'!$C$11:$BJ$11)</f>
        <v>N</v>
      </c>
      <c r="BQ1" s="28" t="e">
        <f>LOOKUP(BQ4,'Input-Stress Parameters'!$C$9:$BJ$9,'Input-Stress Parameters'!$C$11:$BJ$11)</f>
        <v>#N/A</v>
      </c>
      <c r="BR1" s="28" t="e">
        <f>LOOKUP(BR4,'Input-Stress Parameters'!$C$9:$BJ$9,'Input-Stress Parameters'!$C$11:$BJ$11)</f>
        <v>#N/A</v>
      </c>
      <c r="BS1" s="28" t="e">
        <f>LOOKUP(BS4,'Input-Stress Parameters'!$C$9:$BJ$9,'Input-Stress Parameters'!$C$11:$BJ$11)</f>
        <v>#N/A</v>
      </c>
      <c r="BT1" s="28" t="e">
        <f>LOOKUP(BT4,'Input-Stress Parameters'!$C$9:$BJ$9,'Input-Stress Parameters'!$C$11:$BJ$11)</f>
        <v>#N/A</v>
      </c>
      <c r="BU1" s="28" t="e">
        <f>LOOKUP(BU4,'Input-Stress Parameters'!$C$9:$BJ$9,'Input-Stress Parameters'!$C$11:$BJ$11)</f>
        <v>#N/A</v>
      </c>
      <c r="BV1" s="28" t="e">
        <f>LOOKUP(BV4,'Input-Stress Parameters'!$C$9:$BJ$9,'Input-Stress Parameters'!$C$11:$BJ$11)</f>
        <v>#N/A</v>
      </c>
      <c r="BW1" s="28" t="e">
        <f>LOOKUP(BW4,'Input-Stress Parameters'!$C$9:$BJ$9,'Input-Stress Parameters'!$C$11:$BJ$11)</f>
        <v>#N/A</v>
      </c>
      <c r="BX1" s="28" t="e">
        <f>LOOKUP(BX4,'Input-Stress Parameters'!$C$9:$BJ$9,'Input-Stress Parameters'!$C$11:$BJ$11)</f>
        <v>#N/A</v>
      </c>
      <c r="BY1" s="28" t="e">
        <f>LOOKUP(BY4,'Input-Stress Parameters'!$C$9:$BJ$9,'Input-Stress Parameters'!$C$11:$BJ$11)</f>
        <v>#N/A</v>
      </c>
      <c r="BZ1" s="28" t="e">
        <f>LOOKUP(BZ4,'Input-Stress Parameters'!$C$9:$BJ$9,'Input-Stress Parameters'!$C$11:$BJ$11)</f>
        <v>#N/A</v>
      </c>
      <c r="CA1" s="28" t="e">
        <f>LOOKUP(CA4,'Input-Stress Parameters'!$C$9:$BJ$9,'Input-Stress Parameters'!$C$11:$BJ$11)</f>
        <v>#N/A</v>
      </c>
      <c r="CB1" s="28" t="str">
        <f>LOOKUP(CB4,'Input-Stress Parameters'!$C$9:$BJ$9,'Input-Stress Parameters'!$C$11:$BJ$11)</f>
        <v>N</v>
      </c>
      <c r="CC1" s="28" t="str">
        <f>LOOKUP(CC4,'Input-Stress Parameters'!$C$9:$BJ$9,'Input-Stress Parameters'!$C$11:$BJ$11)</f>
        <v>SL1</v>
      </c>
      <c r="CD1" s="28" t="str">
        <f>LOOKUP(CD4,'Input-Stress Parameters'!$C$9:$BJ$9,'Input-Stress Parameters'!$C$11:$BJ$11)</f>
        <v>SL1</v>
      </c>
      <c r="CE1" s="28" t="str">
        <f>LOOKUP(CE4,'Input-Stress Parameters'!$C$9:$BJ$9,'Input-Stress Parameters'!$C$11:$BJ$11)</f>
        <v>SL1</v>
      </c>
      <c r="CF1" s="28" t="str">
        <f>LOOKUP(CF4,'Input-Stress Parameters'!$C$9:$BJ$9,'Input-Stress Parameters'!$C$11:$BJ$11)</f>
        <v>SL1</v>
      </c>
      <c r="CG1" s="28" t="str">
        <f>LOOKUP(CG4,'Input-Stress Parameters'!$C$9:$BJ$9,'Input-Stress Parameters'!$C$11:$BJ$11)</f>
        <v>SL1</v>
      </c>
      <c r="CH1" s="28" t="str">
        <f>LOOKUP(CH4,'Input-Stress Parameters'!$C$9:$BJ$9,'Input-Stress Parameters'!$C$11:$BJ$11)</f>
        <v>SL1</v>
      </c>
      <c r="CI1" s="28" t="str">
        <f>LOOKUP(CI4,'Input-Stress Parameters'!$C$9:$BJ$9,'Input-Stress Parameters'!$C$11:$BJ$11)</f>
        <v>SL2</v>
      </c>
      <c r="CJ1" s="28" t="str">
        <f>LOOKUP(CJ4,'Input-Stress Parameters'!$C$9:$BJ$9,'Input-Stress Parameters'!$C$11:$BJ$11)</f>
        <v>SL2</v>
      </c>
      <c r="CK1" s="28" t="str">
        <f>LOOKUP(CK4,'Input-Stress Parameters'!$C$9:$BJ$9,'Input-Stress Parameters'!$C$11:$BJ$11)</f>
        <v>SL2</v>
      </c>
      <c r="CL1" s="28" t="str">
        <f>LOOKUP(CL4,'Input-Stress Parameters'!$C$9:$BJ$9,'Input-Stress Parameters'!$C$11:$BJ$11)</f>
        <v>SL2</v>
      </c>
      <c r="CM1" s="28" t="str">
        <f>LOOKUP(CM4,'Input-Stress Parameters'!$C$9:$BJ$9,'Input-Stress Parameters'!$C$11:$BJ$11)</f>
        <v>SL2</v>
      </c>
      <c r="CN1" s="28" t="str">
        <f>LOOKUP(CN4,'Input-Stress Parameters'!$C$9:$BJ$9,'Input-Stress Parameters'!$C$11:$BJ$11)</f>
        <v>SL2</v>
      </c>
      <c r="CO1" s="28" t="str">
        <f>LOOKUP(CO4,'Input-Stress Parameters'!$C$9:$BJ$9,'Input-Stress Parameters'!$C$11:$BJ$11)</f>
        <v>SL2</v>
      </c>
      <c r="CP1" s="28" t="str">
        <f>LOOKUP(CP4,'Input-Stress Parameters'!$C$9:$BJ$9,'Input-Stress Parameters'!$C$11:$BJ$11)</f>
        <v>SL2</v>
      </c>
      <c r="CQ1" s="28" t="str">
        <f>LOOKUP(CQ4,'Input-Stress Parameters'!$C$9:$BJ$9,'Input-Stress Parameters'!$C$11:$BJ$11)</f>
        <v>SL2</v>
      </c>
      <c r="CR1" s="28" t="str">
        <f>LOOKUP(CR4,'Input-Stress Parameters'!$C$9:$BJ$9,'Input-Stress Parameters'!$C$11:$BJ$11)</f>
        <v>SL2</v>
      </c>
      <c r="CS1" s="28" t="str">
        <f>LOOKUP(CS4,'Input-Stress Parameters'!$C$9:$BJ$9,'Input-Stress Parameters'!$C$11:$BJ$11)</f>
        <v>SL2</v>
      </c>
      <c r="CT1" s="28" t="str">
        <f>LOOKUP(CT4,'Input-Stress Parameters'!$C$9:$BJ$9,'Input-Stress Parameters'!$C$11:$BJ$11)</f>
        <v>SL2</v>
      </c>
      <c r="CU1" s="28" t="str">
        <f>LOOKUP(CU4,'Input-Stress Parameters'!$C$9:$BJ$9,'Input-Stress Parameters'!$C$11:$BJ$11)</f>
        <v>SL3</v>
      </c>
      <c r="CV1" s="28" t="str">
        <f>LOOKUP(CV4,'Input-Stress Parameters'!$C$9:$BJ$9,'Input-Stress Parameters'!$C$11:$BJ$11)</f>
        <v>SL3</v>
      </c>
      <c r="CW1" s="28" t="str">
        <f>LOOKUP(CW4,'Input-Stress Parameters'!$C$9:$BJ$9,'Input-Stress Parameters'!$C$11:$BJ$11)</f>
        <v>SL3</v>
      </c>
      <c r="CX1" s="28" t="str">
        <f>LOOKUP(CX4,'Input-Stress Parameters'!$C$9:$BJ$9,'Input-Stress Parameters'!$C$11:$BJ$11)</f>
        <v>SL3</v>
      </c>
      <c r="CY1" s="28" t="str">
        <f>LOOKUP(CY4,'Input-Stress Parameters'!$C$9:$BJ$9,'Input-Stress Parameters'!$C$11:$BJ$11)</f>
        <v>SL3</v>
      </c>
      <c r="CZ1" s="28" t="str">
        <f>LOOKUP(CZ4,'Input-Stress Parameters'!$C$9:$BJ$9,'Input-Stress Parameters'!$C$11:$BJ$11)</f>
        <v>SL3</v>
      </c>
      <c r="DA1" s="28" t="str">
        <f>LOOKUP(DA4,'Input-Stress Parameters'!$C$9:$BJ$9,'Input-Stress Parameters'!$C$11:$BJ$11)</f>
        <v>SL3</v>
      </c>
      <c r="DB1" s="28" t="str">
        <f>LOOKUP(DB4,'Input-Stress Parameters'!$C$9:$BJ$9,'Input-Stress Parameters'!$C$11:$BJ$11)</f>
        <v>SL3</v>
      </c>
      <c r="DC1" s="28" t="str">
        <f>LOOKUP(DC4,'Input-Stress Parameters'!$C$9:$BJ$9,'Input-Stress Parameters'!$C$11:$BJ$11)</f>
        <v>SL3</v>
      </c>
      <c r="DD1" s="28" t="str">
        <f>LOOKUP(DD4,'Input-Stress Parameters'!$C$9:$BJ$9,'Input-Stress Parameters'!$C$11:$BJ$11)</f>
        <v>SL3</v>
      </c>
      <c r="DE1" s="28" t="str">
        <f>LOOKUP(DE4,'Input-Stress Parameters'!$C$9:$BJ$9,'Input-Stress Parameters'!$C$11:$BJ$11)</f>
        <v>SL3</v>
      </c>
      <c r="DF1" s="28" t="str">
        <f>LOOKUP(DF4,'Input-Stress Parameters'!$C$9:$BJ$9,'Input-Stress Parameters'!$C$11:$BJ$11)</f>
        <v>SL3</v>
      </c>
      <c r="DG1" s="28" t="str">
        <f>LOOKUP(DG4,'Input-Stress Parameters'!$C$9:$BJ$9,'Input-Stress Parameters'!$C$11:$BJ$11)</f>
        <v>N</v>
      </c>
      <c r="DH1" s="28" t="str">
        <f>LOOKUP(DH4,'Input-Stress Parameters'!$C$9:$BJ$9,'Input-Stress Parameters'!$C$11:$BJ$11)</f>
        <v>N</v>
      </c>
      <c r="DI1" s="28" t="str">
        <f>LOOKUP(DI4,'Input-Stress Parameters'!$C$9:$BJ$9,'Input-Stress Parameters'!$C$11:$BJ$11)</f>
        <v>N</v>
      </c>
      <c r="DJ1" s="28" t="str">
        <f>LOOKUP(DJ4,'Input-Stress Parameters'!$C$9:$BJ$9,'Input-Stress Parameters'!$C$11:$BJ$11)</f>
        <v>N</v>
      </c>
      <c r="DK1" s="28" t="str">
        <f>LOOKUP(DK4,'Input-Stress Parameters'!$C$9:$BJ$9,'Input-Stress Parameters'!$C$11:$BJ$11)</f>
        <v>N</v>
      </c>
      <c r="DL1" s="28" t="str">
        <f>LOOKUP(DL4,'Input-Stress Parameters'!$C$9:$BJ$9,'Input-Stress Parameters'!$C$11:$BJ$11)</f>
        <v>N</v>
      </c>
      <c r="DM1" s="28" t="str">
        <f>LOOKUP(DM4,'Input-Stress Parameters'!$C$9:$BJ$9,'Input-Stress Parameters'!$C$11:$BJ$11)</f>
        <v>N</v>
      </c>
      <c r="DN1" s="28" t="str">
        <f>LOOKUP(DN4,'Input-Stress Parameters'!$C$9:$BJ$9,'Input-Stress Parameters'!$C$11:$BJ$11)</f>
        <v>N</v>
      </c>
      <c r="DO1" s="28" t="str">
        <f>LOOKUP(DO4,'Input-Stress Parameters'!$C$9:$BJ$9,'Input-Stress Parameters'!$C$11:$BJ$11)</f>
        <v>N</v>
      </c>
      <c r="DP1" s="28" t="str">
        <f>LOOKUP(DP4,'Input-Stress Parameters'!$C$9:$BJ$9,'Input-Stress Parameters'!$C$11:$BJ$11)</f>
        <v>N</v>
      </c>
      <c r="DQ1" s="28" t="str">
        <f>LOOKUP(DQ4,'Input-Stress Parameters'!$C$9:$BJ$9,'Input-Stress Parameters'!$C$11:$BJ$11)</f>
        <v>N</v>
      </c>
      <c r="DR1" s="28" t="str">
        <f>LOOKUP(DR4,'Input-Stress Parameters'!$C$9:$BJ$9,'Input-Stress Parameters'!$C$11:$BJ$11)</f>
        <v>N</v>
      </c>
      <c r="DS1" s="28" t="str">
        <f>LOOKUP(DS4,'Input-Stress Parameters'!$C$9:$BJ$9,'Input-Stress Parameters'!$C$11:$BJ$11)</f>
        <v>N</v>
      </c>
      <c r="DT1" s="28" t="str">
        <f>LOOKUP(DT4,'Input-Stress Parameters'!$C$9:$BJ$9,'Input-Stress Parameters'!$C$11:$BJ$11)</f>
        <v>N</v>
      </c>
      <c r="DU1" s="28" t="str">
        <f>LOOKUP(DU4,'Input-Stress Parameters'!$C$9:$BJ$9,'Input-Stress Parameters'!$C$11:$BJ$11)</f>
        <v>N</v>
      </c>
      <c r="DV1" s="28" t="str">
        <f>LOOKUP(DV4,'Input-Stress Parameters'!$C$9:$BJ$9,'Input-Stress Parameters'!$C$11:$BJ$11)</f>
        <v>N</v>
      </c>
      <c r="DW1" s="28" t="str">
        <f>LOOKUP(DW4,'Input-Stress Parameters'!$C$9:$BJ$9,'Input-Stress Parameters'!$C$11:$BJ$11)</f>
        <v>N</v>
      </c>
      <c r="DX1" s="28" t="str">
        <f>LOOKUP(DX4,'Input-Stress Parameters'!$C$9:$BJ$9,'Input-Stress Parameters'!$C$11:$BJ$11)</f>
        <v>N</v>
      </c>
      <c r="EA1" s="137" t="str">
        <f>LOOKUP(EA4,'Input-Stress Parameters'!$C$9:$BJ$9,'Input-Stress Parameters'!$C$11:$BJ$11)</f>
        <v>SL1</v>
      </c>
      <c r="EB1" s="137" t="str">
        <f>LOOKUP(EB4,'Input-Stress Parameters'!$C$9:$BJ$9,'Input-Stress Parameters'!$C$11:$BJ$11)</f>
        <v>SL1</v>
      </c>
      <c r="EC1" s="137" t="str">
        <f>LOOKUP(EC4,'Input-Stress Parameters'!$C$9:$BJ$9,'Input-Stress Parameters'!$C$11:$BJ$11)</f>
        <v>SL2</v>
      </c>
      <c r="ED1" s="137" t="e">
        <f>LOOKUP(ED4,'Input-Stress Parameters'!$C$9:$BJ$9,'Input-Stress Parameters'!$C$11:$BJ$11)</f>
        <v>#REF!</v>
      </c>
      <c r="EE1" s="137" t="e">
        <f>LOOKUP(EE4,'Input-Stress Parameters'!$C$9:$BJ$9,'Input-Stress Parameters'!$C$11:$BJ$11)</f>
        <v>#REF!</v>
      </c>
      <c r="EF1" s="137" t="e">
        <f>LOOKUP(EF4,'Input-Stress Parameters'!$C$9:$BJ$9,'Input-Stress Parameters'!$C$11:$BJ$11)</f>
        <v>#REF!</v>
      </c>
      <c r="EG1" s="137" t="e">
        <f>LOOKUP(EG4,'Input-Stress Parameters'!$C$9:$BJ$9,'Input-Stress Parameters'!$C$11:$BJ$11)</f>
        <v>#REF!</v>
      </c>
      <c r="EH1" s="137" t="e">
        <f>LOOKUP(EH4,'Input-Stress Parameters'!$C$9:$BJ$9,'Input-Stress Parameters'!$C$11:$BJ$11)</f>
        <v>#REF!</v>
      </c>
      <c r="EI1" s="137" t="str">
        <f>LOOKUP(EI4,'Input-Stress Parameters'!$C$9:$BJ$9,'Input-Stress Parameters'!$C$11:$BJ$11)</f>
        <v>SL3</v>
      </c>
      <c r="EJ1" s="137" t="str">
        <f>LOOKUP(EJ4,'Input-Stress Parameters'!$C$9:$BJ$9,'Input-Stress Parameters'!$C$11:$BJ$11)</f>
        <v>SL3</v>
      </c>
    </row>
    <row r="2" spans="1:140" x14ac:dyDescent="0.35">
      <c r="A2" s="135">
        <f>$B5*($B8/$A8)</f>
        <v>1.6329940206706128E-3</v>
      </c>
      <c r="D2" s="121"/>
      <c r="F2" s="171" t="e">
        <f>LOOKUP(BQ4,'Input-Stress Parameters'!$C$9:$BJ$9,'Input-Stress Parameters'!$C$12:$BJ$12)</f>
        <v>#N/A</v>
      </c>
      <c r="G2" s="171" t="e">
        <f>LOOKUP(BR4,'Input-Stress Parameters'!$C$9:$BJ$9,'Input-Stress Parameters'!$C$12:$BJ$12)</f>
        <v>#N/A</v>
      </c>
      <c r="H2" s="171" t="e">
        <f>LOOKUP(BS4,'Input-Stress Parameters'!$C$9:$BJ$9,'Input-Stress Parameters'!$C$12:$BJ$12)</f>
        <v>#N/A</v>
      </c>
      <c r="I2" s="171" t="e">
        <f>LOOKUP(BT4,'Input-Stress Parameters'!$C$9:$BJ$9,'Input-Stress Parameters'!$C$12:$BJ$12)</f>
        <v>#N/A</v>
      </c>
      <c r="J2" s="171" t="e">
        <f>LOOKUP(BU4,'Input-Stress Parameters'!$C$9:$BJ$9,'Input-Stress Parameters'!$C$12:$BJ$12)</f>
        <v>#N/A</v>
      </c>
      <c r="K2" s="171" t="e">
        <f>LOOKUP(BV4,'Input-Stress Parameters'!$C$9:$BJ$9,'Input-Stress Parameters'!$C$12:$BJ$12)</f>
        <v>#N/A</v>
      </c>
      <c r="L2" s="171" t="e">
        <f>LOOKUP(BW4,'Input-Stress Parameters'!$C$9:$BJ$9,'Input-Stress Parameters'!$C$12:$BJ$12)</f>
        <v>#N/A</v>
      </c>
      <c r="M2" s="171" t="e">
        <f>LOOKUP(BX4,'Input-Stress Parameters'!$C$9:$BJ$9,'Input-Stress Parameters'!$C$12:$BJ$12)</f>
        <v>#N/A</v>
      </c>
      <c r="N2" s="171" t="e">
        <f>LOOKUP(BY4,'Input-Stress Parameters'!$C$9:$BJ$9,'Input-Stress Parameters'!$C$12:$BJ$12)</f>
        <v>#N/A</v>
      </c>
      <c r="O2" s="171" t="e">
        <f>LOOKUP(BZ4,'Input-Stress Parameters'!$C$9:$BJ$9,'Input-Stress Parameters'!$C$12:$BJ$12)</f>
        <v>#N/A</v>
      </c>
      <c r="P2" s="171" t="e">
        <f>LOOKUP(CA4,'Input-Stress Parameters'!$C$9:$BJ$9,'Input-Stress Parameters'!$C$12:$BJ$12)</f>
        <v>#N/A</v>
      </c>
      <c r="Q2" s="171" t="str">
        <f>LOOKUP(CB4,'Input-Stress Parameters'!$C$9:$BJ$9,'Input-Stress Parameters'!$C$12:$BJ$12)</f>
        <v>N</v>
      </c>
      <c r="R2" s="171" t="str">
        <f>LOOKUP(CC4,'Input-Stress Parameters'!$C$9:$BJ$9,'Input-Stress Parameters'!$C$12:$BJ$12)</f>
        <v>SL1P</v>
      </c>
      <c r="S2" s="171" t="str">
        <f>LOOKUP(CD4,'Input-Stress Parameters'!$C$9:$BJ$9,'Input-Stress Parameters'!$C$12:$BJ$12)</f>
        <v>SL1P</v>
      </c>
      <c r="T2" s="171" t="str">
        <f>LOOKUP(CE4,'Input-Stress Parameters'!$C$9:$BJ$9,'Input-Stress Parameters'!$C$12:$BJ$12)</f>
        <v>SL1P</v>
      </c>
      <c r="U2" s="171" t="str">
        <f>LOOKUP(CF4,'Input-Stress Parameters'!$C$9:$BJ$9,'Input-Stress Parameters'!$C$12:$BJ$12)</f>
        <v>SL1P</v>
      </c>
      <c r="V2" s="171" t="str">
        <f>LOOKUP(CG4,'Input-Stress Parameters'!$C$9:$BJ$9,'Input-Stress Parameters'!$C$12:$BJ$12)</f>
        <v>SL1P</v>
      </c>
      <c r="W2" s="171" t="str">
        <f>LOOKUP(CH4,'Input-Stress Parameters'!$C$9:$BJ$9,'Input-Stress Parameters'!$C$12:$BJ$12)</f>
        <v>SL1P</v>
      </c>
      <c r="X2" s="171" t="str">
        <f>LOOKUP(CI4,'Input-Stress Parameters'!$C$9:$BJ$9,'Input-Stress Parameters'!$C$12:$BJ$12)</f>
        <v>SL2P</v>
      </c>
      <c r="Y2" s="171" t="str">
        <f>LOOKUP(CJ4,'Input-Stress Parameters'!$C$9:$BJ$9,'Input-Stress Parameters'!$C$12:$BJ$12)</f>
        <v>SL2P</v>
      </c>
      <c r="Z2" s="171" t="str">
        <f>LOOKUP(CK4,'Input-Stress Parameters'!$C$9:$BJ$9,'Input-Stress Parameters'!$C$12:$BJ$12)</f>
        <v>SL2P</v>
      </c>
      <c r="AA2" s="171" t="str">
        <f>LOOKUP(CL4,'Input-Stress Parameters'!$C$9:$BJ$9,'Input-Stress Parameters'!$C$12:$BJ$12)</f>
        <v>SL2P</v>
      </c>
      <c r="AB2" s="171" t="str">
        <f>LOOKUP(CM4,'Input-Stress Parameters'!$C$9:$BJ$9,'Input-Stress Parameters'!$C$12:$BJ$12)</f>
        <v>SL2P</v>
      </c>
      <c r="AC2" s="171" t="str">
        <f>LOOKUP(CN4,'Input-Stress Parameters'!$C$9:$BJ$9,'Input-Stress Parameters'!$C$12:$BJ$12)</f>
        <v>SL2P</v>
      </c>
      <c r="AD2" s="171" t="str">
        <f>LOOKUP(CO4,'Input-Stress Parameters'!$C$9:$BJ$9,'Input-Stress Parameters'!$C$12:$BJ$12)</f>
        <v>SL2P</v>
      </c>
      <c r="AE2" s="171" t="str">
        <f>LOOKUP(CP4,'Input-Stress Parameters'!$C$9:$BJ$9,'Input-Stress Parameters'!$C$12:$BJ$12)</f>
        <v>SL2P</v>
      </c>
      <c r="AF2" s="171" t="str">
        <f>LOOKUP(CQ4,'Input-Stress Parameters'!$C$9:$BJ$9,'Input-Stress Parameters'!$C$12:$BJ$12)</f>
        <v>SL2P</v>
      </c>
      <c r="AG2" s="171" t="str">
        <f>LOOKUP(CR4,'Input-Stress Parameters'!$C$9:$BJ$9,'Input-Stress Parameters'!$C$12:$BJ$12)</f>
        <v>SL2P</v>
      </c>
      <c r="AH2" s="171" t="str">
        <f>LOOKUP(CS4,'Input-Stress Parameters'!$C$9:$BJ$9,'Input-Stress Parameters'!$C$12:$BJ$12)</f>
        <v>SL2P</v>
      </c>
      <c r="AI2" s="171" t="str">
        <f>LOOKUP(CT4,'Input-Stress Parameters'!$C$9:$BJ$9,'Input-Stress Parameters'!$C$12:$BJ$12)</f>
        <v>SL2P</v>
      </c>
      <c r="AJ2" s="171" t="str">
        <f>LOOKUP(CU4,'Input-Stress Parameters'!$C$9:$BJ$9,'Input-Stress Parameters'!$C$12:$BJ$12)</f>
        <v>SL3P</v>
      </c>
      <c r="AK2" s="171" t="str">
        <f>LOOKUP(CV4,'Input-Stress Parameters'!$C$9:$BJ$9,'Input-Stress Parameters'!$C$12:$BJ$12)</f>
        <v>SL3P</v>
      </c>
      <c r="AL2" s="171" t="str">
        <f>LOOKUP(CW4,'Input-Stress Parameters'!$C$9:$BJ$9,'Input-Stress Parameters'!$C$12:$BJ$12)</f>
        <v>SL3P</v>
      </c>
      <c r="AM2" s="171" t="str">
        <f>LOOKUP(CX4,'Input-Stress Parameters'!$C$9:$BJ$9,'Input-Stress Parameters'!$C$12:$BJ$12)</f>
        <v>SL4P</v>
      </c>
      <c r="AN2" s="171" t="str">
        <f>LOOKUP(CY4,'Input-Stress Parameters'!$C$9:$BJ$9,'Input-Stress Parameters'!$C$12:$BJ$12)</f>
        <v>SL4P</v>
      </c>
      <c r="AO2" s="171" t="str">
        <f>LOOKUP(CZ4,'Input-Stress Parameters'!$C$9:$BJ$9,'Input-Stress Parameters'!$C$12:$BJ$12)</f>
        <v>SL3P</v>
      </c>
      <c r="AP2" s="171" t="str">
        <f>LOOKUP(DA4,'Input-Stress Parameters'!$C$9:$BJ$9,'Input-Stress Parameters'!$C$12:$BJ$12)</f>
        <v>SL3P</v>
      </c>
      <c r="AQ2" s="171" t="str">
        <f>LOOKUP(DB4,'Input-Stress Parameters'!$C$9:$BJ$9,'Input-Stress Parameters'!$C$12:$BJ$12)</f>
        <v>SL3P</v>
      </c>
      <c r="AR2" s="171" t="str">
        <f>LOOKUP(DC4,'Input-Stress Parameters'!$C$9:$BJ$9,'Input-Stress Parameters'!$C$12:$BJ$12)</f>
        <v>SL3P</v>
      </c>
      <c r="AS2" s="171" t="str">
        <f>LOOKUP(DD4,'Input-Stress Parameters'!$C$9:$BJ$9,'Input-Stress Parameters'!$C$12:$BJ$12)</f>
        <v>SL3P</v>
      </c>
      <c r="AT2" s="171" t="str">
        <f>LOOKUP(DE4,'Input-Stress Parameters'!$C$9:$BJ$9,'Input-Stress Parameters'!$C$12:$BJ$12)</f>
        <v>SL3P</v>
      </c>
      <c r="AU2" s="171" t="str">
        <f>LOOKUP(DF4,'Input-Stress Parameters'!$C$9:$BJ$9,'Input-Stress Parameters'!$C$12:$BJ$12)</f>
        <v>SL3P</v>
      </c>
      <c r="AV2" s="171" t="str">
        <f>LOOKUP(DG4,'Input-Stress Parameters'!$C$9:$BJ$9,'Input-Stress Parameters'!$C$12:$BJ$12)</f>
        <v>N</v>
      </c>
      <c r="AW2" s="171" t="str">
        <f>LOOKUP(DH4,'Input-Stress Parameters'!$C$9:$BJ$9,'Input-Stress Parameters'!$C$12:$BJ$12)</f>
        <v>N</v>
      </c>
      <c r="AX2" s="171" t="str">
        <f>LOOKUP(DI4,'Input-Stress Parameters'!$C$9:$BJ$9,'Input-Stress Parameters'!$C$12:$BJ$12)</f>
        <v>N</v>
      </c>
      <c r="AY2" s="171" t="str">
        <f>LOOKUP(DJ4,'Input-Stress Parameters'!$C$9:$BJ$9,'Input-Stress Parameters'!$C$12:$BJ$12)</f>
        <v>N</v>
      </c>
      <c r="AZ2" s="171" t="str">
        <f>LOOKUP(DK4,'Input-Stress Parameters'!$C$9:$BJ$9,'Input-Stress Parameters'!$C$12:$BJ$12)</f>
        <v>N</v>
      </c>
      <c r="BA2" s="171" t="str">
        <f>LOOKUP(DL4,'Input-Stress Parameters'!$C$9:$BJ$9,'Input-Stress Parameters'!$C$12:$BJ$12)</f>
        <v>N</v>
      </c>
      <c r="BB2" s="171" t="str">
        <f>LOOKUP(DM4,'Input-Stress Parameters'!$C$9:$BJ$9,'Input-Stress Parameters'!$C$12:$BJ$12)</f>
        <v>N</v>
      </c>
      <c r="BC2" s="171" t="str">
        <f>LOOKUP(DN4,'Input-Stress Parameters'!$C$9:$BJ$9,'Input-Stress Parameters'!$C$12:$BJ$12)</f>
        <v>N</v>
      </c>
      <c r="BD2" s="171" t="str">
        <f>LOOKUP(DO4,'Input-Stress Parameters'!$C$9:$BJ$9,'Input-Stress Parameters'!$C$12:$BJ$12)</f>
        <v>N</v>
      </c>
      <c r="BE2" s="171" t="str">
        <f>LOOKUP(DP4,'Input-Stress Parameters'!$C$9:$BJ$9,'Input-Stress Parameters'!$C$12:$BJ$12)</f>
        <v>N</v>
      </c>
      <c r="BF2" s="171" t="str">
        <f>LOOKUP(DQ4,'Input-Stress Parameters'!$C$9:$BJ$9,'Input-Stress Parameters'!$C$12:$BJ$12)</f>
        <v>N</v>
      </c>
      <c r="BG2" s="171" t="str">
        <f>LOOKUP(DR4,'Input-Stress Parameters'!$C$9:$BJ$9,'Input-Stress Parameters'!$C$12:$BJ$12)</f>
        <v>N</v>
      </c>
      <c r="BH2" s="171" t="str">
        <f>LOOKUP(DS4,'Input-Stress Parameters'!$C$9:$BJ$9,'Input-Stress Parameters'!$C$12:$BJ$12)</f>
        <v>N</v>
      </c>
      <c r="BI2" s="171" t="str">
        <f>LOOKUP(DT4,'Input-Stress Parameters'!$C$9:$BJ$9,'Input-Stress Parameters'!$C$12:$BJ$12)</f>
        <v>N</v>
      </c>
      <c r="BJ2" s="171" t="str">
        <f>LOOKUP(DU4,'Input-Stress Parameters'!$C$9:$BJ$9,'Input-Stress Parameters'!$C$12:$BJ$12)</f>
        <v>N</v>
      </c>
      <c r="BK2" s="171" t="str">
        <f>LOOKUP(DV4,'Input-Stress Parameters'!$C$9:$BJ$9,'Input-Stress Parameters'!$C$12:$BJ$12)</f>
        <v>N</v>
      </c>
      <c r="BL2" s="171" t="str">
        <f>LOOKUP(DW4,'Input-Stress Parameters'!$C$9:$BJ$9,'Input-Stress Parameters'!$C$12:$BJ$12)</f>
        <v>N</v>
      </c>
      <c r="BM2" s="171" t="str">
        <f>LOOKUP(DX4,'Input-Stress Parameters'!$C$9:$BJ$9,'Input-Stress Parameters'!$C$12:$BJ$12)</f>
        <v>N</v>
      </c>
      <c r="EA2" s="137" t="str">
        <f>LOOKUP(EA4,'Input-Stress Parameters'!$C$9:$BJ$9,'Input-Stress Parameters'!$C$12:$BJ$12)</f>
        <v>SL1P</v>
      </c>
      <c r="EB2" s="137" t="str">
        <f>LOOKUP(EB4,'Input-Stress Parameters'!$C$9:$BJ$9,'Input-Stress Parameters'!$C$12:$BJ$12)</f>
        <v>SL1P</v>
      </c>
      <c r="EC2" s="137" t="str">
        <f>LOOKUP(EC4,'Input-Stress Parameters'!$C$9:$BJ$9,'Input-Stress Parameters'!$C$12:$BJ$12)</f>
        <v>SL2P</v>
      </c>
      <c r="ED2" s="137" t="e">
        <f>LOOKUP(ED4,'Input-Stress Parameters'!$C$9:$BJ$9,'Input-Stress Parameters'!$C$12:$BJ$12)</f>
        <v>#REF!</v>
      </c>
      <c r="EE2" s="137" t="e">
        <f>LOOKUP(EE4,'Input-Stress Parameters'!$C$9:$BJ$9,'Input-Stress Parameters'!$C$12:$BJ$12)</f>
        <v>#REF!</v>
      </c>
      <c r="EF2" s="137" t="e">
        <f>LOOKUP(EF4,'Input-Stress Parameters'!$C$9:$BJ$9,'Input-Stress Parameters'!$C$12:$BJ$12)</f>
        <v>#REF!</v>
      </c>
      <c r="EG2" s="137" t="e">
        <f>LOOKUP(EG4,'Input-Stress Parameters'!$C$9:$BJ$9,'Input-Stress Parameters'!$C$12:$BJ$12)</f>
        <v>#REF!</v>
      </c>
      <c r="EH2" s="137" t="e">
        <f>LOOKUP(EH4,'Input-Stress Parameters'!$C$9:$BJ$9,'Input-Stress Parameters'!$C$12:$BJ$12)</f>
        <v>#REF!</v>
      </c>
      <c r="EI2" s="137" t="str">
        <f>LOOKUP(EI4,'Input-Stress Parameters'!$C$9:$BJ$9,'Input-Stress Parameters'!$C$12:$BJ$12)</f>
        <v>SL3P</v>
      </c>
      <c r="EJ2" s="137" t="str">
        <f>LOOKUP(EJ4,'Input-Stress Parameters'!$C$9:$BJ$9,'Input-Stress Parameters'!$C$12:$BJ$12)</f>
        <v>SL4P</v>
      </c>
    </row>
    <row r="3" spans="1:140" x14ac:dyDescent="0.35">
      <c r="C3" s="137">
        <v>1</v>
      </c>
      <c r="D3" s="121"/>
      <c r="F3" s="171" t="str">
        <f>IF(F1="N",IF(G1="SL1","SL0","NA"))</f>
        <v>SL0</v>
      </c>
      <c r="G3" s="171" t="b">
        <f t="shared" ref="G3:AE3" si="0">IF(G1="N",IF(H1="SL1","SL0","NA"))</f>
        <v>0</v>
      </c>
      <c r="H3" s="171" t="b">
        <f t="shared" si="0"/>
        <v>0</v>
      </c>
      <c r="I3" s="171" t="b">
        <f t="shared" si="0"/>
        <v>0</v>
      </c>
      <c r="J3" s="171" t="b">
        <f t="shared" si="0"/>
        <v>0</v>
      </c>
      <c r="K3" s="171" t="b">
        <f t="shared" si="0"/>
        <v>0</v>
      </c>
      <c r="L3" s="171" t="b">
        <f t="shared" si="0"/>
        <v>0</v>
      </c>
      <c r="M3" s="171" t="b">
        <f t="shared" si="0"/>
        <v>0</v>
      </c>
      <c r="N3" s="171" t="b">
        <f t="shared" si="0"/>
        <v>0</v>
      </c>
      <c r="O3" s="171" t="b">
        <f t="shared" si="0"/>
        <v>0</v>
      </c>
      <c r="P3" s="171" t="b">
        <f t="shared" si="0"/>
        <v>0</v>
      </c>
      <c r="Q3" s="171" t="b">
        <f t="shared" si="0"/>
        <v>0</v>
      </c>
      <c r="R3" s="171" t="b">
        <f t="shared" si="0"/>
        <v>0</v>
      </c>
      <c r="S3" s="171" t="b">
        <f t="shared" si="0"/>
        <v>0</v>
      </c>
      <c r="T3" s="171" t="b">
        <f t="shared" si="0"/>
        <v>0</v>
      </c>
      <c r="U3" s="171" t="b">
        <f t="shared" si="0"/>
        <v>0</v>
      </c>
      <c r="V3" s="171" t="b">
        <f t="shared" si="0"/>
        <v>0</v>
      </c>
      <c r="W3" s="171" t="b">
        <f t="shared" si="0"/>
        <v>0</v>
      </c>
      <c r="X3" s="171" t="b">
        <f t="shared" si="0"/>
        <v>0</v>
      </c>
      <c r="Y3" s="171" t="b">
        <f t="shared" si="0"/>
        <v>0</v>
      </c>
      <c r="Z3" s="171" t="b">
        <f t="shared" si="0"/>
        <v>0</v>
      </c>
      <c r="AA3" s="171" t="b">
        <f t="shared" si="0"/>
        <v>0</v>
      </c>
      <c r="AB3" s="171" t="b">
        <f t="shared" si="0"/>
        <v>0</v>
      </c>
      <c r="AC3" s="171" t="b">
        <f t="shared" si="0"/>
        <v>0</v>
      </c>
      <c r="AD3" s="171" t="b">
        <f t="shared" si="0"/>
        <v>0</v>
      </c>
      <c r="AE3" s="171" t="b">
        <f t="shared" si="0"/>
        <v>0</v>
      </c>
      <c r="AF3" s="171" t="b">
        <f>IF(AF1="N",IF(AG1="SL1","SL0",IF(AG1="N","SLX","NA")))</f>
        <v>0</v>
      </c>
      <c r="AG3" s="171" t="b">
        <f>IF(AG1="N",IF(AH1="SL1","SL0",IF(AH1="N","SLX","NA")))</f>
        <v>0</v>
      </c>
      <c r="AH3" s="171" t="b">
        <f t="shared" ref="AH3:BM3" si="1">IF(AH1="N",IF(AI1="SL1","SL0",IF(AI1="N","SLX","NA")))</f>
        <v>0</v>
      </c>
      <c r="AI3" s="171" t="b">
        <f t="shared" si="1"/>
        <v>0</v>
      </c>
      <c r="AJ3" s="171" t="b">
        <f t="shared" si="1"/>
        <v>0</v>
      </c>
      <c r="AK3" s="171" t="str">
        <f t="shared" si="1"/>
        <v>SLX</v>
      </c>
      <c r="AL3" s="171" t="str">
        <f t="shared" si="1"/>
        <v>SLX</v>
      </c>
      <c r="AM3" s="171" t="str">
        <f t="shared" si="1"/>
        <v>SLX</v>
      </c>
      <c r="AN3" s="171" t="str">
        <f t="shared" si="1"/>
        <v>SLX</v>
      </c>
      <c r="AO3" s="171" t="str">
        <f t="shared" si="1"/>
        <v>SLX</v>
      </c>
      <c r="AP3" s="171" t="str">
        <f t="shared" si="1"/>
        <v>SLX</v>
      </c>
      <c r="AQ3" s="171" t="str">
        <f t="shared" si="1"/>
        <v>SLX</v>
      </c>
      <c r="AR3" s="171" t="str">
        <f t="shared" si="1"/>
        <v>SLX</v>
      </c>
      <c r="AS3" s="171" t="str">
        <f t="shared" si="1"/>
        <v>SLX</v>
      </c>
      <c r="AT3" s="171" t="str">
        <f t="shared" si="1"/>
        <v>SLX</v>
      </c>
      <c r="AU3" s="171" t="str">
        <f t="shared" si="1"/>
        <v>SLX</v>
      </c>
      <c r="AV3" s="171" t="str">
        <f t="shared" si="1"/>
        <v>SLX</v>
      </c>
      <c r="AW3" s="171" t="str">
        <f t="shared" si="1"/>
        <v>SLX</v>
      </c>
      <c r="AX3" s="171" t="str">
        <f t="shared" si="1"/>
        <v>SLX</v>
      </c>
      <c r="AY3" s="171" t="str">
        <f t="shared" si="1"/>
        <v>SLX</v>
      </c>
      <c r="AZ3" s="171" t="str">
        <f t="shared" si="1"/>
        <v>SLX</v>
      </c>
      <c r="BA3" s="171" t="str">
        <f t="shared" si="1"/>
        <v>SLX</v>
      </c>
      <c r="BB3" s="171" t="str">
        <f t="shared" si="1"/>
        <v>SLX</v>
      </c>
      <c r="BC3" s="171" t="str">
        <f t="shared" si="1"/>
        <v>SLX</v>
      </c>
      <c r="BD3" s="171" t="str">
        <f t="shared" si="1"/>
        <v>SLX</v>
      </c>
      <c r="BE3" s="171" t="str">
        <f t="shared" si="1"/>
        <v>SLX</v>
      </c>
      <c r="BF3" s="171" t="str">
        <f t="shared" si="1"/>
        <v>SLX</v>
      </c>
      <c r="BG3" s="171" t="str">
        <f t="shared" si="1"/>
        <v>SLX</v>
      </c>
      <c r="BH3" s="171" t="str">
        <f t="shared" si="1"/>
        <v>SLX</v>
      </c>
      <c r="BI3" s="171" t="str">
        <f t="shared" si="1"/>
        <v>SLX</v>
      </c>
      <c r="BJ3" s="171" t="str">
        <f t="shared" si="1"/>
        <v>SLX</v>
      </c>
      <c r="BK3" s="171" t="str">
        <f t="shared" si="1"/>
        <v>SLX</v>
      </c>
      <c r="BL3" s="171" t="str">
        <f t="shared" si="1"/>
        <v>SLX</v>
      </c>
      <c r="BM3" s="171" t="str">
        <f t="shared" si="1"/>
        <v>NA</v>
      </c>
      <c r="EA3" s="137"/>
      <c r="EB3" s="137"/>
      <c r="EC3" s="137"/>
      <c r="ED3" s="137"/>
      <c r="EE3" s="137"/>
      <c r="EF3" s="137"/>
      <c r="EG3" s="137"/>
      <c r="EH3" s="137"/>
      <c r="EI3" s="137"/>
      <c r="EJ3" s="137"/>
    </row>
    <row r="4" spans="1:140" x14ac:dyDescent="0.35">
      <c r="A4" s="171" t="s">
        <v>139</v>
      </c>
      <c r="B4" s="172">
        <f>HLOOKUP(A4,$F$3:$BM$95,C6,0)</f>
        <v>1.7996228976522647E-2</v>
      </c>
      <c r="C4" s="137">
        <f>C3+1</f>
        <v>2</v>
      </c>
      <c r="D4" s="1" t="s">
        <v>157</v>
      </c>
      <c r="E4" s="36" t="s">
        <v>19</v>
      </c>
      <c r="F4" s="32">
        <f>'Input-Stress Parameters'!C2</f>
        <v>45352</v>
      </c>
      <c r="G4" s="33">
        <f>EDATE(F4,1)</f>
        <v>45383</v>
      </c>
      <c r="H4" s="33">
        <f t="shared" ref="H4:BL4" si="2">EDATE(G4,1)</f>
        <v>45413</v>
      </c>
      <c r="I4" s="33">
        <f t="shared" si="2"/>
        <v>45444</v>
      </c>
      <c r="J4" s="33">
        <f t="shared" si="2"/>
        <v>45474</v>
      </c>
      <c r="K4" s="33">
        <f t="shared" si="2"/>
        <v>45505</v>
      </c>
      <c r="L4" s="33">
        <f t="shared" si="2"/>
        <v>45536</v>
      </c>
      <c r="M4" s="33">
        <f t="shared" si="2"/>
        <v>45566</v>
      </c>
      <c r="N4" s="33">
        <f t="shared" si="2"/>
        <v>45597</v>
      </c>
      <c r="O4" s="33">
        <f t="shared" si="2"/>
        <v>45627</v>
      </c>
      <c r="P4" s="33">
        <f t="shared" si="2"/>
        <v>45658</v>
      </c>
      <c r="Q4" s="33">
        <f t="shared" si="2"/>
        <v>45689</v>
      </c>
      <c r="R4" s="34">
        <f t="shared" si="2"/>
        <v>45717</v>
      </c>
      <c r="S4" s="33">
        <f t="shared" si="2"/>
        <v>45748</v>
      </c>
      <c r="T4" s="33">
        <f t="shared" si="2"/>
        <v>45778</v>
      </c>
      <c r="U4" s="33">
        <f t="shared" si="2"/>
        <v>45809</v>
      </c>
      <c r="V4" s="33">
        <f t="shared" si="2"/>
        <v>45839</v>
      </c>
      <c r="W4" s="33">
        <f t="shared" si="2"/>
        <v>45870</v>
      </c>
      <c r="X4" s="33">
        <f t="shared" si="2"/>
        <v>45901</v>
      </c>
      <c r="Y4" s="33">
        <f t="shared" si="2"/>
        <v>45931</v>
      </c>
      <c r="Z4" s="33">
        <f t="shared" si="2"/>
        <v>45962</v>
      </c>
      <c r="AA4" s="33">
        <f t="shared" si="2"/>
        <v>45992</v>
      </c>
      <c r="AB4" s="33">
        <f t="shared" si="2"/>
        <v>46023</v>
      </c>
      <c r="AC4" s="33">
        <f t="shared" si="2"/>
        <v>46054</v>
      </c>
      <c r="AD4" s="34">
        <f t="shared" si="2"/>
        <v>46082</v>
      </c>
      <c r="AE4" s="33">
        <f t="shared" si="2"/>
        <v>46113</v>
      </c>
      <c r="AF4" s="33">
        <f t="shared" si="2"/>
        <v>46143</v>
      </c>
      <c r="AG4" s="33">
        <f t="shared" si="2"/>
        <v>46174</v>
      </c>
      <c r="AH4" s="33">
        <f t="shared" si="2"/>
        <v>46204</v>
      </c>
      <c r="AI4" s="33">
        <f t="shared" si="2"/>
        <v>46235</v>
      </c>
      <c r="AJ4" s="33">
        <f t="shared" si="2"/>
        <v>46266</v>
      </c>
      <c r="AK4" s="33">
        <f t="shared" si="2"/>
        <v>46296</v>
      </c>
      <c r="AL4" s="33">
        <f t="shared" si="2"/>
        <v>46327</v>
      </c>
      <c r="AM4" s="33">
        <f t="shared" si="2"/>
        <v>46357</v>
      </c>
      <c r="AN4" s="33">
        <f t="shared" si="2"/>
        <v>46388</v>
      </c>
      <c r="AO4" s="33">
        <f t="shared" si="2"/>
        <v>46419</v>
      </c>
      <c r="AP4" s="34">
        <f t="shared" si="2"/>
        <v>46447</v>
      </c>
      <c r="AQ4" s="33">
        <f t="shared" si="2"/>
        <v>46478</v>
      </c>
      <c r="AR4" s="33">
        <f t="shared" si="2"/>
        <v>46508</v>
      </c>
      <c r="AS4" s="33">
        <f t="shared" si="2"/>
        <v>46539</v>
      </c>
      <c r="AT4" s="33">
        <f t="shared" si="2"/>
        <v>46569</v>
      </c>
      <c r="AU4" s="33">
        <f t="shared" si="2"/>
        <v>46600</v>
      </c>
      <c r="AV4" s="33">
        <f t="shared" si="2"/>
        <v>46631</v>
      </c>
      <c r="AW4" s="33">
        <f t="shared" si="2"/>
        <v>46661</v>
      </c>
      <c r="AX4" s="33">
        <f t="shared" si="2"/>
        <v>46692</v>
      </c>
      <c r="AY4" s="33">
        <f t="shared" si="2"/>
        <v>46722</v>
      </c>
      <c r="AZ4" s="33">
        <f t="shared" si="2"/>
        <v>46753</v>
      </c>
      <c r="BA4" s="34">
        <f t="shared" si="2"/>
        <v>46784</v>
      </c>
      <c r="BB4" s="33">
        <f t="shared" si="2"/>
        <v>46813</v>
      </c>
      <c r="BC4" s="33">
        <f t="shared" si="2"/>
        <v>46844</v>
      </c>
      <c r="BD4" s="33">
        <f t="shared" si="2"/>
        <v>46874</v>
      </c>
      <c r="BE4" s="33">
        <f t="shared" si="2"/>
        <v>46905</v>
      </c>
      <c r="BF4" s="33">
        <f t="shared" si="2"/>
        <v>46935</v>
      </c>
      <c r="BG4" s="33">
        <f t="shared" si="2"/>
        <v>46966</v>
      </c>
      <c r="BH4" s="33">
        <f t="shared" si="2"/>
        <v>46997</v>
      </c>
      <c r="BI4" s="33">
        <f t="shared" si="2"/>
        <v>47027</v>
      </c>
      <c r="BJ4" s="33">
        <f t="shared" si="2"/>
        <v>47058</v>
      </c>
      <c r="BK4" s="33">
        <f t="shared" si="2"/>
        <v>47088</v>
      </c>
      <c r="BL4" s="33">
        <f t="shared" si="2"/>
        <v>47119</v>
      </c>
      <c r="BM4" s="34">
        <f>EDATE(BL4,1)</f>
        <v>47150</v>
      </c>
      <c r="BP4" s="35" t="s">
        <v>54</v>
      </c>
      <c r="BQ4" s="32">
        <v>45017</v>
      </c>
      <c r="BR4" s="33">
        <f>EDATE(BQ4,1)</f>
        <v>45047</v>
      </c>
      <c r="BS4" s="33">
        <f t="shared" ref="BS4:DW4" si="3">EDATE(BR4,1)</f>
        <v>45078</v>
      </c>
      <c r="BT4" s="33">
        <f t="shared" si="3"/>
        <v>45108</v>
      </c>
      <c r="BU4" s="33">
        <f t="shared" si="3"/>
        <v>45139</v>
      </c>
      <c r="BV4" s="33">
        <f t="shared" si="3"/>
        <v>45170</v>
      </c>
      <c r="BW4" s="33">
        <f t="shared" si="3"/>
        <v>45200</v>
      </c>
      <c r="BX4" s="33">
        <f t="shared" si="3"/>
        <v>45231</v>
      </c>
      <c r="BY4" s="33">
        <f t="shared" si="3"/>
        <v>45261</v>
      </c>
      <c r="BZ4" s="33">
        <f t="shared" si="3"/>
        <v>45292</v>
      </c>
      <c r="CA4" s="33">
        <f t="shared" si="3"/>
        <v>45323</v>
      </c>
      <c r="CB4" s="34">
        <f t="shared" si="3"/>
        <v>45352</v>
      </c>
      <c r="CC4" s="33">
        <f t="shared" si="3"/>
        <v>45383</v>
      </c>
      <c r="CD4" s="33">
        <f t="shared" si="3"/>
        <v>45413</v>
      </c>
      <c r="CE4" s="33">
        <f t="shared" si="3"/>
        <v>45444</v>
      </c>
      <c r="CF4" s="33">
        <f t="shared" si="3"/>
        <v>45474</v>
      </c>
      <c r="CG4" s="33">
        <f t="shared" si="3"/>
        <v>45505</v>
      </c>
      <c r="CH4" s="33">
        <f t="shared" si="3"/>
        <v>45536</v>
      </c>
      <c r="CI4" s="33">
        <f t="shared" si="3"/>
        <v>45566</v>
      </c>
      <c r="CJ4" s="33">
        <f t="shared" si="3"/>
        <v>45597</v>
      </c>
      <c r="CK4" s="33">
        <f t="shared" si="3"/>
        <v>45627</v>
      </c>
      <c r="CL4" s="33">
        <f t="shared" si="3"/>
        <v>45658</v>
      </c>
      <c r="CM4" s="33">
        <f t="shared" si="3"/>
        <v>45689</v>
      </c>
      <c r="CN4" s="34">
        <f t="shared" si="3"/>
        <v>45717</v>
      </c>
      <c r="CO4" s="33">
        <f t="shared" si="3"/>
        <v>45748</v>
      </c>
      <c r="CP4" s="33">
        <f t="shared" si="3"/>
        <v>45778</v>
      </c>
      <c r="CQ4" s="33">
        <f t="shared" si="3"/>
        <v>45809</v>
      </c>
      <c r="CR4" s="33">
        <f t="shared" si="3"/>
        <v>45839</v>
      </c>
      <c r="CS4" s="33">
        <f t="shared" si="3"/>
        <v>45870</v>
      </c>
      <c r="CT4" s="33">
        <f t="shared" si="3"/>
        <v>45901</v>
      </c>
      <c r="CU4" s="33">
        <f t="shared" si="3"/>
        <v>45931</v>
      </c>
      <c r="CV4" s="33">
        <f t="shared" si="3"/>
        <v>45962</v>
      </c>
      <c r="CW4" s="33">
        <f t="shared" si="3"/>
        <v>45992</v>
      </c>
      <c r="CX4" s="33">
        <f t="shared" si="3"/>
        <v>46023</v>
      </c>
      <c r="CY4" s="33">
        <f t="shared" si="3"/>
        <v>46054</v>
      </c>
      <c r="CZ4" s="34">
        <f t="shared" si="3"/>
        <v>46082</v>
      </c>
      <c r="DA4" s="33">
        <f t="shared" si="3"/>
        <v>46113</v>
      </c>
      <c r="DB4" s="33">
        <f t="shared" si="3"/>
        <v>46143</v>
      </c>
      <c r="DC4" s="33">
        <f t="shared" si="3"/>
        <v>46174</v>
      </c>
      <c r="DD4" s="33">
        <f t="shared" si="3"/>
        <v>46204</v>
      </c>
      <c r="DE4" s="33">
        <f t="shared" si="3"/>
        <v>46235</v>
      </c>
      <c r="DF4" s="33">
        <f t="shared" si="3"/>
        <v>46266</v>
      </c>
      <c r="DG4" s="33">
        <f t="shared" si="3"/>
        <v>46296</v>
      </c>
      <c r="DH4" s="33">
        <f t="shared" si="3"/>
        <v>46327</v>
      </c>
      <c r="DI4" s="33">
        <f t="shared" si="3"/>
        <v>46357</v>
      </c>
      <c r="DJ4" s="33">
        <f t="shared" si="3"/>
        <v>46388</v>
      </c>
      <c r="DK4" s="33">
        <f t="shared" si="3"/>
        <v>46419</v>
      </c>
      <c r="DL4" s="34">
        <f t="shared" si="3"/>
        <v>46447</v>
      </c>
      <c r="DM4" s="33">
        <f t="shared" si="3"/>
        <v>46478</v>
      </c>
      <c r="DN4" s="33">
        <f t="shared" si="3"/>
        <v>46508</v>
      </c>
      <c r="DO4" s="33">
        <f t="shared" si="3"/>
        <v>46539</v>
      </c>
      <c r="DP4" s="33">
        <f t="shared" si="3"/>
        <v>46569</v>
      </c>
      <c r="DQ4" s="33">
        <f t="shared" si="3"/>
        <v>46600</v>
      </c>
      <c r="DR4" s="33">
        <f t="shared" si="3"/>
        <v>46631</v>
      </c>
      <c r="DS4" s="33">
        <f t="shared" si="3"/>
        <v>46661</v>
      </c>
      <c r="DT4" s="33">
        <f t="shared" si="3"/>
        <v>46692</v>
      </c>
      <c r="DU4" s="33">
        <f t="shared" si="3"/>
        <v>46722</v>
      </c>
      <c r="DV4" s="33">
        <f t="shared" si="3"/>
        <v>46753</v>
      </c>
      <c r="DW4" s="33">
        <f t="shared" si="3"/>
        <v>46784</v>
      </c>
      <c r="DX4" s="34">
        <f>EDATE(DW4,1)</f>
        <v>46813</v>
      </c>
      <c r="EA4" s="138">
        <f>EDATE(EB4,-1)</f>
        <v>45505</v>
      </c>
      <c r="EB4" s="139">
        <f>'Input-Stress Parameters'!B15</f>
        <v>45536</v>
      </c>
      <c r="EC4" s="139">
        <f>'Input-Stress Parameters'!B16</f>
        <v>45901</v>
      </c>
      <c r="ED4" s="139" t="e">
        <f>'Input-Stress Parameters'!#REF!</f>
        <v>#REF!</v>
      </c>
      <c r="EE4" s="139" t="e">
        <f>'Input-Stress Parameters'!#REF!</f>
        <v>#REF!</v>
      </c>
      <c r="EF4" s="139" t="e">
        <f>'Input-Stress Parameters'!#REF!</f>
        <v>#REF!</v>
      </c>
      <c r="EG4" s="139" t="e">
        <f>'Input-Stress Parameters'!#REF!</f>
        <v>#REF!</v>
      </c>
      <c r="EH4" s="139" t="e">
        <f>'Input-Stress Parameters'!#REF!</f>
        <v>#REF!</v>
      </c>
      <c r="EI4" s="139">
        <f>'Input-Stress Parameters'!B17</f>
        <v>45992</v>
      </c>
      <c r="EJ4" s="140">
        <f>EDATE(EI4,1)</f>
        <v>46023</v>
      </c>
    </row>
    <row r="5" spans="1:140" x14ac:dyDescent="0.35">
      <c r="A5" s="171" t="s">
        <v>138</v>
      </c>
      <c r="B5" s="172">
        <f>HLOOKUP(A5,$F$3:$BM$95,C6,0)</f>
        <v>2.3275617710075865E-2</v>
      </c>
      <c r="C5" s="137">
        <f t="shared" ref="C5:C32" si="4">C4+1</f>
        <v>3</v>
      </c>
      <c r="D5" s="1" t="s">
        <v>51</v>
      </c>
      <c r="E5" s="1" t="s">
        <v>51</v>
      </c>
      <c r="F5" s="159">
        <v>0.95964140873589809</v>
      </c>
      <c r="G5" s="160">
        <v>0.96054709602127486</v>
      </c>
      <c r="H5" s="160">
        <v>0.96090264912800827</v>
      </c>
      <c r="I5" s="160">
        <v>0.96118598681908118</v>
      </c>
      <c r="J5" s="160">
        <v>0.96172486204388508</v>
      </c>
      <c r="K5" s="160">
        <v>0.96227700751698197</v>
      </c>
      <c r="L5" s="160">
        <v>0.96278666115777656</v>
      </c>
      <c r="M5" s="160">
        <v>0.96359153810861542</v>
      </c>
      <c r="N5" s="160">
        <v>0.96448905346957181</v>
      </c>
      <c r="O5" s="160">
        <v>0.96551546197296056</v>
      </c>
      <c r="P5" s="160">
        <v>0.96662180390021291</v>
      </c>
      <c r="Q5" s="160">
        <v>0.96759936995800522</v>
      </c>
      <c r="R5" s="161">
        <v>0.96857800948304085</v>
      </c>
      <c r="S5" s="160">
        <v>0.96803239366141236</v>
      </c>
      <c r="T5" s="160">
        <v>0.96762508513531498</v>
      </c>
      <c r="U5" s="160">
        <v>0.96726971361572078</v>
      </c>
      <c r="V5" s="160">
        <v>0.96783657791720201</v>
      </c>
      <c r="W5" s="160">
        <v>0.967916721663309</v>
      </c>
      <c r="X5" s="160">
        <v>0.96810754250646391</v>
      </c>
      <c r="Y5" s="160">
        <v>0.96831018313043649</v>
      </c>
      <c r="Z5" s="160">
        <v>0.96888963092425584</v>
      </c>
      <c r="AA5" s="160">
        <v>0.9695536037105682</v>
      </c>
      <c r="AB5" s="160">
        <v>0.97043139321376293</v>
      </c>
      <c r="AC5" s="160">
        <v>0.97117350447275952</v>
      </c>
      <c r="AD5" s="161">
        <v>0.97193157373260841</v>
      </c>
      <c r="AE5" s="160">
        <v>0.97173990182026415</v>
      </c>
      <c r="AF5" s="160">
        <v>0.97146941843837487</v>
      </c>
      <c r="AG5" s="160">
        <v>0.9709801952270497</v>
      </c>
      <c r="AH5" s="160">
        <v>0.97085212653572128</v>
      </c>
      <c r="AI5" s="160">
        <v>0.97085708710269902</v>
      </c>
      <c r="AJ5" s="160">
        <v>0.97091129749404825</v>
      </c>
      <c r="AK5" s="160">
        <v>0.97114853894907593</v>
      </c>
      <c r="AL5" s="160">
        <v>0.97159481636861467</v>
      </c>
      <c r="AM5" s="160">
        <v>0.97217624121680712</v>
      </c>
      <c r="AN5" s="160">
        <v>0.97296163965036597</v>
      </c>
      <c r="AO5" s="160">
        <v>0.97368041665775185</v>
      </c>
      <c r="AP5" s="160">
        <v>0.97445348604507609</v>
      </c>
      <c r="AQ5" s="160">
        <v>0.95</v>
      </c>
      <c r="AR5" s="160">
        <v>0.95</v>
      </c>
      <c r="AS5" s="160">
        <v>0.95</v>
      </c>
      <c r="AT5" s="160">
        <v>0.95</v>
      </c>
      <c r="AU5" s="160">
        <v>0.95</v>
      </c>
      <c r="AV5" s="160">
        <v>0.95</v>
      </c>
      <c r="AW5" s="160">
        <v>0.95</v>
      </c>
      <c r="AX5" s="160">
        <v>0.95</v>
      </c>
      <c r="AY5" s="160">
        <v>0.95</v>
      </c>
      <c r="AZ5" s="160">
        <v>0.95</v>
      </c>
      <c r="BA5" s="161">
        <v>0.95</v>
      </c>
      <c r="BB5" s="160">
        <v>0.95</v>
      </c>
      <c r="BC5" s="160">
        <v>0.95</v>
      </c>
      <c r="BD5" s="160">
        <v>0.95</v>
      </c>
      <c r="BE5" s="160">
        <v>0.95</v>
      </c>
      <c r="BF5" s="160">
        <v>0.95</v>
      </c>
      <c r="BG5" s="160">
        <v>0.95</v>
      </c>
      <c r="BH5" s="160">
        <v>0.95</v>
      </c>
      <c r="BI5" s="160">
        <v>0.95</v>
      </c>
      <c r="BJ5" s="160">
        <v>0.95</v>
      </c>
      <c r="BK5" s="160">
        <v>0.95</v>
      </c>
      <c r="BL5" s="160">
        <v>0.95</v>
      </c>
      <c r="BM5" s="161">
        <v>0.95</v>
      </c>
      <c r="EA5" s="147">
        <f>LOOKUP(EA$4,$F$4:$BM$4,$F5:$BM5)</f>
        <v>0.96227700751698197</v>
      </c>
      <c r="EB5" s="148">
        <f>EA5+(EC5-EA5)/'Input-Stress Parameters'!$J$5</f>
        <v>0.95877367761376853</v>
      </c>
      <c r="EC5" s="148">
        <f t="shared" ref="EC5:EH5" si="5">1-SUM(EC6:EC7)</f>
        <v>0.94125702809770151</v>
      </c>
      <c r="ED5" s="148">
        <f>EC5+(EE5-EC5)/'Input-Stress Parameters'!$J$6</f>
        <v>0.93745211629099678</v>
      </c>
      <c r="EE5" s="148">
        <f t="shared" si="5"/>
        <v>0.89559808641724414</v>
      </c>
      <c r="EF5" s="148">
        <f t="shared" si="5"/>
        <v>0.93745211629099667</v>
      </c>
      <c r="EG5" s="148" t="e">
        <f>1-SUM(EG6:EG7)</f>
        <v>#REF!</v>
      </c>
      <c r="EH5" s="148" t="e">
        <f t="shared" si="5"/>
        <v>#REF!</v>
      </c>
      <c r="EI5" s="148" t="e">
        <f>EJ5+(EH5-EJ5)/MONTH($EJ$4-$EH$4)</f>
        <v>#REF!</v>
      </c>
      <c r="EJ5" s="149">
        <f>LOOKUP(EJ$4,$F$4:$BM$4,$F5:$BM5)</f>
        <v>0.97043139321376293</v>
      </c>
    </row>
    <row r="6" spans="1:140" x14ac:dyDescent="0.35">
      <c r="A6" s="171" t="s">
        <v>139</v>
      </c>
      <c r="B6" s="172">
        <f>HLOOKUP(A6,$F$3:$BM$95,C7,0)</f>
        <v>1.0855232074401514E-2</v>
      </c>
      <c r="C6" s="137">
        <f t="shared" si="4"/>
        <v>4</v>
      </c>
      <c r="D6" s="2" t="s">
        <v>52</v>
      </c>
      <c r="E6" s="2" t="s">
        <v>52</v>
      </c>
      <c r="F6" s="162">
        <v>2.3275617710075865E-2</v>
      </c>
      <c r="G6" s="163">
        <v>2.2878309112935702E-2</v>
      </c>
      <c r="H6" s="163">
        <v>2.2743030217268357E-2</v>
      </c>
      <c r="I6" s="163">
        <v>2.2745950242029297E-2</v>
      </c>
      <c r="J6" s="163">
        <v>2.2564291163838224E-2</v>
      </c>
      <c r="K6" s="163">
        <v>2.2314990554139411E-2</v>
      </c>
      <c r="L6" s="163">
        <v>2.2005026848661621E-2</v>
      </c>
      <c r="M6" s="163">
        <v>2.1609920435291571E-2</v>
      </c>
      <c r="N6" s="163">
        <v>2.1019540657998815E-2</v>
      </c>
      <c r="O6" s="163">
        <v>2.0341828226358258E-2</v>
      </c>
      <c r="P6" s="163">
        <v>1.9555203377443296E-2</v>
      </c>
      <c r="Q6" s="163">
        <v>1.8859483213158282E-2</v>
      </c>
      <c r="R6" s="164">
        <v>1.8214493863799367E-2</v>
      </c>
      <c r="S6" s="163">
        <v>1.8611928423131419E-2</v>
      </c>
      <c r="T6" s="163">
        <v>1.9057491362941551E-2</v>
      </c>
      <c r="U6" s="163">
        <v>1.9479788657802675E-2</v>
      </c>
      <c r="V6" s="163">
        <v>1.9671789572924894E-2</v>
      </c>
      <c r="W6" s="163">
        <v>1.9731956475853078E-2</v>
      </c>
      <c r="X6" s="163">
        <v>1.9664819762838869E-2</v>
      </c>
      <c r="Y6" s="163">
        <v>1.9455079950248606E-2</v>
      </c>
      <c r="Z6" s="163">
        <v>1.9048941237449695E-2</v>
      </c>
      <c r="AA6" s="163">
        <v>1.8528972461608468E-2</v>
      </c>
      <c r="AB6" s="163">
        <v>1.7833891788376362E-2</v>
      </c>
      <c r="AC6" s="163">
        <v>1.7230157051700491E-2</v>
      </c>
      <c r="AD6" s="164">
        <v>1.6681228391105557E-2</v>
      </c>
      <c r="AE6" s="163">
        <v>1.7181316767258488E-2</v>
      </c>
      <c r="AF6" s="163">
        <v>1.7412389200866022E-2</v>
      </c>
      <c r="AG6" s="163">
        <v>1.7799153932989031E-2</v>
      </c>
      <c r="AH6" s="163">
        <v>1.8037215226541007E-2</v>
      </c>
      <c r="AI6" s="163">
        <v>1.8149656710645529E-2</v>
      </c>
      <c r="AJ6" s="163">
        <v>1.8142527808183297E-2</v>
      </c>
      <c r="AK6" s="163">
        <v>1.7996228976522647E-2</v>
      </c>
      <c r="AL6" s="163">
        <v>1.7624593581773106E-2</v>
      </c>
      <c r="AM6" s="163">
        <v>1.716619790865621E-2</v>
      </c>
      <c r="AN6" s="163">
        <v>1.653732901569931E-2</v>
      </c>
      <c r="AO6" s="163">
        <v>1.5984716678015053E-2</v>
      </c>
      <c r="AP6" s="163">
        <v>1.547422527802462E-2</v>
      </c>
      <c r="AQ6" s="163">
        <v>0.03</v>
      </c>
      <c r="AR6" s="163">
        <v>0.03</v>
      </c>
      <c r="AS6" s="163">
        <v>0.03</v>
      </c>
      <c r="AT6" s="163">
        <v>0.03</v>
      </c>
      <c r="AU6" s="163">
        <v>0.03</v>
      </c>
      <c r="AV6" s="163">
        <v>0.03</v>
      </c>
      <c r="AW6" s="163">
        <v>0.03</v>
      </c>
      <c r="AX6" s="163">
        <v>0.03</v>
      </c>
      <c r="AY6" s="163">
        <v>0.03</v>
      </c>
      <c r="AZ6" s="163">
        <v>0.03</v>
      </c>
      <c r="BA6" s="164">
        <v>0.03</v>
      </c>
      <c r="BB6" s="163">
        <v>0.03</v>
      </c>
      <c r="BC6" s="163">
        <v>0.03</v>
      </c>
      <c r="BD6" s="163">
        <v>0.03</v>
      </c>
      <c r="BE6" s="163">
        <v>0.03</v>
      </c>
      <c r="BF6" s="163">
        <v>0.03</v>
      </c>
      <c r="BG6" s="163">
        <v>0.03</v>
      </c>
      <c r="BH6" s="163">
        <v>0.03</v>
      </c>
      <c r="BI6" s="163">
        <v>0.03</v>
      </c>
      <c r="BJ6" s="163">
        <v>0.03</v>
      </c>
      <c r="BK6" s="163">
        <v>0.03</v>
      </c>
      <c r="BL6" s="163">
        <v>0.03</v>
      </c>
      <c r="BM6" s="164">
        <v>0.03</v>
      </c>
      <c r="EA6" s="141">
        <f>LOOKUP(EA$4,$F$4:$BM$4,$F6:$BM6)</f>
        <v>2.2314990554139411E-2</v>
      </c>
      <c r="EB6" s="142">
        <f>EA6+(EC6-EA6)/'Input-Stress Parameters'!$J$5</f>
        <v>2.4632623530345669E-2</v>
      </c>
      <c r="EC6" s="142">
        <f>LOOKUP(EC$4,$F$4:$BM$4,$F6:$BM6)*'Calculations - Parameters'!$L$3/'Calculations - Parameters'!$K$3</f>
        <v>3.6220788411376964E-2</v>
      </c>
      <c r="ED6" s="142">
        <f>EC6+(EE6-EC6)/'Input-Stress Parameters'!$J$6</f>
        <v>3.8566888736430674E-2</v>
      </c>
      <c r="EE6" s="142">
        <f>EC6*'Calculations - Parameters'!$M$3/'Calculations - Parameters'!$L$3</f>
        <v>6.4373992312021511E-2</v>
      </c>
      <c r="EF6" s="142">
        <f>ED6</f>
        <v>3.8566888736430674E-2</v>
      </c>
      <c r="EG6" s="142" t="e">
        <f>EF6+(EH6-EF6)/MONTH($EH$4-$EF$4)</f>
        <v>#REF!</v>
      </c>
      <c r="EH6" s="142">
        <f>EE6*'Calculations - Parameters'!$N$3/'Calculations - Parameters'!$M$3</f>
        <v>2.9584692684485176E-2</v>
      </c>
      <c r="EI6" s="142" t="e">
        <f>EJ6+(EH6-EJ6)/MONTH($EJ$4-$EH$4)</f>
        <v>#REF!</v>
      </c>
      <c r="EJ6" s="143">
        <f>LOOKUP(EJ$4,$F$4:$BM$4,$F6:$BM6)</f>
        <v>1.7833891788376362E-2</v>
      </c>
    </row>
    <row r="7" spans="1:140" x14ac:dyDescent="0.35">
      <c r="A7" s="171" t="s">
        <v>138</v>
      </c>
      <c r="B7" s="172">
        <f>HLOOKUP(A7,$F$3:$BM$95,C7,0)</f>
        <v>1.7082973554026073E-2</v>
      </c>
      <c r="C7" s="137">
        <f t="shared" si="4"/>
        <v>5</v>
      </c>
      <c r="D7" s="3" t="s">
        <v>53</v>
      </c>
      <c r="E7" s="3" t="s">
        <v>53</v>
      </c>
      <c r="F7" s="165">
        <v>1.7082973554026073E-2</v>
      </c>
      <c r="G7" s="166">
        <v>1.6574594865789438E-2</v>
      </c>
      <c r="H7" s="166">
        <v>1.6354320654723392E-2</v>
      </c>
      <c r="I7" s="166">
        <v>1.6068062938889589E-2</v>
      </c>
      <c r="J7" s="166">
        <v>1.5710846792276599E-2</v>
      </c>
      <c r="K7" s="166">
        <v>1.5408001928878551E-2</v>
      </c>
      <c r="L7" s="166">
        <v>1.5208311993561796E-2</v>
      </c>
      <c r="M7" s="166">
        <v>1.4798541456092969E-2</v>
      </c>
      <c r="N7" s="166">
        <v>1.4491405872429393E-2</v>
      </c>
      <c r="O7" s="166">
        <v>1.4142709800681151E-2</v>
      </c>
      <c r="P7" s="166">
        <v>1.3822992722343651E-2</v>
      </c>
      <c r="Q7" s="166">
        <v>1.3541146828836427E-2</v>
      </c>
      <c r="R7" s="167">
        <v>1.3207496653159912E-2</v>
      </c>
      <c r="S7" s="166">
        <v>1.3355677915456296E-2</v>
      </c>
      <c r="T7" s="166">
        <v>1.3317423501743433E-2</v>
      </c>
      <c r="U7" s="166">
        <v>1.3250497726476677E-2</v>
      </c>
      <c r="V7" s="166">
        <v>1.249163250987302E-2</v>
      </c>
      <c r="W7" s="166">
        <v>1.2351321860837896E-2</v>
      </c>
      <c r="X7" s="166">
        <v>1.2227637730697341E-2</v>
      </c>
      <c r="Y7" s="166">
        <v>1.2234736919314908E-2</v>
      </c>
      <c r="Z7" s="166">
        <v>1.2061427838294416E-2</v>
      </c>
      <c r="AA7" s="166">
        <v>1.1917423827823279E-2</v>
      </c>
      <c r="AB7" s="166">
        <v>1.1734714997860626E-2</v>
      </c>
      <c r="AC7" s="166">
        <v>1.1596338475540022E-2</v>
      </c>
      <c r="AD7" s="167">
        <v>1.1387197876285926E-2</v>
      </c>
      <c r="AE7" s="166">
        <v>1.1078781412477368E-2</v>
      </c>
      <c r="AF7" s="166">
        <v>1.1118192360759064E-2</v>
      </c>
      <c r="AG7" s="166">
        <v>1.1220650839961238E-2</v>
      </c>
      <c r="AH7" s="166">
        <v>1.1110658237737677E-2</v>
      </c>
      <c r="AI7" s="166">
        <v>1.0993256186655429E-2</v>
      </c>
      <c r="AJ7" s="166">
        <v>1.094617469776849E-2</v>
      </c>
      <c r="AK7" s="166">
        <v>1.0855232074401514E-2</v>
      </c>
      <c r="AL7" s="166">
        <v>1.0780590049612251E-2</v>
      </c>
      <c r="AM7" s="166">
        <v>1.0657560874536629E-2</v>
      </c>
      <c r="AN7" s="166">
        <v>1.050103133393465E-2</v>
      </c>
      <c r="AO7" s="166">
        <v>1.0334866664232943E-2</v>
      </c>
      <c r="AP7" s="166">
        <v>1.0072288676899396E-2</v>
      </c>
      <c r="AQ7" s="166">
        <v>1.4E-2</v>
      </c>
      <c r="AR7" s="166">
        <v>1.4E-2</v>
      </c>
      <c r="AS7" s="166">
        <v>1.4E-2</v>
      </c>
      <c r="AT7" s="166">
        <v>1.4E-2</v>
      </c>
      <c r="AU7" s="166">
        <v>1.4E-2</v>
      </c>
      <c r="AV7" s="166">
        <v>1.4E-2</v>
      </c>
      <c r="AW7" s="166">
        <v>1.4E-2</v>
      </c>
      <c r="AX7" s="166">
        <v>1.4E-2</v>
      </c>
      <c r="AY7" s="166">
        <v>1.4E-2</v>
      </c>
      <c r="AZ7" s="166">
        <v>1.4E-2</v>
      </c>
      <c r="BA7" s="167">
        <v>1.4E-2</v>
      </c>
      <c r="BB7" s="166">
        <v>1.4E-2</v>
      </c>
      <c r="BC7" s="166">
        <v>1.4E-2</v>
      </c>
      <c r="BD7" s="166">
        <v>1.4E-2</v>
      </c>
      <c r="BE7" s="166">
        <v>1.4E-2</v>
      </c>
      <c r="BF7" s="166">
        <v>1.4E-2</v>
      </c>
      <c r="BG7" s="166">
        <v>1.4E-2</v>
      </c>
      <c r="BH7" s="166">
        <v>1.4E-2</v>
      </c>
      <c r="BI7" s="166">
        <v>1.4E-2</v>
      </c>
      <c r="BJ7" s="166">
        <v>1.4E-2</v>
      </c>
      <c r="BK7" s="166">
        <v>1.4E-2</v>
      </c>
      <c r="BL7" s="166">
        <v>1.4E-2</v>
      </c>
      <c r="BM7" s="167">
        <v>1.4E-2</v>
      </c>
      <c r="EA7" s="144">
        <f t="shared" ref="EA7:EJ7" si="6">LOOKUP(EA$4,$F$4:$BM$4,$F7:$BM7)</f>
        <v>1.5408001928878551E-2</v>
      </c>
      <c r="EB7" s="145">
        <f>EA7+(EC7-EA7)/'Input-Stress Parameters'!$J$5</f>
        <v>1.6593698855885724E-2</v>
      </c>
      <c r="EC7" s="145">
        <f>LOOKUP(EC$4,$F$4:$BM$4,$F7:$BM7)*'Calculations - Parameters'!$L$3/'Calculations - Parameters'!$K$3</f>
        <v>2.2522183490921579E-2</v>
      </c>
      <c r="ED7" s="145">
        <f>EC7+(EE7-EC7)/'Input-Stress Parameters'!$J$6</f>
        <v>2.3980994972572642E-2</v>
      </c>
      <c r="EE7" s="145">
        <f>EC7*'Calculations - Parameters'!$M$3/'Calculations - Parameters'!$L$3</f>
        <v>4.0027921270734332E-2</v>
      </c>
      <c r="EF7" s="145">
        <f>ED7</f>
        <v>2.3980994972572642E-2</v>
      </c>
      <c r="EG7" s="145" t="e">
        <f>EF7+(EH7-EF7)/MONTH($EH$4-$EF$4)</f>
        <v>#REF!</v>
      </c>
      <c r="EH7" s="145" t="e">
        <f t="shared" ref="EH7" si="7">LOOKUP(EH$4,$F$4:$BM$4,$F7:$BM7)</f>
        <v>#REF!</v>
      </c>
      <c r="EI7" s="145" t="e">
        <f>EJ7+(EH7-EJ7)/MONTH($EJ$4-$EH$4)</f>
        <v>#REF!</v>
      </c>
      <c r="EJ7" s="146">
        <f t="shared" si="6"/>
        <v>1.1734714997860626E-2</v>
      </c>
    </row>
    <row r="8" spans="1:140" x14ac:dyDescent="0.35">
      <c r="A8" s="171">
        <f>'Input-Stress Parameters'!$D$15</f>
        <v>6</v>
      </c>
      <c r="B8" s="174">
        <f>('Calculations - Parameters'!L3/'Calculations - Parameters'!K3-1)*('Input-Stress Parameters'!$J$5/12)</f>
        <v>0.42095398910861992</v>
      </c>
      <c r="C8" s="137">
        <f t="shared" si="4"/>
        <v>6</v>
      </c>
      <c r="F8" s="180">
        <f>IF(F$1="N",1,(MAX((F11/$B$5),1)))</f>
        <v>1</v>
      </c>
      <c r="G8" s="180">
        <f t="shared" ref="G8:BM8" si="8">IF(G1="N",1,(MAX((G11/$B$5),1)))</f>
        <v>1.0171853656037169</v>
      </c>
      <c r="H8" s="180">
        <f t="shared" si="8"/>
        <v>1.0343707312074337</v>
      </c>
      <c r="I8" s="180">
        <f>IF(I1="N",1,(MAX((I11/$B$5),1)))</f>
        <v>1.0515560968111506</v>
      </c>
      <c r="J8" s="180">
        <f t="shared" si="8"/>
        <v>1.0687414624148674</v>
      </c>
      <c r="K8" s="180">
        <f t="shared" si="8"/>
        <v>1.0859268280185843</v>
      </c>
      <c r="L8" s="180">
        <f t="shared" si="8"/>
        <v>1.1031121936223012</v>
      </c>
      <c r="M8" s="180">
        <f t="shared" si="8"/>
        <v>1.1293198761679695</v>
      </c>
      <c r="N8" s="180">
        <f t="shared" si="8"/>
        <v>1.1555275587136375</v>
      </c>
      <c r="O8" s="180">
        <f t="shared" si="8"/>
        <v>1.1817352412593056</v>
      </c>
      <c r="P8" s="180">
        <f t="shared" si="8"/>
        <v>1.2079429238049737</v>
      </c>
      <c r="Q8" s="180">
        <f t="shared" si="8"/>
        <v>1.234150606350642</v>
      </c>
      <c r="R8" s="180">
        <f t="shared" si="8"/>
        <v>1.2603582888963101</v>
      </c>
      <c r="S8" s="180">
        <f t="shared" si="8"/>
        <v>1.303751337045695</v>
      </c>
      <c r="T8" s="180">
        <f t="shared" si="8"/>
        <v>1.3471443851950802</v>
      </c>
      <c r="U8" s="180">
        <f t="shared" si="8"/>
        <v>1.3905374333444649</v>
      </c>
      <c r="V8" s="180">
        <f t="shared" si="8"/>
        <v>1.4339304814938498</v>
      </c>
      <c r="W8" s="180">
        <f t="shared" si="8"/>
        <v>1.4773235296432348</v>
      </c>
      <c r="X8" s="180">
        <f t="shared" si="8"/>
        <v>1.52</v>
      </c>
      <c r="Y8" s="180">
        <f t="shared" si="8"/>
        <v>1.488882476505182</v>
      </c>
      <c r="Z8" s="180">
        <f t="shared" si="8"/>
        <v>1.4577649530103638</v>
      </c>
      <c r="AA8" s="180">
        <f t="shared" si="8"/>
        <v>1.4266474295155456</v>
      </c>
      <c r="AB8" s="180">
        <f t="shared" si="8"/>
        <v>1.3955299060207274</v>
      </c>
      <c r="AC8" s="180">
        <f t="shared" si="8"/>
        <v>1.3644123825259091</v>
      </c>
      <c r="AD8" s="180">
        <f t="shared" si="8"/>
        <v>1.3332948590310907</v>
      </c>
      <c r="AE8" s="180">
        <f t="shared" si="8"/>
        <v>1.3021773355362725</v>
      </c>
      <c r="AF8" s="180">
        <f t="shared" si="8"/>
        <v>1.271059812041454</v>
      </c>
      <c r="AG8" s="180">
        <f t="shared" si="8"/>
        <v>1.2399422885466356</v>
      </c>
      <c r="AH8" s="180">
        <f t="shared" si="8"/>
        <v>1.2088247650518174</v>
      </c>
      <c r="AI8" s="180">
        <f t="shared" si="8"/>
        <v>1.1777072415569989</v>
      </c>
      <c r="AJ8" s="180">
        <f t="shared" si="8"/>
        <v>1.1465897180621807</v>
      </c>
      <c r="AK8" s="180">
        <f t="shared" si="8"/>
        <v>1</v>
      </c>
      <c r="AL8" s="180">
        <f t="shared" si="8"/>
        <v>1</v>
      </c>
      <c r="AM8" s="180">
        <f t="shared" si="8"/>
        <v>1</v>
      </c>
      <c r="AN8" s="180">
        <f t="shared" si="8"/>
        <v>1</v>
      </c>
      <c r="AO8" s="180">
        <f t="shared" si="8"/>
        <v>1</v>
      </c>
      <c r="AP8" s="180">
        <f t="shared" si="8"/>
        <v>1</v>
      </c>
      <c r="AQ8" s="180">
        <f t="shared" si="8"/>
        <v>1</v>
      </c>
      <c r="AR8" s="180">
        <f t="shared" si="8"/>
        <v>1</v>
      </c>
      <c r="AS8" s="180">
        <f t="shared" si="8"/>
        <v>1</v>
      </c>
      <c r="AT8" s="180">
        <f t="shared" si="8"/>
        <v>1</v>
      </c>
      <c r="AU8" s="180">
        <f t="shared" si="8"/>
        <v>1</v>
      </c>
      <c r="AV8" s="180">
        <f t="shared" si="8"/>
        <v>1</v>
      </c>
      <c r="AW8" s="180">
        <f t="shared" si="8"/>
        <v>1</v>
      </c>
      <c r="AX8" s="180">
        <f t="shared" si="8"/>
        <v>1</v>
      </c>
      <c r="AY8" s="180">
        <f t="shared" si="8"/>
        <v>1</v>
      </c>
      <c r="AZ8" s="180">
        <f t="shared" si="8"/>
        <v>1</v>
      </c>
      <c r="BA8" s="180">
        <f t="shared" si="8"/>
        <v>1</v>
      </c>
      <c r="BB8" s="180">
        <f t="shared" si="8"/>
        <v>1</v>
      </c>
      <c r="BC8" s="180">
        <f t="shared" si="8"/>
        <v>1</v>
      </c>
      <c r="BD8" s="180">
        <f t="shared" si="8"/>
        <v>1</v>
      </c>
      <c r="BE8" s="180">
        <f t="shared" si="8"/>
        <v>1</v>
      </c>
      <c r="BF8" s="180">
        <f t="shared" si="8"/>
        <v>1</v>
      </c>
      <c r="BG8" s="180">
        <f t="shared" si="8"/>
        <v>1</v>
      </c>
      <c r="BH8" s="180">
        <f t="shared" si="8"/>
        <v>1</v>
      </c>
      <c r="BI8" s="180">
        <f t="shared" si="8"/>
        <v>1</v>
      </c>
      <c r="BJ8" s="180">
        <f t="shared" si="8"/>
        <v>1</v>
      </c>
      <c r="BK8" s="180">
        <f t="shared" si="8"/>
        <v>1</v>
      </c>
      <c r="BL8" s="180">
        <f t="shared" si="8"/>
        <v>1</v>
      </c>
      <c r="BM8" s="180">
        <f t="shared" si="8"/>
        <v>1</v>
      </c>
    </row>
    <row r="9" spans="1:140" x14ac:dyDescent="0.35">
      <c r="A9" s="171">
        <f>'Input-Stress Parameters'!$E$16</f>
        <v>12</v>
      </c>
      <c r="B9" s="174">
        <f>('Calculations - Parameters'!M3/'Calculations - Parameters'!K3-1)-('Calculations - Parameters'!L3/'Calculations - Parameters'!K3-1)*('Input-Stress Parameters'!$J$6/12)</f>
        <v>1.4316532894873719</v>
      </c>
      <c r="C9" s="137">
        <f t="shared" si="4"/>
        <v>7</v>
      </c>
      <c r="D9" s="1" t="s">
        <v>157</v>
      </c>
      <c r="E9" s="36" t="s">
        <v>20</v>
      </c>
      <c r="F9" s="32">
        <f>$F$4</f>
        <v>45352</v>
      </c>
      <c r="G9" s="33">
        <f>EDATE(F9,1)</f>
        <v>45383</v>
      </c>
      <c r="H9" s="33">
        <f t="shared" ref="H9" si="9">EDATE(G9,1)</f>
        <v>45413</v>
      </c>
      <c r="I9" s="33">
        <f t="shared" ref="I9" si="10">EDATE(H9,1)</f>
        <v>45444</v>
      </c>
      <c r="J9" s="33">
        <f t="shared" ref="J9" si="11">EDATE(I9,1)</f>
        <v>45474</v>
      </c>
      <c r="K9" s="33">
        <f t="shared" ref="K9" si="12">EDATE(J9,1)</f>
        <v>45505</v>
      </c>
      <c r="L9" s="33">
        <f t="shared" ref="L9" si="13">EDATE(K9,1)</f>
        <v>45536</v>
      </c>
      <c r="M9" s="33">
        <f t="shared" ref="M9" si="14">EDATE(L9,1)</f>
        <v>45566</v>
      </c>
      <c r="N9" s="33">
        <f t="shared" ref="N9" si="15">EDATE(M9,1)</f>
        <v>45597</v>
      </c>
      <c r="O9" s="33">
        <f t="shared" ref="O9" si="16">EDATE(N9,1)</f>
        <v>45627</v>
      </c>
      <c r="P9" s="33">
        <f t="shared" ref="P9" si="17">EDATE(O9,1)</f>
        <v>45658</v>
      </c>
      <c r="Q9" s="33">
        <f t="shared" ref="Q9:R9" si="18">EDATE(P9,1)</f>
        <v>45689</v>
      </c>
      <c r="R9" s="34">
        <f t="shared" si="18"/>
        <v>45717</v>
      </c>
      <c r="S9" s="33">
        <f t="shared" ref="S9" si="19">EDATE(R9,1)</f>
        <v>45748</v>
      </c>
      <c r="T9" s="33">
        <f t="shared" ref="T9" si="20">EDATE(S9,1)</f>
        <v>45778</v>
      </c>
      <c r="U9" s="33">
        <f t="shared" ref="U9" si="21">EDATE(T9,1)</f>
        <v>45809</v>
      </c>
      <c r="V9" s="33">
        <f t="shared" ref="V9" si="22">EDATE(U9,1)</f>
        <v>45839</v>
      </c>
      <c r="W9" s="33">
        <f t="shared" ref="W9" si="23">EDATE(V9,1)</f>
        <v>45870</v>
      </c>
      <c r="X9" s="33">
        <f t="shared" ref="X9" si="24">EDATE(W9,1)</f>
        <v>45901</v>
      </c>
      <c r="Y9" s="33">
        <f t="shared" ref="Y9" si="25">EDATE(X9,1)</f>
        <v>45931</v>
      </c>
      <c r="Z9" s="33">
        <f t="shared" ref="Z9" si="26">EDATE(Y9,1)</f>
        <v>45962</v>
      </c>
      <c r="AA9" s="33">
        <f t="shared" ref="AA9" si="27">EDATE(Z9,1)</f>
        <v>45992</v>
      </c>
      <c r="AB9" s="33">
        <f t="shared" ref="AB9" si="28">EDATE(AA9,1)</f>
        <v>46023</v>
      </c>
      <c r="AC9" s="33">
        <f t="shared" ref="AC9:AD9" si="29">EDATE(AB9,1)</f>
        <v>46054</v>
      </c>
      <c r="AD9" s="34">
        <f t="shared" si="29"/>
        <v>46082</v>
      </c>
      <c r="AE9" s="33">
        <f t="shared" ref="AE9" si="30">EDATE(AD9,1)</f>
        <v>46113</v>
      </c>
      <c r="AF9" s="33">
        <f t="shared" ref="AF9" si="31">EDATE(AE9,1)</f>
        <v>46143</v>
      </c>
      <c r="AG9" s="33">
        <f t="shared" ref="AG9" si="32">EDATE(AF9,1)</f>
        <v>46174</v>
      </c>
      <c r="AH9" s="33">
        <f t="shared" ref="AH9" si="33">EDATE(AG9,1)</f>
        <v>46204</v>
      </c>
      <c r="AI9" s="33">
        <f t="shared" ref="AI9" si="34">EDATE(AH9,1)</f>
        <v>46235</v>
      </c>
      <c r="AJ9" s="33">
        <f t="shared" ref="AJ9" si="35">EDATE(AI9,1)</f>
        <v>46266</v>
      </c>
      <c r="AK9" s="33">
        <f t="shared" ref="AK9" si="36">EDATE(AJ9,1)</f>
        <v>46296</v>
      </c>
      <c r="AL9" s="33">
        <f t="shared" ref="AL9" si="37">EDATE(AK9,1)</f>
        <v>46327</v>
      </c>
      <c r="AM9" s="33">
        <f t="shared" ref="AM9" si="38">EDATE(AL9,1)</f>
        <v>46357</v>
      </c>
      <c r="AN9" s="33">
        <f t="shared" ref="AN9" si="39">EDATE(AM9,1)</f>
        <v>46388</v>
      </c>
      <c r="AO9" s="33">
        <f t="shared" ref="AO9" si="40">EDATE(AN9,1)</f>
        <v>46419</v>
      </c>
      <c r="AP9" s="33">
        <f t="shared" ref="AP9" si="41">EDATE(AO9,1)</f>
        <v>46447</v>
      </c>
      <c r="AQ9" s="33">
        <f t="shared" ref="AQ9" si="42">EDATE(AP9,1)</f>
        <v>46478</v>
      </c>
      <c r="AR9" s="33">
        <f t="shared" ref="AR9" si="43">EDATE(AQ9,1)</f>
        <v>46508</v>
      </c>
      <c r="AS9" s="33">
        <f t="shared" ref="AS9" si="44">EDATE(AR9,1)</f>
        <v>46539</v>
      </c>
      <c r="AT9" s="33">
        <f t="shared" ref="AT9" si="45">EDATE(AS9,1)</f>
        <v>46569</v>
      </c>
      <c r="AU9" s="33">
        <f t="shared" ref="AU9" si="46">EDATE(AT9,1)</f>
        <v>46600</v>
      </c>
      <c r="AV9" s="33">
        <f t="shared" ref="AV9" si="47">EDATE(AU9,1)</f>
        <v>46631</v>
      </c>
      <c r="AW9" s="33">
        <f t="shared" ref="AW9" si="48">EDATE(AV9,1)</f>
        <v>46661</v>
      </c>
      <c r="AX9" s="33">
        <f t="shared" ref="AX9" si="49">EDATE(AW9,1)</f>
        <v>46692</v>
      </c>
      <c r="AY9" s="33">
        <f t="shared" ref="AY9" si="50">EDATE(AX9,1)</f>
        <v>46722</v>
      </c>
      <c r="AZ9" s="33">
        <f t="shared" ref="AZ9" si="51">EDATE(AY9,1)</f>
        <v>46753</v>
      </c>
      <c r="BA9" s="34">
        <f t="shared" ref="BA9" si="52">EDATE(AZ9,1)</f>
        <v>46784</v>
      </c>
      <c r="BB9" s="33">
        <f t="shared" ref="BB9" si="53">EDATE(BA9,1)</f>
        <v>46813</v>
      </c>
      <c r="BC9" s="33">
        <f t="shared" ref="BC9" si="54">EDATE(BB9,1)</f>
        <v>46844</v>
      </c>
      <c r="BD9" s="33">
        <f t="shared" ref="BD9" si="55">EDATE(BC9,1)</f>
        <v>46874</v>
      </c>
      <c r="BE9" s="33">
        <f t="shared" ref="BE9" si="56">EDATE(BD9,1)</f>
        <v>46905</v>
      </c>
      <c r="BF9" s="33">
        <f t="shared" ref="BF9" si="57">EDATE(BE9,1)</f>
        <v>46935</v>
      </c>
      <c r="BG9" s="33">
        <f t="shared" ref="BG9" si="58">EDATE(BF9,1)</f>
        <v>46966</v>
      </c>
      <c r="BH9" s="33">
        <f t="shared" ref="BH9" si="59">EDATE(BG9,1)</f>
        <v>46997</v>
      </c>
      <c r="BI9" s="33">
        <f t="shared" ref="BI9" si="60">EDATE(BH9,1)</f>
        <v>47027</v>
      </c>
      <c r="BJ9" s="33">
        <f t="shared" ref="BJ9" si="61">EDATE(BI9,1)</f>
        <v>47058</v>
      </c>
      <c r="BK9" s="33">
        <f t="shared" ref="BK9" si="62">EDATE(BJ9,1)</f>
        <v>47088</v>
      </c>
      <c r="BL9" s="33">
        <f t="shared" ref="BL9" si="63">EDATE(BK9,1)</f>
        <v>47119</v>
      </c>
      <c r="BM9" s="34">
        <f>EDATE(BL9,1)</f>
        <v>47150</v>
      </c>
    </row>
    <row r="10" spans="1:140" x14ac:dyDescent="0.35">
      <c r="A10" s="238">
        <v>24</v>
      </c>
      <c r="B10" s="174">
        <f>('Calculations - Parameters'!N3/'Calculations - Parameters'!K3-1)*('Input-Stress Parameters'!$J$7/12)-B9-B8</f>
        <v>-1.3481595876798433</v>
      </c>
      <c r="C10" s="137">
        <f t="shared" si="4"/>
        <v>8</v>
      </c>
      <c r="D10" s="1" t="s">
        <v>51</v>
      </c>
      <c r="E10" s="1" t="s">
        <v>51</v>
      </c>
      <c r="F10" s="190">
        <f t="shared" ref="F10" si="64">F5</f>
        <v>0.95964140873589809</v>
      </c>
      <c r="G10" s="191">
        <v>0.95904140873589805</v>
      </c>
      <c r="H10" s="191">
        <v>0.95844140873589811</v>
      </c>
      <c r="I10" s="191">
        <v>0.95784140873589807</v>
      </c>
      <c r="J10" s="191">
        <v>0.95724140873589814</v>
      </c>
      <c r="K10" s="191">
        <v>0.95664140873589798</v>
      </c>
      <c r="L10" s="191">
        <v>0.95604140873589805</v>
      </c>
      <c r="M10" s="191">
        <v>0.95505140873589811</v>
      </c>
      <c r="N10" s="191">
        <v>0.95406140873589806</v>
      </c>
      <c r="O10" s="191">
        <v>0.95307140873589802</v>
      </c>
      <c r="P10" s="191">
        <v>0.95208140873589808</v>
      </c>
      <c r="Q10" s="191">
        <v>0.95109140873589804</v>
      </c>
      <c r="R10" s="192">
        <v>0.9501014087358981</v>
      </c>
      <c r="S10" s="191">
        <v>0.94853140873589814</v>
      </c>
      <c r="T10" s="191">
        <v>0.94696140873589807</v>
      </c>
      <c r="U10" s="191">
        <v>0.94539140873589811</v>
      </c>
      <c r="V10" s="191">
        <v>0.94382140873589804</v>
      </c>
      <c r="W10" s="191">
        <v>0.94225140873589808</v>
      </c>
      <c r="X10" s="191">
        <v>0.92870091983751801</v>
      </c>
      <c r="Y10" s="191">
        <v>0.94213709497010878</v>
      </c>
      <c r="Z10" s="191">
        <v>0.94339846209962896</v>
      </c>
      <c r="AA10" s="191">
        <v>0.94465982922914937</v>
      </c>
      <c r="AB10" s="191">
        <v>0.94592119635866967</v>
      </c>
      <c r="AC10" s="191">
        <v>0.94718256348818997</v>
      </c>
      <c r="AD10" s="192">
        <v>0.94844393061771026</v>
      </c>
      <c r="AE10" s="191">
        <v>0.94970529774723056</v>
      </c>
      <c r="AF10" s="191">
        <v>0.95096666487675097</v>
      </c>
      <c r="AG10" s="191">
        <v>0.95222803200627126</v>
      </c>
      <c r="AH10" s="191">
        <v>0.95348939913579156</v>
      </c>
      <c r="AI10" s="191">
        <v>0.95475076626531186</v>
      </c>
      <c r="AJ10" s="191">
        <v>0.95601213339483215</v>
      </c>
      <c r="AK10" s="191">
        <v>0.95727350052435245</v>
      </c>
      <c r="AL10" s="191">
        <v>0.95853486765387275</v>
      </c>
      <c r="AM10" s="191">
        <v>0.95979623478339304</v>
      </c>
      <c r="AN10" s="191">
        <v>0.96105760191291334</v>
      </c>
      <c r="AO10" s="191">
        <v>0.96231896904243375</v>
      </c>
      <c r="AP10" s="192">
        <v>0.96358033617195404</v>
      </c>
      <c r="AQ10" s="130">
        <f t="shared" ref="AQ10:BM10" si="65">1-AQ11-AQ12</f>
        <v>0.95599999999999996</v>
      </c>
      <c r="AR10" s="130">
        <f t="shared" si="65"/>
        <v>0.95599999999999996</v>
      </c>
      <c r="AS10" s="130">
        <f t="shared" si="65"/>
        <v>0.95599999999999996</v>
      </c>
      <c r="AT10" s="130">
        <f t="shared" si="65"/>
        <v>0.95599999999999996</v>
      </c>
      <c r="AU10" s="130">
        <f t="shared" si="65"/>
        <v>0.95599999999999996</v>
      </c>
      <c r="AV10" s="130">
        <f t="shared" si="65"/>
        <v>0.95599999999999996</v>
      </c>
      <c r="AW10" s="130">
        <f t="shared" si="65"/>
        <v>0.95599999999999996</v>
      </c>
      <c r="AX10" s="130">
        <f t="shared" si="65"/>
        <v>0.95599999999999996</v>
      </c>
      <c r="AY10" s="130">
        <f t="shared" si="65"/>
        <v>0.95599999999999996</v>
      </c>
      <c r="AZ10" s="130">
        <f t="shared" si="65"/>
        <v>0.95599999999999996</v>
      </c>
      <c r="BA10" s="131">
        <f t="shared" si="65"/>
        <v>0.95599999999999996</v>
      </c>
      <c r="BB10" s="130">
        <f t="shared" si="65"/>
        <v>0.95599999999999996</v>
      </c>
      <c r="BC10" s="130">
        <f t="shared" si="65"/>
        <v>0.95599999999999996</v>
      </c>
      <c r="BD10" s="130">
        <f t="shared" si="65"/>
        <v>0.95599999999999996</v>
      </c>
      <c r="BE10" s="130">
        <f t="shared" si="65"/>
        <v>0.95599999999999996</v>
      </c>
      <c r="BF10" s="130">
        <f t="shared" si="65"/>
        <v>0.95599999999999996</v>
      </c>
      <c r="BG10" s="130">
        <f t="shared" si="65"/>
        <v>0.95599999999999996</v>
      </c>
      <c r="BH10" s="130">
        <f t="shared" si="65"/>
        <v>0.95599999999999996</v>
      </c>
      <c r="BI10" s="130">
        <f t="shared" si="65"/>
        <v>0.95599999999999996</v>
      </c>
      <c r="BJ10" s="130">
        <f t="shared" si="65"/>
        <v>0.95599999999999996</v>
      </c>
      <c r="BK10" s="130">
        <f t="shared" si="65"/>
        <v>0.95599999999999996</v>
      </c>
      <c r="BL10" s="130">
        <f t="shared" si="65"/>
        <v>0.95599999999999996</v>
      </c>
      <c r="BM10" s="131">
        <f t="shared" si="65"/>
        <v>0.95599999999999996</v>
      </c>
    </row>
    <row r="11" spans="1:140" x14ac:dyDescent="0.35">
      <c r="A11" s="171">
        <f>'Input-Stress Parameters'!$E$18+1</f>
        <v>10</v>
      </c>
      <c r="B11" s="172">
        <f>B6-('Calculations - Parameters'!N3/'Calculations - Parameters'!K3)*B7</f>
        <v>-1.4845208042934639E-2</v>
      </c>
      <c r="C11" s="137">
        <f t="shared" si="4"/>
        <v>9</v>
      </c>
      <c r="D11" s="2" t="s">
        <v>52</v>
      </c>
      <c r="E11" s="2" t="s">
        <v>52</v>
      </c>
      <c r="F11" s="193">
        <f t="shared" ref="F11" si="66">IF(F$1="N",F6,IF(F$2="SL1P",(E11+$B5*($B8/$A8)),IF(F$2="SL2P",(E11+$B5*($B9/$A9)),IF(F$2="SL3P",(E11+$B5*($B10/$A10)),IF(F$2="SL4P",(E11+($B12/$A12)))))))</f>
        <v>2.3275617710075865E-2</v>
      </c>
      <c r="G11" s="194">
        <v>2.3675617710075866E-2</v>
      </c>
      <c r="H11" s="194">
        <v>2.4075617710075867E-2</v>
      </c>
      <c r="I11" s="194">
        <v>2.4475617710075868E-2</v>
      </c>
      <c r="J11" s="194">
        <v>2.4875617710075869E-2</v>
      </c>
      <c r="K11" s="194">
        <v>2.527561771007587E-2</v>
      </c>
      <c r="L11" s="194">
        <v>2.5675617710075871E-2</v>
      </c>
      <c r="M11" s="194">
        <v>2.628561771007587E-2</v>
      </c>
      <c r="N11" s="194">
        <v>2.689561771007587E-2</v>
      </c>
      <c r="O11" s="194">
        <v>2.7505617710075869E-2</v>
      </c>
      <c r="P11" s="194">
        <v>2.8115617710075869E-2</v>
      </c>
      <c r="Q11" s="194">
        <v>2.8725617710075868E-2</v>
      </c>
      <c r="R11" s="195">
        <v>2.9335617710075867E-2</v>
      </c>
      <c r="S11" s="194">
        <v>3.0345617710075868E-2</v>
      </c>
      <c r="T11" s="194">
        <v>3.1355617710075868E-2</v>
      </c>
      <c r="U11" s="194">
        <v>3.2365617710075865E-2</v>
      </c>
      <c r="V11" s="194">
        <v>3.3375617710075862E-2</v>
      </c>
      <c r="W11" s="194">
        <v>3.4385617710075859E-2</v>
      </c>
      <c r="X11" s="252">
        <v>3.5378938919315317E-2</v>
      </c>
      <c r="Y11" s="194">
        <v>3.4654659338365625E-2</v>
      </c>
      <c r="Z11" s="194">
        <v>3.3930379757415932E-2</v>
      </c>
      <c r="AA11" s="194">
        <v>3.320610017646624E-2</v>
      </c>
      <c r="AB11" s="194">
        <v>3.2481820595516547E-2</v>
      </c>
      <c r="AC11" s="194">
        <v>3.1757541014566855E-2</v>
      </c>
      <c r="AD11" s="195">
        <v>3.1033261433617159E-2</v>
      </c>
      <c r="AE11" s="194">
        <v>3.0308981852667463E-2</v>
      </c>
      <c r="AF11" s="194">
        <v>2.9584702271717767E-2</v>
      </c>
      <c r="AG11" s="194">
        <v>2.8860422690768071E-2</v>
      </c>
      <c r="AH11" s="194">
        <v>2.8136143109818375E-2</v>
      </c>
      <c r="AI11" s="194">
        <v>2.741186352886868E-2</v>
      </c>
      <c r="AJ11" s="194">
        <v>2.6687583947918984E-2</v>
      </c>
      <c r="AK11" s="253">
        <v>2.5963304366969288E-2</v>
      </c>
      <c r="AL11" s="253">
        <v>2.5239024786019592E-2</v>
      </c>
      <c r="AM11" s="253">
        <v>2.4514745205069896E-2</v>
      </c>
      <c r="AN11" s="253">
        <v>2.37904656241202E-2</v>
      </c>
      <c r="AO11" s="253">
        <v>2.3066186043170504E-2</v>
      </c>
      <c r="AP11" s="254">
        <v>2.2341906462220808E-2</v>
      </c>
      <c r="AQ11" s="169">
        <f t="shared" ref="AQ11:BM11" si="67">IF(AQ$1="N",AQ6,IF(AQ$2="SL1P",(AP11+$B5*($B8/$A8)),IF(AQ$2="SL2P",(AP11+$B5*($B9/$A9)),IF(AQ$2="SL3P",(AP11+$B5*($B10/$A10)),IF(AQ$2="SL4P",(AP11+($B12/$A12)))))))</f>
        <v>0.03</v>
      </c>
      <c r="AR11" s="169">
        <f t="shared" si="67"/>
        <v>0.03</v>
      </c>
      <c r="AS11" s="169">
        <f t="shared" si="67"/>
        <v>0.03</v>
      </c>
      <c r="AT11" s="169">
        <f t="shared" si="67"/>
        <v>0.03</v>
      </c>
      <c r="AU11" s="169">
        <f t="shared" si="67"/>
        <v>0.03</v>
      </c>
      <c r="AV11" s="169">
        <f t="shared" si="67"/>
        <v>0.03</v>
      </c>
      <c r="AW11" s="169">
        <f t="shared" si="67"/>
        <v>0.03</v>
      </c>
      <c r="AX11" s="169">
        <f t="shared" si="67"/>
        <v>0.03</v>
      </c>
      <c r="AY11" s="169">
        <f t="shared" si="67"/>
        <v>0.03</v>
      </c>
      <c r="AZ11" s="169">
        <f t="shared" si="67"/>
        <v>0.03</v>
      </c>
      <c r="BA11" s="170">
        <f t="shared" si="67"/>
        <v>0.03</v>
      </c>
      <c r="BB11" s="169">
        <f t="shared" si="67"/>
        <v>0.03</v>
      </c>
      <c r="BC11" s="169">
        <f t="shared" si="67"/>
        <v>0.03</v>
      </c>
      <c r="BD11" s="169">
        <f t="shared" si="67"/>
        <v>0.03</v>
      </c>
      <c r="BE11" s="169">
        <f t="shared" si="67"/>
        <v>0.03</v>
      </c>
      <c r="BF11" s="169">
        <f t="shared" si="67"/>
        <v>0.03</v>
      </c>
      <c r="BG11" s="169">
        <f t="shared" si="67"/>
        <v>0.03</v>
      </c>
      <c r="BH11" s="169">
        <f t="shared" si="67"/>
        <v>0.03</v>
      </c>
      <c r="BI11" s="169">
        <f t="shared" si="67"/>
        <v>0.03</v>
      </c>
      <c r="BJ11" s="169">
        <f t="shared" si="67"/>
        <v>0.03</v>
      </c>
      <c r="BK11" s="169">
        <f t="shared" si="67"/>
        <v>0.03</v>
      </c>
      <c r="BL11" s="169">
        <f t="shared" si="67"/>
        <v>0.03</v>
      </c>
      <c r="BM11" s="170">
        <f t="shared" si="67"/>
        <v>0.03</v>
      </c>
    </row>
    <row r="12" spans="1:140" x14ac:dyDescent="0.35">
      <c r="A12" s="171">
        <f>A11</f>
        <v>10</v>
      </c>
      <c r="B12" s="172">
        <f>B4-('Calculations - Parameters'!N3/'Calculations - Parameters'!K3)*B5</f>
        <v>-1.7020720342047994E-2</v>
      </c>
      <c r="C12" s="137">
        <f t="shared" si="4"/>
        <v>10</v>
      </c>
      <c r="D12" s="3" t="s">
        <v>53</v>
      </c>
      <c r="E12" s="3" t="s">
        <v>53</v>
      </c>
      <c r="F12" s="196">
        <f t="shared" ref="F12" si="68">IF(F$1="N",F7,IF(F$2="SL1P",(E12+$B7*($B8/$A8)),IF(F$2="SL2P",(E12+$B7*($B9/$A9)),IF(F$2="SL3P",(E12+$B7*($B10/$A10)),IF(F$2="SL4P",(E12+($B11/$A11)))))))</f>
        <v>1.7082973554026073E-2</v>
      </c>
      <c r="G12" s="197">
        <v>1.7282973554026072E-2</v>
      </c>
      <c r="H12" s="197">
        <v>1.748297355402607E-2</v>
      </c>
      <c r="I12" s="197">
        <v>1.7682973554026069E-2</v>
      </c>
      <c r="J12" s="197">
        <v>1.7882973554026068E-2</v>
      </c>
      <c r="K12" s="197">
        <v>1.8082973554026067E-2</v>
      </c>
      <c r="L12" s="197">
        <v>1.8282973554026066E-2</v>
      </c>
      <c r="M12" s="197">
        <v>1.8662973554026064E-2</v>
      </c>
      <c r="N12" s="197">
        <v>1.9042973554026062E-2</v>
      </c>
      <c r="O12" s="197">
        <v>1.9422973554026061E-2</v>
      </c>
      <c r="P12" s="197">
        <v>1.9802973554026059E-2</v>
      </c>
      <c r="Q12" s="197">
        <v>2.0182973554026058E-2</v>
      </c>
      <c r="R12" s="198">
        <v>2.0562973554026056E-2</v>
      </c>
      <c r="S12" s="197">
        <v>2.1122973554026057E-2</v>
      </c>
      <c r="T12" s="197">
        <v>2.1682973554026059E-2</v>
      </c>
      <c r="U12" s="197">
        <v>2.224297355402606E-2</v>
      </c>
      <c r="V12" s="197">
        <v>2.2802973554026062E-2</v>
      </c>
      <c r="W12" s="197">
        <v>2.3362973554026063E-2</v>
      </c>
      <c r="X12" s="255">
        <v>2.3745333240096238E-2</v>
      </c>
      <c r="Y12" s="197">
        <v>2.3208245691525624E-2</v>
      </c>
      <c r="Z12" s="197">
        <v>2.2671158142955009E-2</v>
      </c>
      <c r="AA12" s="197">
        <v>2.2134070594384395E-2</v>
      </c>
      <c r="AB12" s="197">
        <v>2.159698304581378E-2</v>
      </c>
      <c r="AC12" s="197">
        <v>2.1059895497243165E-2</v>
      </c>
      <c r="AD12" s="198">
        <v>2.0522807948672551E-2</v>
      </c>
      <c r="AE12" s="197">
        <v>1.9985720400101936E-2</v>
      </c>
      <c r="AF12" s="197">
        <v>1.9448632851531322E-2</v>
      </c>
      <c r="AG12" s="197">
        <v>1.8911545302960707E-2</v>
      </c>
      <c r="AH12" s="197">
        <v>1.8374457754390092E-2</v>
      </c>
      <c r="AI12" s="197">
        <v>1.7837370205819478E-2</v>
      </c>
      <c r="AJ12" s="197">
        <v>1.7300282657248863E-2</v>
      </c>
      <c r="AK12" s="256">
        <v>1.6763195108678249E-2</v>
      </c>
      <c r="AL12" s="256">
        <v>1.6226107560107634E-2</v>
      </c>
      <c r="AM12" s="256">
        <v>1.5689020011537019E-2</v>
      </c>
      <c r="AN12" s="256">
        <v>1.5151932462966406E-2</v>
      </c>
      <c r="AO12" s="256">
        <v>1.4614844914395794E-2</v>
      </c>
      <c r="AP12" s="257">
        <v>1.4077757365825181E-2</v>
      </c>
      <c r="AQ12" s="156">
        <f t="shared" ref="AQ12:BM12" si="69">IF(AQ$1="N",AQ7,IF(AQ$2="SL1P",(AP12+$B7*($B8/$A8)),IF(AQ$2="SL2P",(AP12+$B7*($B9/$A9)),IF(AQ$2="SL3P",(AP12+$B7*($B10/$A10)),IF(AQ$2="SL4P",(AP12+($B11/$A11)))))))</f>
        <v>1.4E-2</v>
      </c>
      <c r="AR12" s="156">
        <f t="shared" si="69"/>
        <v>1.4E-2</v>
      </c>
      <c r="AS12" s="156">
        <f t="shared" si="69"/>
        <v>1.4E-2</v>
      </c>
      <c r="AT12" s="156">
        <f t="shared" si="69"/>
        <v>1.4E-2</v>
      </c>
      <c r="AU12" s="156">
        <f t="shared" si="69"/>
        <v>1.4E-2</v>
      </c>
      <c r="AV12" s="156">
        <f t="shared" si="69"/>
        <v>1.4E-2</v>
      </c>
      <c r="AW12" s="156">
        <f t="shared" si="69"/>
        <v>1.4E-2</v>
      </c>
      <c r="AX12" s="156">
        <f t="shared" si="69"/>
        <v>1.4E-2</v>
      </c>
      <c r="AY12" s="156">
        <f t="shared" si="69"/>
        <v>1.4E-2</v>
      </c>
      <c r="AZ12" s="156">
        <f t="shared" si="69"/>
        <v>1.4E-2</v>
      </c>
      <c r="BA12" s="158">
        <f t="shared" si="69"/>
        <v>1.4E-2</v>
      </c>
      <c r="BB12" s="156">
        <f t="shared" si="69"/>
        <v>1.4E-2</v>
      </c>
      <c r="BC12" s="156">
        <f t="shared" si="69"/>
        <v>1.4E-2</v>
      </c>
      <c r="BD12" s="156">
        <f t="shared" si="69"/>
        <v>1.4E-2</v>
      </c>
      <c r="BE12" s="156">
        <f t="shared" si="69"/>
        <v>1.4E-2</v>
      </c>
      <c r="BF12" s="156">
        <f t="shared" si="69"/>
        <v>1.4E-2</v>
      </c>
      <c r="BG12" s="156">
        <f t="shared" si="69"/>
        <v>1.4E-2</v>
      </c>
      <c r="BH12" s="156">
        <f t="shared" si="69"/>
        <v>1.4E-2</v>
      </c>
      <c r="BI12" s="156">
        <f t="shared" si="69"/>
        <v>1.4E-2</v>
      </c>
      <c r="BJ12" s="156">
        <f t="shared" si="69"/>
        <v>1.4E-2</v>
      </c>
      <c r="BK12" s="156">
        <f t="shared" si="69"/>
        <v>1.4E-2</v>
      </c>
      <c r="BL12" s="156">
        <f t="shared" si="69"/>
        <v>1.4E-2</v>
      </c>
      <c r="BM12" s="158">
        <f t="shared" si="69"/>
        <v>1.4E-2</v>
      </c>
    </row>
    <row r="13" spans="1:140" x14ac:dyDescent="0.35">
      <c r="C13" s="137">
        <f t="shared" si="4"/>
        <v>11</v>
      </c>
      <c r="G13" s="178"/>
      <c r="H13" s="178"/>
      <c r="I13" s="178"/>
      <c r="J13" s="178"/>
      <c r="K13" s="178"/>
      <c r="L13" s="178"/>
      <c r="M13" s="178"/>
      <c r="N13" s="178"/>
      <c r="O13" s="178"/>
      <c r="P13" s="178"/>
      <c r="Q13" s="178"/>
      <c r="R13" s="178"/>
      <c r="S13" s="178"/>
      <c r="T13" s="178"/>
      <c r="U13" s="178"/>
      <c r="V13" s="178"/>
      <c r="W13" s="178"/>
      <c r="X13" s="178"/>
      <c r="Y13" s="177"/>
      <c r="Z13" s="177"/>
      <c r="AA13" s="178"/>
      <c r="AB13" s="178"/>
      <c r="AC13" s="236"/>
      <c r="AD13" s="178"/>
      <c r="AE13" s="178"/>
      <c r="AF13" s="178"/>
      <c r="AG13" s="178"/>
    </row>
    <row r="14" spans="1:140" x14ac:dyDescent="0.35">
      <c r="A14" s="171" t="s">
        <v>139</v>
      </c>
      <c r="B14" s="172">
        <f>HLOOKUP(A14,$F$3:$BM$95,C16,0)</f>
        <v>2.6267928250835369E-2</v>
      </c>
      <c r="C14" s="137">
        <f t="shared" si="4"/>
        <v>12</v>
      </c>
      <c r="D14" s="1" t="s">
        <v>158</v>
      </c>
      <c r="E14" s="36" t="s">
        <v>19</v>
      </c>
      <c r="F14" s="32">
        <f>$F$4</f>
        <v>45352</v>
      </c>
      <c r="G14" s="33">
        <f>EDATE(F14,1)</f>
        <v>45383</v>
      </c>
      <c r="H14" s="33">
        <f t="shared" ref="H14" si="70">EDATE(G14,1)</f>
        <v>45413</v>
      </c>
      <c r="I14" s="33">
        <f t="shared" ref="I14" si="71">EDATE(H14,1)</f>
        <v>45444</v>
      </c>
      <c r="J14" s="33">
        <f t="shared" ref="J14" si="72">EDATE(I14,1)</f>
        <v>45474</v>
      </c>
      <c r="K14" s="33">
        <f t="shared" ref="K14" si="73">EDATE(J14,1)</f>
        <v>45505</v>
      </c>
      <c r="L14" s="33">
        <f t="shared" ref="L14" si="74">EDATE(K14,1)</f>
        <v>45536</v>
      </c>
      <c r="M14" s="33">
        <f t="shared" ref="M14" si="75">EDATE(L14,1)</f>
        <v>45566</v>
      </c>
      <c r="N14" s="33">
        <f t="shared" ref="N14" si="76">EDATE(M14,1)</f>
        <v>45597</v>
      </c>
      <c r="O14" s="33">
        <f t="shared" ref="O14" si="77">EDATE(N14,1)</f>
        <v>45627</v>
      </c>
      <c r="P14" s="33">
        <f t="shared" ref="P14" si="78">EDATE(O14,1)</f>
        <v>45658</v>
      </c>
      <c r="Q14" s="33">
        <f t="shared" ref="Q14" si="79">EDATE(P14,1)</f>
        <v>45689</v>
      </c>
      <c r="R14" s="34">
        <f t="shared" ref="R14" si="80">EDATE(Q14,1)</f>
        <v>45717</v>
      </c>
      <c r="S14" s="33">
        <f t="shared" ref="S14" si="81">EDATE(R14,1)</f>
        <v>45748</v>
      </c>
      <c r="T14" s="33">
        <f t="shared" ref="T14" si="82">EDATE(S14,1)</f>
        <v>45778</v>
      </c>
      <c r="U14" s="33">
        <f t="shared" ref="U14" si="83">EDATE(T14,1)</f>
        <v>45809</v>
      </c>
      <c r="V14" s="33">
        <f t="shared" ref="V14" si="84">EDATE(U14,1)</f>
        <v>45839</v>
      </c>
      <c r="W14" s="33">
        <f t="shared" ref="W14" si="85">EDATE(V14,1)</f>
        <v>45870</v>
      </c>
      <c r="X14" s="33">
        <f t="shared" ref="X14" si="86">EDATE(W14,1)</f>
        <v>45901</v>
      </c>
      <c r="Y14" s="33">
        <f t="shared" ref="Y14" si="87">EDATE(X14,1)</f>
        <v>45931</v>
      </c>
      <c r="Z14" s="33">
        <f t="shared" ref="Z14" si="88">EDATE(Y14,1)</f>
        <v>45962</v>
      </c>
      <c r="AA14" s="33">
        <f t="shared" ref="AA14" si="89">EDATE(Z14,1)</f>
        <v>45992</v>
      </c>
      <c r="AB14" s="33">
        <f t="shared" ref="AB14" si="90">EDATE(AA14,1)</f>
        <v>46023</v>
      </c>
      <c r="AC14" s="33">
        <f t="shared" ref="AC14" si="91">EDATE(AB14,1)</f>
        <v>46054</v>
      </c>
      <c r="AD14" s="34">
        <f t="shared" ref="AD14" si="92">EDATE(AC14,1)</f>
        <v>46082</v>
      </c>
      <c r="AE14" s="33">
        <f t="shared" ref="AE14" si="93">EDATE(AD14,1)</f>
        <v>46113</v>
      </c>
      <c r="AF14" s="33">
        <f t="shared" ref="AF14" si="94">EDATE(AE14,1)</f>
        <v>46143</v>
      </c>
      <c r="AG14" s="33">
        <f t="shared" ref="AG14" si="95">EDATE(AF14,1)</f>
        <v>46174</v>
      </c>
      <c r="AH14" s="33">
        <f t="shared" ref="AH14" si="96">EDATE(AG14,1)</f>
        <v>46204</v>
      </c>
      <c r="AI14" s="33">
        <f t="shared" ref="AI14" si="97">EDATE(AH14,1)</f>
        <v>46235</v>
      </c>
      <c r="AJ14" s="33">
        <f t="shared" ref="AJ14" si="98">EDATE(AI14,1)</f>
        <v>46266</v>
      </c>
      <c r="AK14" s="33">
        <f t="shared" ref="AK14" si="99">EDATE(AJ14,1)</f>
        <v>46296</v>
      </c>
      <c r="AL14" s="33">
        <f t="shared" ref="AL14" si="100">EDATE(AK14,1)</f>
        <v>46327</v>
      </c>
      <c r="AM14" s="33">
        <f t="shared" ref="AM14" si="101">EDATE(AL14,1)</f>
        <v>46357</v>
      </c>
      <c r="AN14" s="33">
        <f t="shared" ref="AN14" si="102">EDATE(AM14,1)</f>
        <v>46388</v>
      </c>
      <c r="AO14" s="33">
        <f t="shared" ref="AO14" si="103">EDATE(AN14,1)</f>
        <v>46419</v>
      </c>
      <c r="AP14" s="34">
        <f t="shared" ref="AP14" si="104">EDATE(AO14,1)</f>
        <v>46447</v>
      </c>
      <c r="AQ14" s="33">
        <f t="shared" ref="AQ14" si="105">EDATE(AP14,1)</f>
        <v>46478</v>
      </c>
      <c r="AR14" s="33">
        <f t="shared" ref="AR14" si="106">EDATE(AQ14,1)</f>
        <v>46508</v>
      </c>
      <c r="AS14" s="33">
        <f t="shared" ref="AS14" si="107">EDATE(AR14,1)</f>
        <v>46539</v>
      </c>
      <c r="AT14" s="33">
        <f t="shared" ref="AT14" si="108">EDATE(AS14,1)</f>
        <v>46569</v>
      </c>
      <c r="AU14" s="33">
        <f t="shared" ref="AU14" si="109">EDATE(AT14,1)</f>
        <v>46600</v>
      </c>
      <c r="AV14" s="33">
        <f t="shared" ref="AV14" si="110">EDATE(AU14,1)</f>
        <v>46631</v>
      </c>
      <c r="AW14" s="33">
        <f t="shared" ref="AW14" si="111">EDATE(AV14,1)</f>
        <v>46661</v>
      </c>
      <c r="AX14" s="33">
        <f t="shared" ref="AX14" si="112">EDATE(AW14,1)</f>
        <v>46692</v>
      </c>
      <c r="AY14" s="33">
        <f t="shared" ref="AY14" si="113">EDATE(AX14,1)</f>
        <v>46722</v>
      </c>
      <c r="AZ14" s="33">
        <f t="shared" ref="AZ14" si="114">EDATE(AY14,1)</f>
        <v>46753</v>
      </c>
      <c r="BA14" s="34">
        <f t="shared" ref="BA14" si="115">EDATE(AZ14,1)</f>
        <v>46784</v>
      </c>
      <c r="BB14" s="33">
        <f t="shared" ref="BB14" si="116">EDATE(BA14,1)</f>
        <v>46813</v>
      </c>
      <c r="BC14" s="33">
        <f t="shared" ref="BC14" si="117">EDATE(BB14,1)</f>
        <v>46844</v>
      </c>
      <c r="BD14" s="33">
        <f t="shared" ref="BD14" si="118">EDATE(BC14,1)</f>
        <v>46874</v>
      </c>
      <c r="BE14" s="33">
        <f t="shared" ref="BE14" si="119">EDATE(BD14,1)</f>
        <v>46905</v>
      </c>
      <c r="BF14" s="33">
        <f t="shared" ref="BF14" si="120">EDATE(BE14,1)</f>
        <v>46935</v>
      </c>
      <c r="BG14" s="33">
        <f t="shared" ref="BG14" si="121">EDATE(BF14,1)</f>
        <v>46966</v>
      </c>
      <c r="BH14" s="33">
        <f t="shared" ref="BH14" si="122">EDATE(BG14,1)</f>
        <v>46997</v>
      </c>
      <c r="BI14" s="33">
        <f t="shared" ref="BI14" si="123">EDATE(BH14,1)</f>
        <v>47027</v>
      </c>
      <c r="BJ14" s="33">
        <f t="shared" ref="BJ14" si="124">EDATE(BI14,1)</f>
        <v>47058</v>
      </c>
      <c r="BK14" s="33">
        <f t="shared" ref="BK14" si="125">EDATE(BJ14,1)</f>
        <v>47088</v>
      </c>
      <c r="BL14" s="33">
        <f t="shared" ref="BL14" si="126">EDATE(BK14,1)</f>
        <v>47119</v>
      </c>
      <c r="BM14" s="34">
        <f>EDATE(BL14,1)</f>
        <v>47150</v>
      </c>
    </row>
    <row r="15" spans="1:140" x14ac:dyDescent="0.35">
      <c r="A15" s="171" t="s">
        <v>138</v>
      </c>
      <c r="B15" s="172">
        <f>HLOOKUP(A15,$F$3:$BM$95,C16,0)</f>
        <v>4.3103849557309344E-2</v>
      </c>
      <c r="C15" s="137">
        <f t="shared" si="4"/>
        <v>13</v>
      </c>
      <c r="D15" s="1" t="s">
        <v>51</v>
      </c>
      <c r="E15" s="1" t="s">
        <v>51</v>
      </c>
      <c r="F15" s="159">
        <v>0.92406922552020199</v>
      </c>
      <c r="G15" s="160">
        <v>0.92599899193144353</v>
      </c>
      <c r="H15" s="160">
        <v>0.92836356808569698</v>
      </c>
      <c r="I15" s="160">
        <v>0.92382126665192854</v>
      </c>
      <c r="J15" s="160">
        <v>0.9276068479374473</v>
      </c>
      <c r="K15" s="160">
        <v>0.93148122988920912</v>
      </c>
      <c r="L15" s="160">
        <v>0.92903583871461903</v>
      </c>
      <c r="M15" s="160">
        <v>0.93358844808133135</v>
      </c>
      <c r="N15" s="160">
        <v>0.93799925198156231</v>
      </c>
      <c r="O15" s="160">
        <v>0.93579059590855718</v>
      </c>
      <c r="P15" s="160">
        <v>0.94226332462887052</v>
      </c>
      <c r="Q15" s="160">
        <v>0.93943701277280467</v>
      </c>
      <c r="R15" s="161">
        <v>0.94449984946680354</v>
      </c>
      <c r="S15" s="160">
        <v>0.94602287293367282</v>
      </c>
      <c r="T15" s="160">
        <v>0.94775421965875695</v>
      </c>
      <c r="U15" s="160">
        <v>0.94478949101121634</v>
      </c>
      <c r="V15" s="160">
        <v>0.94724047281533275</v>
      </c>
      <c r="W15" s="160">
        <v>0.95001464602033148</v>
      </c>
      <c r="X15" s="160">
        <v>0.94837849374516725</v>
      </c>
      <c r="Y15" s="160">
        <v>0.95100118251129917</v>
      </c>
      <c r="Z15" s="160">
        <v>0.95393919631036506</v>
      </c>
      <c r="AA15" s="160">
        <v>0.95233633053274769</v>
      </c>
      <c r="AB15" s="160">
        <v>0.95586908818879979</v>
      </c>
      <c r="AC15" s="160">
        <v>0.95463240923342241</v>
      </c>
      <c r="AD15" s="161">
        <v>0.95786357776064202</v>
      </c>
      <c r="AE15" s="160">
        <v>0.95836648107520717</v>
      </c>
      <c r="AF15" s="160">
        <v>0.95890312439258596</v>
      </c>
      <c r="AG15" s="160">
        <v>0.95571301955748478</v>
      </c>
      <c r="AH15" s="160">
        <v>0.95704833920734023</v>
      </c>
      <c r="AI15" s="160">
        <v>0.95843156846802724</v>
      </c>
      <c r="AJ15" s="160">
        <v>0.95620372457298008</v>
      </c>
      <c r="AK15" s="160">
        <v>0.95808203389921398</v>
      </c>
      <c r="AL15" s="160">
        <v>0.96026203857448744</v>
      </c>
      <c r="AM15" s="160">
        <v>0.95921670599077968</v>
      </c>
      <c r="AN15" s="160">
        <v>0.96179847702152277</v>
      </c>
      <c r="AO15" s="160">
        <v>0.9611312826211883</v>
      </c>
      <c r="AP15" s="160">
        <v>0.96355715405602105</v>
      </c>
      <c r="AQ15" s="160">
        <v>0.95</v>
      </c>
      <c r="AR15" s="160">
        <v>0.95</v>
      </c>
      <c r="AS15" s="160">
        <v>0.95</v>
      </c>
      <c r="AT15" s="160">
        <v>0.95</v>
      </c>
      <c r="AU15" s="160">
        <v>0.95</v>
      </c>
      <c r="AV15" s="160">
        <v>0.95</v>
      </c>
      <c r="AW15" s="160">
        <v>0.95</v>
      </c>
      <c r="AX15" s="160">
        <v>0.95</v>
      </c>
      <c r="AY15" s="160">
        <v>0.95</v>
      </c>
      <c r="AZ15" s="160">
        <v>0.95</v>
      </c>
      <c r="BA15" s="161">
        <v>0.95</v>
      </c>
      <c r="BB15" s="160">
        <v>0.95</v>
      </c>
      <c r="BC15" s="160">
        <v>0.95</v>
      </c>
      <c r="BD15" s="160">
        <v>0.95</v>
      </c>
      <c r="BE15" s="160">
        <v>0.95</v>
      </c>
      <c r="BF15" s="160">
        <v>0.95</v>
      </c>
      <c r="BG15" s="160">
        <v>0.95</v>
      </c>
      <c r="BH15" s="160">
        <v>0.95</v>
      </c>
      <c r="BI15" s="160">
        <v>0.95</v>
      </c>
      <c r="BJ15" s="160">
        <v>0.95</v>
      </c>
      <c r="BK15" s="160">
        <v>0.95</v>
      </c>
      <c r="BL15" s="160">
        <v>0.95</v>
      </c>
      <c r="BM15" s="161">
        <v>0.95</v>
      </c>
    </row>
    <row r="16" spans="1:140" x14ac:dyDescent="0.35">
      <c r="A16" s="171" t="s">
        <v>139</v>
      </c>
      <c r="B16" s="173">
        <f>HLOOKUP(A16,$F$3:$BM$95,C17,0)</f>
        <v>1.565003784995064E-2</v>
      </c>
      <c r="C16" s="137">
        <f t="shared" si="4"/>
        <v>14</v>
      </c>
      <c r="D16" s="2" t="s">
        <v>52</v>
      </c>
      <c r="E16" s="2" t="s">
        <v>52</v>
      </c>
      <c r="F16" s="162">
        <v>4.3103849557309344E-2</v>
      </c>
      <c r="G16" s="163">
        <v>4.22508656887471E-2</v>
      </c>
      <c r="H16" s="163">
        <v>4.0733633806636582E-2</v>
      </c>
      <c r="I16" s="163">
        <v>4.3122788923761139E-2</v>
      </c>
      <c r="J16" s="163">
        <v>4.0777532731408418E-2</v>
      </c>
      <c r="K16" s="163">
        <v>3.8393706278880148E-2</v>
      </c>
      <c r="L16" s="163">
        <v>3.9772147139904783E-2</v>
      </c>
      <c r="M16" s="163">
        <v>3.6880474663605882E-2</v>
      </c>
      <c r="N16" s="163">
        <v>3.4203958217121994E-2</v>
      </c>
      <c r="O16" s="163">
        <v>3.6047209909392121E-2</v>
      </c>
      <c r="P16" s="163">
        <v>3.2883895099718216E-2</v>
      </c>
      <c r="Q16" s="163">
        <v>3.434278120528652E-2</v>
      </c>
      <c r="R16" s="164">
        <v>3.1409819773116548E-2</v>
      </c>
      <c r="S16" s="163">
        <v>3.0793236193978567E-2</v>
      </c>
      <c r="T16" s="163">
        <v>3.01651750168122E-2</v>
      </c>
      <c r="U16" s="163">
        <v>3.2621403346902243E-2</v>
      </c>
      <c r="V16" s="163">
        <v>3.1372460245410898E-2</v>
      </c>
      <c r="W16" s="163">
        <v>2.9991400010711437E-2</v>
      </c>
      <c r="X16" s="163">
        <v>3.1358401053212734E-2</v>
      </c>
      <c r="Y16" s="163">
        <v>2.9677525981924073E-2</v>
      </c>
      <c r="Z16" s="163">
        <v>2.7788385075386491E-2</v>
      </c>
      <c r="AA16" s="163">
        <v>2.8746708136033923E-2</v>
      </c>
      <c r="AB16" s="163">
        <v>2.6507144168895807E-2</v>
      </c>
      <c r="AC16" s="163">
        <v>2.7170840497962867E-2</v>
      </c>
      <c r="AD16" s="164">
        <v>2.51515080801375E-2</v>
      </c>
      <c r="AE16" s="163">
        <v>2.5087812152773805E-2</v>
      </c>
      <c r="AF16" s="163">
        <v>2.5050298378783555E-2</v>
      </c>
      <c r="AG16" s="163">
        <v>2.742381955476934E-2</v>
      </c>
      <c r="AH16" s="163">
        <v>2.6818047680976464E-2</v>
      </c>
      <c r="AI16" s="163">
        <v>2.6010186749618591E-2</v>
      </c>
      <c r="AJ16" s="163">
        <v>2.7430091330234954E-2</v>
      </c>
      <c r="AK16" s="163">
        <v>2.6267928250835369E-2</v>
      </c>
      <c r="AL16" s="163">
        <v>2.4861091569406892E-2</v>
      </c>
      <c r="AM16" s="163">
        <v>2.5424314348010891E-2</v>
      </c>
      <c r="AN16" s="163">
        <v>2.3660219732415035E-2</v>
      </c>
      <c r="AO16" s="163">
        <v>2.3967755855548809E-2</v>
      </c>
      <c r="AP16" s="163">
        <v>2.2430452009084275E-2</v>
      </c>
      <c r="AQ16" s="163">
        <v>0.03</v>
      </c>
      <c r="AR16" s="163">
        <v>0.03</v>
      </c>
      <c r="AS16" s="163">
        <v>0.03</v>
      </c>
      <c r="AT16" s="163">
        <v>0.03</v>
      </c>
      <c r="AU16" s="163">
        <v>0.03</v>
      </c>
      <c r="AV16" s="163">
        <v>0.03</v>
      </c>
      <c r="AW16" s="163">
        <v>0.03</v>
      </c>
      <c r="AX16" s="163">
        <v>0.03</v>
      </c>
      <c r="AY16" s="163">
        <v>0.03</v>
      </c>
      <c r="AZ16" s="163">
        <v>0.03</v>
      </c>
      <c r="BA16" s="164">
        <v>0.03</v>
      </c>
      <c r="BB16" s="163">
        <v>0.03</v>
      </c>
      <c r="BC16" s="163">
        <v>0.03</v>
      </c>
      <c r="BD16" s="163">
        <v>0.03</v>
      </c>
      <c r="BE16" s="163">
        <v>0.03</v>
      </c>
      <c r="BF16" s="163">
        <v>0.03</v>
      </c>
      <c r="BG16" s="163">
        <v>0.03</v>
      </c>
      <c r="BH16" s="163">
        <v>0.03</v>
      </c>
      <c r="BI16" s="163">
        <v>0.03</v>
      </c>
      <c r="BJ16" s="163">
        <v>0.03</v>
      </c>
      <c r="BK16" s="163">
        <v>0.03</v>
      </c>
      <c r="BL16" s="163">
        <v>0.03</v>
      </c>
      <c r="BM16" s="164">
        <v>0.03</v>
      </c>
    </row>
    <row r="17" spans="1:65" x14ac:dyDescent="0.35">
      <c r="A17" s="171" t="s">
        <v>138</v>
      </c>
      <c r="B17" s="173">
        <f>HLOOKUP(A17,$F$3:$BM$95,C17,0)</f>
        <v>3.2826924922488718E-2</v>
      </c>
      <c r="C17" s="137">
        <f t="shared" si="4"/>
        <v>15</v>
      </c>
      <c r="D17" s="3" t="s">
        <v>53</v>
      </c>
      <c r="E17" s="3" t="s">
        <v>53</v>
      </c>
      <c r="F17" s="165">
        <v>3.2826924922488718E-2</v>
      </c>
      <c r="G17" s="166">
        <v>3.1750142379809325E-2</v>
      </c>
      <c r="H17" s="166">
        <v>3.0902798107666458E-2</v>
      </c>
      <c r="I17" s="166">
        <v>3.305594442431023E-2</v>
      </c>
      <c r="J17" s="166">
        <v>3.1615619331144373E-2</v>
      </c>
      <c r="K17" s="166">
        <v>3.0125063831910649E-2</v>
      </c>
      <c r="L17" s="166">
        <v>3.1192014145476191E-2</v>
      </c>
      <c r="M17" s="166">
        <v>2.9531077255062689E-2</v>
      </c>
      <c r="N17" s="166">
        <v>2.7796789801315579E-2</v>
      </c>
      <c r="O17" s="166">
        <v>2.8162194182050761E-2</v>
      </c>
      <c r="P17" s="166">
        <v>2.4852780271411211E-2</v>
      </c>
      <c r="Q17" s="166">
        <v>2.6220206021908658E-2</v>
      </c>
      <c r="R17" s="167">
        <v>2.4090330760079909E-2</v>
      </c>
      <c r="S17" s="166">
        <v>2.3183890872348692E-2</v>
      </c>
      <c r="T17" s="166">
        <v>2.208060532443086E-2</v>
      </c>
      <c r="U17" s="166">
        <v>2.2589105641881418E-2</v>
      </c>
      <c r="V17" s="166">
        <v>2.1387066939256311E-2</v>
      </c>
      <c r="W17" s="166">
        <v>1.999395396895709E-2</v>
      </c>
      <c r="X17" s="166">
        <v>2.0263105201620005E-2</v>
      </c>
      <c r="Y17" s="166">
        <v>1.9321291506776625E-2</v>
      </c>
      <c r="Z17" s="166">
        <v>1.8272418614248484E-2</v>
      </c>
      <c r="AA17" s="166">
        <v>1.8916961331218358E-2</v>
      </c>
      <c r="AB17" s="166">
        <v>1.7623767642304469E-2</v>
      </c>
      <c r="AC17" s="166">
        <v>1.8196750268614812E-2</v>
      </c>
      <c r="AD17" s="167">
        <v>1.6984914159220484E-2</v>
      </c>
      <c r="AE17" s="166">
        <v>1.6545706772019057E-2</v>
      </c>
      <c r="AF17" s="166">
        <v>1.6046577228630461E-2</v>
      </c>
      <c r="AG17" s="166">
        <v>1.6863160887745882E-2</v>
      </c>
      <c r="AH17" s="166">
        <v>1.6133613111683338E-2</v>
      </c>
      <c r="AI17" s="166">
        <v>1.5558244782354284E-2</v>
      </c>
      <c r="AJ17" s="166">
        <v>1.6366184096784989E-2</v>
      </c>
      <c r="AK17" s="166">
        <v>1.565003784995064E-2</v>
      </c>
      <c r="AL17" s="166">
        <v>1.4876869856105585E-2</v>
      </c>
      <c r="AM17" s="166">
        <v>1.5358979661209539E-2</v>
      </c>
      <c r="AN17" s="166">
        <v>1.454130324606227E-2</v>
      </c>
      <c r="AO17" s="166">
        <v>1.4900961523262864E-2</v>
      </c>
      <c r="AP17" s="166">
        <v>1.4012393934894484E-2</v>
      </c>
      <c r="AQ17" s="166">
        <v>1.4E-2</v>
      </c>
      <c r="AR17" s="166">
        <v>1.4E-2</v>
      </c>
      <c r="AS17" s="166">
        <v>1.4E-2</v>
      </c>
      <c r="AT17" s="166">
        <v>1.4E-2</v>
      </c>
      <c r="AU17" s="166">
        <v>1.4E-2</v>
      </c>
      <c r="AV17" s="166">
        <v>1.4E-2</v>
      </c>
      <c r="AW17" s="166">
        <v>1.4E-2</v>
      </c>
      <c r="AX17" s="166">
        <v>1.4E-2</v>
      </c>
      <c r="AY17" s="166">
        <v>1.4E-2</v>
      </c>
      <c r="AZ17" s="166">
        <v>1.4E-2</v>
      </c>
      <c r="BA17" s="167">
        <v>1.4E-2</v>
      </c>
      <c r="BB17" s="166">
        <v>1.4E-2</v>
      </c>
      <c r="BC17" s="166">
        <v>1.4E-2</v>
      </c>
      <c r="BD17" s="166">
        <v>1.4E-2</v>
      </c>
      <c r="BE17" s="166">
        <v>1.4E-2</v>
      </c>
      <c r="BF17" s="166">
        <v>1.4E-2</v>
      </c>
      <c r="BG17" s="166">
        <v>1.4E-2</v>
      </c>
      <c r="BH17" s="166">
        <v>1.4E-2</v>
      </c>
      <c r="BI17" s="166">
        <v>1.4E-2</v>
      </c>
      <c r="BJ17" s="166">
        <v>1.4E-2</v>
      </c>
      <c r="BK17" s="166">
        <v>1.4E-2</v>
      </c>
      <c r="BL17" s="166">
        <v>1.4E-2</v>
      </c>
      <c r="BM17" s="167">
        <v>1.4E-2</v>
      </c>
    </row>
    <row r="18" spans="1:65" x14ac:dyDescent="0.35">
      <c r="A18" s="171">
        <f>'Input-Stress Parameters'!$D$15</f>
        <v>6</v>
      </c>
      <c r="B18" s="174">
        <f>('Calculations - Parameters'!L4/'Calculations - Parameters'!K4-1)*('Input-Stress Parameters'!$J$5/12)</f>
        <v>0.37648302629402131</v>
      </c>
      <c r="C18" s="137">
        <f t="shared" si="4"/>
        <v>16</v>
      </c>
      <c r="F18" s="180">
        <f>IF(F$1="N",1,(MAX((F21/$B$15),1)))</f>
        <v>1</v>
      </c>
      <c r="G18" s="180">
        <f t="shared" ref="G18:BM18" si="127">IF(G$1="N",1,(MAX((G21/$B$15),1)))</f>
        <v>1.0092799136065138</v>
      </c>
      <c r="H18" s="180">
        <f t="shared" si="127"/>
        <v>1.0185598272130276</v>
      </c>
      <c r="I18" s="180">
        <f t="shared" si="127"/>
        <v>1.0278397408195412</v>
      </c>
      <c r="J18" s="180">
        <f t="shared" si="127"/>
        <v>1.037119654426055</v>
      </c>
      <c r="K18" s="180">
        <f t="shared" si="127"/>
        <v>1.0463995680325688</v>
      </c>
      <c r="L18" s="180">
        <f t="shared" si="127"/>
        <v>1.0556794816390827</v>
      </c>
      <c r="M18" s="180">
        <f t="shared" si="127"/>
        <v>1.0707593412496677</v>
      </c>
      <c r="N18" s="180">
        <f t="shared" si="127"/>
        <v>1.0858392008602524</v>
      </c>
      <c r="O18" s="180">
        <f t="shared" si="127"/>
        <v>1.1009190604708374</v>
      </c>
      <c r="P18" s="180">
        <f t="shared" si="127"/>
        <v>1.1159989200814222</v>
      </c>
      <c r="Q18" s="180">
        <f t="shared" si="127"/>
        <v>1.1310787796920072</v>
      </c>
      <c r="R18" s="180">
        <f t="shared" si="127"/>
        <v>1.1461586393025922</v>
      </c>
      <c r="S18" s="180">
        <f t="shared" si="127"/>
        <v>1.1712144060401795</v>
      </c>
      <c r="T18" s="180">
        <f t="shared" si="127"/>
        <v>1.1962701727777667</v>
      </c>
      <c r="U18" s="180">
        <f t="shared" si="127"/>
        <v>1.221325939515354</v>
      </c>
      <c r="V18" s="180">
        <f t="shared" si="127"/>
        <v>1.2463817062529412</v>
      </c>
      <c r="W18" s="180">
        <f t="shared" si="127"/>
        <v>1.2714374729905285</v>
      </c>
      <c r="X18" s="180">
        <f t="shared" si="127"/>
        <v>1.3</v>
      </c>
      <c r="Y18" s="180">
        <f t="shared" si="127"/>
        <v>1.2712254275822767</v>
      </c>
      <c r="Z18" s="180">
        <f t="shared" si="127"/>
        <v>1.2424508551645532</v>
      </c>
      <c r="AA18" s="180">
        <f t="shared" si="127"/>
        <v>1.2136762827468299</v>
      </c>
      <c r="AB18" s="180">
        <f t="shared" si="127"/>
        <v>1.1849017103291066</v>
      </c>
      <c r="AC18" s="180">
        <f t="shared" si="127"/>
        <v>1.1561271379113833</v>
      </c>
      <c r="AD18" s="180">
        <f t="shared" si="127"/>
        <v>1.1273525654936598</v>
      </c>
      <c r="AE18" s="180">
        <f t="shared" si="127"/>
        <v>1.0985779930759365</v>
      </c>
      <c r="AF18" s="180">
        <f t="shared" si="127"/>
        <v>1.0698034206582132</v>
      </c>
      <c r="AG18" s="180">
        <f t="shared" si="127"/>
        <v>1.0410288482404899</v>
      </c>
      <c r="AH18" s="180">
        <f t="shared" si="127"/>
        <v>1.0122542758227666</v>
      </c>
      <c r="AI18" s="180">
        <f t="shared" si="127"/>
        <v>1</v>
      </c>
      <c r="AJ18" s="180">
        <f t="shared" si="127"/>
        <v>1</v>
      </c>
      <c r="AK18" s="180">
        <f t="shared" si="127"/>
        <v>1</v>
      </c>
      <c r="AL18" s="180">
        <f t="shared" si="127"/>
        <v>1</v>
      </c>
      <c r="AM18" s="180">
        <f t="shared" si="127"/>
        <v>1</v>
      </c>
      <c r="AN18" s="180">
        <f t="shared" si="127"/>
        <v>1</v>
      </c>
      <c r="AO18" s="180">
        <f t="shared" si="127"/>
        <v>1</v>
      </c>
      <c r="AP18" s="180">
        <f t="shared" si="127"/>
        <v>1</v>
      </c>
      <c r="AQ18" s="180">
        <f t="shared" si="127"/>
        <v>1</v>
      </c>
      <c r="AR18" s="180">
        <f t="shared" si="127"/>
        <v>1</v>
      </c>
      <c r="AS18" s="180">
        <f t="shared" si="127"/>
        <v>1</v>
      </c>
      <c r="AT18" s="180">
        <f t="shared" si="127"/>
        <v>1</v>
      </c>
      <c r="AU18" s="180">
        <f t="shared" si="127"/>
        <v>1</v>
      </c>
      <c r="AV18" s="180">
        <f t="shared" si="127"/>
        <v>1</v>
      </c>
      <c r="AW18" s="180">
        <f t="shared" si="127"/>
        <v>1</v>
      </c>
      <c r="AX18" s="180">
        <f t="shared" si="127"/>
        <v>1</v>
      </c>
      <c r="AY18" s="180">
        <f t="shared" si="127"/>
        <v>1</v>
      </c>
      <c r="AZ18" s="180">
        <f t="shared" si="127"/>
        <v>1</v>
      </c>
      <c r="BA18" s="180">
        <f t="shared" si="127"/>
        <v>1</v>
      </c>
      <c r="BB18" s="180">
        <f t="shared" si="127"/>
        <v>1</v>
      </c>
      <c r="BC18" s="180">
        <f t="shared" si="127"/>
        <v>1</v>
      </c>
      <c r="BD18" s="180">
        <f t="shared" si="127"/>
        <v>1</v>
      </c>
      <c r="BE18" s="180">
        <f t="shared" si="127"/>
        <v>1</v>
      </c>
      <c r="BF18" s="180">
        <f t="shared" si="127"/>
        <v>1</v>
      </c>
      <c r="BG18" s="180">
        <f t="shared" si="127"/>
        <v>1</v>
      </c>
      <c r="BH18" s="180">
        <f t="shared" si="127"/>
        <v>1</v>
      </c>
      <c r="BI18" s="180">
        <f t="shared" si="127"/>
        <v>1</v>
      </c>
      <c r="BJ18" s="180">
        <f t="shared" si="127"/>
        <v>1</v>
      </c>
      <c r="BK18" s="180">
        <f t="shared" si="127"/>
        <v>1</v>
      </c>
      <c r="BL18" s="180">
        <f t="shared" si="127"/>
        <v>1</v>
      </c>
      <c r="BM18" s="180">
        <f t="shared" si="127"/>
        <v>1</v>
      </c>
    </row>
    <row r="19" spans="1:65" x14ac:dyDescent="0.35">
      <c r="A19" s="171">
        <f>'Input-Stress Parameters'!$E$16</f>
        <v>12</v>
      </c>
      <c r="B19" s="174">
        <f>('Calculations - Parameters'!M4/'Calculations - Parameters'!K4-1)-('Calculations - Parameters'!L4/'Calculations - Parameters'!K4-1)*('Input-Stress Parameters'!$J$6/12)</f>
        <v>1.0634747729780241</v>
      </c>
      <c r="C19" s="137">
        <f t="shared" si="4"/>
        <v>17</v>
      </c>
      <c r="D19" s="1" t="s">
        <v>158</v>
      </c>
      <c r="E19" s="36" t="s">
        <v>20</v>
      </c>
      <c r="F19" s="32">
        <f>$F$4</f>
        <v>45352</v>
      </c>
      <c r="G19" s="33">
        <f>EDATE(F19,1)</f>
        <v>45383</v>
      </c>
      <c r="H19" s="33">
        <f t="shared" ref="H19" si="128">EDATE(G19,1)</f>
        <v>45413</v>
      </c>
      <c r="I19" s="33">
        <f t="shared" ref="I19" si="129">EDATE(H19,1)</f>
        <v>45444</v>
      </c>
      <c r="J19" s="33">
        <f t="shared" ref="J19" si="130">EDATE(I19,1)</f>
        <v>45474</v>
      </c>
      <c r="K19" s="33">
        <f t="shared" ref="K19" si="131">EDATE(J19,1)</f>
        <v>45505</v>
      </c>
      <c r="L19" s="33">
        <f t="shared" ref="L19" si="132">EDATE(K19,1)</f>
        <v>45536</v>
      </c>
      <c r="M19" s="33">
        <f t="shared" ref="M19" si="133">EDATE(L19,1)</f>
        <v>45566</v>
      </c>
      <c r="N19" s="33">
        <f t="shared" ref="N19" si="134">EDATE(M19,1)</f>
        <v>45597</v>
      </c>
      <c r="O19" s="33">
        <f t="shared" ref="O19" si="135">EDATE(N19,1)</f>
        <v>45627</v>
      </c>
      <c r="P19" s="33">
        <f t="shared" ref="P19:Q19" si="136">EDATE(O19,1)</f>
        <v>45658</v>
      </c>
      <c r="Q19" s="33">
        <f t="shared" si="136"/>
        <v>45689</v>
      </c>
      <c r="R19" s="34">
        <f t="shared" ref="R19" si="137">EDATE(Q19,1)</f>
        <v>45717</v>
      </c>
      <c r="S19" s="33">
        <f t="shared" ref="S19" si="138">EDATE(R19,1)</f>
        <v>45748</v>
      </c>
      <c r="T19" s="33">
        <f t="shared" ref="T19" si="139">EDATE(S19,1)</f>
        <v>45778</v>
      </c>
      <c r="U19" s="33">
        <f t="shared" ref="U19" si="140">EDATE(T19,1)</f>
        <v>45809</v>
      </c>
      <c r="V19" s="33">
        <f t="shared" ref="V19" si="141">EDATE(U19,1)</f>
        <v>45839</v>
      </c>
      <c r="W19" s="33">
        <f t="shared" ref="W19" si="142">EDATE(V19,1)</f>
        <v>45870</v>
      </c>
      <c r="X19" s="33">
        <f t="shared" ref="X19" si="143">EDATE(W19,1)</f>
        <v>45901</v>
      </c>
      <c r="Y19" s="33">
        <f t="shared" ref="Y19" si="144">EDATE(X19,1)</f>
        <v>45931</v>
      </c>
      <c r="Z19" s="33">
        <f t="shared" ref="Z19" si="145">EDATE(Y19,1)</f>
        <v>45962</v>
      </c>
      <c r="AA19" s="33">
        <f t="shared" ref="AA19" si="146">EDATE(Z19,1)</f>
        <v>45992</v>
      </c>
      <c r="AB19" s="33">
        <f t="shared" ref="AB19" si="147">EDATE(AA19,1)</f>
        <v>46023</v>
      </c>
      <c r="AC19" s="33">
        <f t="shared" ref="AC19" si="148">EDATE(AB19,1)</f>
        <v>46054</v>
      </c>
      <c r="AD19" s="34">
        <f t="shared" ref="AD19" si="149">EDATE(AC19,1)</f>
        <v>46082</v>
      </c>
      <c r="AE19" s="33">
        <f t="shared" ref="AE19" si="150">EDATE(AD19,1)</f>
        <v>46113</v>
      </c>
      <c r="AF19" s="33">
        <f t="shared" ref="AF19" si="151">EDATE(AE19,1)</f>
        <v>46143</v>
      </c>
      <c r="AG19" s="33">
        <f t="shared" ref="AG19" si="152">EDATE(AF19,1)</f>
        <v>46174</v>
      </c>
      <c r="AH19" s="33">
        <f t="shared" ref="AH19" si="153">EDATE(AG19,1)</f>
        <v>46204</v>
      </c>
      <c r="AI19" s="33">
        <f t="shared" ref="AI19" si="154">EDATE(AH19,1)</f>
        <v>46235</v>
      </c>
      <c r="AJ19" s="33">
        <f t="shared" ref="AJ19" si="155">EDATE(AI19,1)</f>
        <v>46266</v>
      </c>
      <c r="AK19" s="33">
        <f t="shared" ref="AK19" si="156">EDATE(AJ19,1)</f>
        <v>46296</v>
      </c>
      <c r="AL19" s="33">
        <f t="shared" ref="AL19" si="157">EDATE(AK19,1)</f>
        <v>46327</v>
      </c>
      <c r="AM19" s="33">
        <f t="shared" ref="AM19" si="158">EDATE(AL19,1)</f>
        <v>46357</v>
      </c>
      <c r="AN19" s="33">
        <f t="shared" ref="AN19" si="159">EDATE(AM19,1)</f>
        <v>46388</v>
      </c>
      <c r="AO19" s="33">
        <f t="shared" ref="AO19" si="160">EDATE(AN19,1)</f>
        <v>46419</v>
      </c>
      <c r="AP19" s="34">
        <f t="shared" ref="AP19" si="161">EDATE(AO19,1)</f>
        <v>46447</v>
      </c>
      <c r="AQ19" s="33">
        <f t="shared" ref="AQ19" si="162">EDATE(AP19,1)</f>
        <v>46478</v>
      </c>
      <c r="AR19" s="33">
        <f t="shared" ref="AR19" si="163">EDATE(AQ19,1)</f>
        <v>46508</v>
      </c>
      <c r="AS19" s="33">
        <f t="shared" ref="AS19" si="164">EDATE(AR19,1)</f>
        <v>46539</v>
      </c>
      <c r="AT19" s="33">
        <f t="shared" ref="AT19" si="165">EDATE(AS19,1)</f>
        <v>46569</v>
      </c>
      <c r="AU19" s="33">
        <f t="shared" ref="AU19" si="166">EDATE(AT19,1)</f>
        <v>46600</v>
      </c>
      <c r="AV19" s="33">
        <f t="shared" ref="AV19" si="167">EDATE(AU19,1)</f>
        <v>46631</v>
      </c>
      <c r="AW19" s="33">
        <f t="shared" ref="AW19" si="168">EDATE(AV19,1)</f>
        <v>46661</v>
      </c>
      <c r="AX19" s="33">
        <f t="shared" ref="AX19" si="169">EDATE(AW19,1)</f>
        <v>46692</v>
      </c>
      <c r="AY19" s="33">
        <f t="shared" ref="AY19" si="170">EDATE(AX19,1)</f>
        <v>46722</v>
      </c>
      <c r="AZ19" s="33">
        <f t="shared" ref="AZ19" si="171">EDATE(AY19,1)</f>
        <v>46753</v>
      </c>
      <c r="BA19" s="34">
        <f t="shared" ref="BA19" si="172">EDATE(AZ19,1)</f>
        <v>46784</v>
      </c>
      <c r="BB19" s="33">
        <f t="shared" ref="BB19" si="173">EDATE(BA19,1)</f>
        <v>46813</v>
      </c>
      <c r="BC19" s="33">
        <f t="shared" ref="BC19" si="174">EDATE(BB19,1)</f>
        <v>46844</v>
      </c>
      <c r="BD19" s="33">
        <f t="shared" ref="BD19" si="175">EDATE(BC19,1)</f>
        <v>46874</v>
      </c>
      <c r="BE19" s="33">
        <f t="shared" ref="BE19" si="176">EDATE(BD19,1)</f>
        <v>46905</v>
      </c>
      <c r="BF19" s="33">
        <f t="shared" ref="BF19" si="177">EDATE(BE19,1)</f>
        <v>46935</v>
      </c>
      <c r="BG19" s="33">
        <f t="shared" ref="BG19" si="178">EDATE(BF19,1)</f>
        <v>46966</v>
      </c>
      <c r="BH19" s="33">
        <f t="shared" ref="BH19" si="179">EDATE(BG19,1)</f>
        <v>46997</v>
      </c>
      <c r="BI19" s="33">
        <f t="shared" ref="BI19" si="180">EDATE(BH19,1)</f>
        <v>47027</v>
      </c>
      <c r="BJ19" s="33">
        <f t="shared" ref="BJ19" si="181">EDATE(BI19,1)</f>
        <v>47058</v>
      </c>
      <c r="BK19" s="33">
        <f t="shared" ref="BK19" si="182">EDATE(BJ19,1)</f>
        <v>47088</v>
      </c>
      <c r="BL19" s="33">
        <f t="shared" ref="BL19" si="183">EDATE(BK19,1)</f>
        <v>47119</v>
      </c>
      <c r="BM19" s="34">
        <f>EDATE(BL19,1)</f>
        <v>47150</v>
      </c>
    </row>
    <row r="20" spans="1:65" x14ac:dyDescent="0.35">
      <c r="A20" s="238">
        <v>24</v>
      </c>
      <c r="B20" s="174">
        <f>('Calculations - Parameters'!N4/'Calculations - Parameters'!K4-1)*('Input-Stress Parameters'!$J$7/12)-B19-B18</f>
        <v>-0.95567743950295259</v>
      </c>
      <c r="C20" s="137">
        <f t="shared" si="4"/>
        <v>18</v>
      </c>
      <c r="D20" s="1" t="s">
        <v>51</v>
      </c>
      <c r="E20" s="1" t="s">
        <v>51</v>
      </c>
      <c r="F20" s="190">
        <f t="shared" ref="F20:BM20" si="184">1-F21-F22</f>
        <v>0.92406922552020188</v>
      </c>
      <c r="G20" s="191">
        <v>0.92255922552020198</v>
      </c>
      <c r="H20" s="191">
        <v>0.92104922552020196</v>
      </c>
      <c r="I20" s="191">
        <v>0.91953922552020195</v>
      </c>
      <c r="J20" s="191">
        <v>0.91802922552020194</v>
      </c>
      <c r="K20" s="191">
        <v>0.91651922552020204</v>
      </c>
      <c r="L20" s="191">
        <v>0.91500922552020192</v>
      </c>
      <c r="M20" s="191">
        <v>0.91271922552020202</v>
      </c>
      <c r="N20" s="191">
        <v>0.910429225520202</v>
      </c>
      <c r="O20" s="191">
        <v>0.90813922552020188</v>
      </c>
      <c r="P20" s="191">
        <v>0.90584922552020197</v>
      </c>
      <c r="Q20" s="191">
        <v>0.90355922552020196</v>
      </c>
      <c r="R20" s="192">
        <v>0.90126922552020194</v>
      </c>
      <c r="S20" s="191">
        <v>0.8974492255202019</v>
      </c>
      <c r="T20" s="191">
        <v>0.89362922552020196</v>
      </c>
      <c r="U20" s="191">
        <v>0.88980922552020203</v>
      </c>
      <c r="V20" s="191">
        <v>0.88598922552020187</v>
      </c>
      <c r="W20" s="191">
        <v>0.88216922552020194</v>
      </c>
      <c r="X20" s="191">
        <v>0.87791008047666397</v>
      </c>
      <c r="Y20" s="191">
        <v>0.88163493273754923</v>
      </c>
      <c r="Z20" s="191">
        <v>0.88495871974457829</v>
      </c>
      <c r="AA20" s="191">
        <v>0.88828250675160714</v>
      </c>
      <c r="AB20" s="191">
        <v>0.89160629375863598</v>
      </c>
      <c r="AC20" s="191">
        <v>0.89493008076566483</v>
      </c>
      <c r="AD20" s="192">
        <v>0.89825386777269389</v>
      </c>
      <c r="AE20" s="191">
        <v>0.90157765477972274</v>
      </c>
      <c r="AF20" s="191">
        <v>0.90490144178675158</v>
      </c>
      <c r="AG20" s="191">
        <v>0.90822522879378043</v>
      </c>
      <c r="AH20" s="191">
        <v>0.91154901580080949</v>
      </c>
      <c r="AI20" s="191">
        <v>0.91487280280783834</v>
      </c>
      <c r="AJ20" s="191">
        <v>0.91819658981486718</v>
      </c>
      <c r="AK20" s="191">
        <v>0.92186503095832584</v>
      </c>
      <c r="AL20" s="191">
        <v>0.92553347210178438</v>
      </c>
      <c r="AM20" s="191">
        <v>0.92920191324524304</v>
      </c>
      <c r="AN20" s="191">
        <v>0.93287035438870158</v>
      </c>
      <c r="AO20" s="191">
        <v>0.93653879553216024</v>
      </c>
      <c r="AP20" s="192">
        <v>0.94020723667561878</v>
      </c>
      <c r="AQ20" s="130">
        <f t="shared" si="184"/>
        <v>0.95599999999999996</v>
      </c>
      <c r="AR20" s="130">
        <f t="shared" si="184"/>
        <v>0.95599999999999996</v>
      </c>
      <c r="AS20" s="130">
        <f t="shared" si="184"/>
        <v>0.95599999999999996</v>
      </c>
      <c r="AT20" s="130">
        <f t="shared" si="184"/>
        <v>0.95599999999999996</v>
      </c>
      <c r="AU20" s="130">
        <f t="shared" si="184"/>
        <v>0.95599999999999996</v>
      </c>
      <c r="AV20" s="130">
        <f t="shared" si="184"/>
        <v>0.95599999999999996</v>
      </c>
      <c r="AW20" s="130">
        <f t="shared" si="184"/>
        <v>0.95599999999999996</v>
      </c>
      <c r="AX20" s="130">
        <f t="shared" si="184"/>
        <v>0.95599999999999996</v>
      </c>
      <c r="AY20" s="130">
        <f t="shared" si="184"/>
        <v>0.95599999999999996</v>
      </c>
      <c r="AZ20" s="130">
        <f t="shared" si="184"/>
        <v>0.95599999999999996</v>
      </c>
      <c r="BA20" s="131">
        <f t="shared" si="184"/>
        <v>0.95599999999999996</v>
      </c>
      <c r="BB20" s="130">
        <f t="shared" si="184"/>
        <v>0.95599999999999996</v>
      </c>
      <c r="BC20" s="130">
        <f t="shared" si="184"/>
        <v>0.95599999999999996</v>
      </c>
      <c r="BD20" s="130">
        <f t="shared" si="184"/>
        <v>0.95599999999999996</v>
      </c>
      <c r="BE20" s="130">
        <f t="shared" si="184"/>
        <v>0.95599999999999996</v>
      </c>
      <c r="BF20" s="130">
        <f t="shared" si="184"/>
        <v>0.95599999999999996</v>
      </c>
      <c r="BG20" s="130">
        <f t="shared" si="184"/>
        <v>0.95599999999999996</v>
      </c>
      <c r="BH20" s="130">
        <f t="shared" si="184"/>
        <v>0.95599999999999996</v>
      </c>
      <c r="BI20" s="130">
        <f t="shared" si="184"/>
        <v>0.95599999999999996</v>
      </c>
      <c r="BJ20" s="130">
        <f t="shared" si="184"/>
        <v>0.95599999999999996</v>
      </c>
      <c r="BK20" s="130">
        <f t="shared" si="184"/>
        <v>0.95599999999999996</v>
      </c>
      <c r="BL20" s="130">
        <f t="shared" si="184"/>
        <v>0.95599999999999996</v>
      </c>
      <c r="BM20" s="131">
        <f t="shared" si="184"/>
        <v>0.95599999999999996</v>
      </c>
    </row>
    <row r="21" spans="1:65" x14ac:dyDescent="0.35">
      <c r="A21" s="171">
        <f>'Input-Stress Parameters'!$E$18+1</f>
        <v>10</v>
      </c>
      <c r="B21" s="172">
        <f>B16-('Calculations - Parameters'!N4/'Calculations - Parameters'!K4)*B17</f>
        <v>-3.3074322084113914E-2</v>
      </c>
      <c r="C21" s="137">
        <f t="shared" si="4"/>
        <v>19</v>
      </c>
      <c r="D21" s="2" t="s">
        <v>52</v>
      </c>
      <c r="E21" s="2" t="s">
        <v>52</v>
      </c>
      <c r="F21" s="193">
        <f t="shared" ref="F21" si="185">IF(F$1="N",F16,IF(F$2="SL1P",(E21+$B15*($B18/$A18)),IF(F$2="SL2P",(E21+$B15*($B19/$A19)),IF(F$2="SL3P",(E21+$B15*($B20/$A20)),IF(F$2="SL4P",(E21+($B22/$A22)))))))</f>
        <v>4.3103849557309344E-2</v>
      </c>
      <c r="G21" s="194">
        <v>4.3503849557309342E-2</v>
      </c>
      <c r="H21" s="194">
        <v>4.3903849557309339E-2</v>
      </c>
      <c r="I21" s="194">
        <v>4.4303849557309337E-2</v>
      </c>
      <c r="J21" s="194">
        <v>4.4703849557309334E-2</v>
      </c>
      <c r="K21" s="194">
        <v>4.5103849557309332E-2</v>
      </c>
      <c r="L21" s="194">
        <v>4.550384955730933E-2</v>
      </c>
      <c r="M21" s="194">
        <v>4.6153849557309327E-2</v>
      </c>
      <c r="N21" s="194">
        <v>4.6803849557309325E-2</v>
      </c>
      <c r="O21" s="194">
        <v>4.7453849557309323E-2</v>
      </c>
      <c r="P21" s="194">
        <v>4.8103849557309321E-2</v>
      </c>
      <c r="Q21" s="194">
        <v>4.8753849557309319E-2</v>
      </c>
      <c r="R21" s="195">
        <v>4.9403849557309316E-2</v>
      </c>
      <c r="S21" s="194">
        <v>5.0483849557309314E-2</v>
      </c>
      <c r="T21" s="194">
        <v>5.1563849557309312E-2</v>
      </c>
      <c r="U21" s="194">
        <v>5.2643849557309309E-2</v>
      </c>
      <c r="V21" s="194">
        <v>5.3723849557309307E-2</v>
      </c>
      <c r="W21" s="194">
        <v>5.4803849557309305E-2</v>
      </c>
      <c r="X21" s="252">
        <v>5.6035004424502148E-2</v>
      </c>
      <c r="Y21" s="194">
        <v>5.4794709583932698E-2</v>
      </c>
      <c r="Z21" s="194">
        <v>5.3554414743363248E-2</v>
      </c>
      <c r="AA21" s="194">
        <v>5.2314119902793797E-2</v>
      </c>
      <c r="AB21" s="194">
        <v>5.1073825062224347E-2</v>
      </c>
      <c r="AC21" s="194">
        <v>4.9833530221654897E-2</v>
      </c>
      <c r="AD21" s="195">
        <v>4.8593235381085446E-2</v>
      </c>
      <c r="AE21" s="194">
        <v>4.7352940540515996E-2</v>
      </c>
      <c r="AF21" s="194">
        <v>4.6112645699946546E-2</v>
      </c>
      <c r="AG21" s="194">
        <v>4.4872350859377096E-2</v>
      </c>
      <c r="AH21" s="194">
        <v>4.3632056018807645E-2</v>
      </c>
      <c r="AI21" s="194">
        <v>4.2391761178238195E-2</v>
      </c>
      <c r="AJ21" s="194">
        <v>4.1151466337668745E-2</v>
      </c>
      <c r="AK21" s="253">
        <v>3.9566517360669601E-2</v>
      </c>
      <c r="AL21" s="253">
        <v>3.7981568383670457E-2</v>
      </c>
      <c r="AM21" s="253">
        <v>3.6396619406671313E-2</v>
      </c>
      <c r="AN21" s="253">
        <v>3.4811670429672169E-2</v>
      </c>
      <c r="AO21" s="253">
        <v>3.3226721452673025E-2</v>
      </c>
      <c r="AP21" s="254">
        <v>3.1641772475673881E-2</v>
      </c>
      <c r="AQ21" s="169">
        <f t="shared" ref="AQ21:BM21" si="186">IF(AQ$1="N",AQ16,IF(AQ$2="SL1P",(AP21+$B15*($B18/$A18)),IF(AQ$2="SL2P",(AP21+$B15*($B19/$A19)),IF(AQ$2="SL3P",(AP21+$B15*($B20/$A20)),IF(AQ$2="SL4P",(AP21+($B22/$A22)))))))</f>
        <v>0.03</v>
      </c>
      <c r="AR21" s="169">
        <f t="shared" si="186"/>
        <v>0.03</v>
      </c>
      <c r="AS21" s="169">
        <f t="shared" si="186"/>
        <v>0.03</v>
      </c>
      <c r="AT21" s="169">
        <f t="shared" si="186"/>
        <v>0.03</v>
      </c>
      <c r="AU21" s="169">
        <f t="shared" si="186"/>
        <v>0.03</v>
      </c>
      <c r="AV21" s="169">
        <f t="shared" si="186"/>
        <v>0.03</v>
      </c>
      <c r="AW21" s="169">
        <f t="shared" si="186"/>
        <v>0.03</v>
      </c>
      <c r="AX21" s="169">
        <f t="shared" si="186"/>
        <v>0.03</v>
      </c>
      <c r="AY21" s="169">
        <f t="shared" si="186"/>
        <v>0.03</v>
      </c>
      <c r="AZ21" s="169">
        <f t="shared" si="186"/>
        <v>0.03</v>
      </c>
      <c r="BA21" s="170">
        <f t="shared" si="186"/>
        <v>0.03</v>
      </c>
      <c r="BB21" s="169">
        <f t="shared" si="186"/>
        <v>0.03</v>
      </c>
      <c r="BC21" s="169">
        <f t="shared" si="186"/>
        <v>0.03</v>
      </c>
      <c r="BD21" s="169">
        <f t="shared" si="186"/>
        <v>0.03</v>
      </c>
      <c r="BE21" s="169">
        <f t="shared" si="186"/>
        <v>0.03</v>
      </c>
      <c r="BF21" s="169">
        <f t="shared" si="186"/>
        <v>0.03</v>
      </c>
      <c r="BG21" s="169">
        <f t="shared" si="186"/>
        <v>0.03</v>
      </c>
      <c r="BH21" s="169">
        <f t="shared" si="186"/>
        <v>0.03</v>
      </c>
      <c r="BI21" s="169">
        <f t="shared" si="186"/>
        <v>0.03</v>
      </c>
      <c r="BJ21" s="169">
        <f t="shared" si="186"/>
        <v>0.03</v>
      </c>
      <c r="BK21" s="169">
        <f t="shared" si="186"/>
        <v>0.03</v>
      </c>
      <c r="BL21" s="169">
        <f t="shared" si="186"/>
        <v>0.03</v>
      </c>
      <c r="BM21" s="170">
        <f t="shared" si="186"/>
        <v>0.03</v>
      </c>
    </row>
    <row r="22" spans="1:65" x14ac:dyDescent="0.35">
      <c r="A22" s="171">
        <f>A21</f>
        <v>10</v>
      </c>
      <c r="B22" s="172">
        <f>B14-('Calculations - Parameters'!N4/'Calculations - Parameters'!K4)*B15</f>
        <v>-3.7710269077520599E-2</v>
      </c>
      <c r="C22" s="137">
        <f t="shared" si="4"/>
        <v>20</v>
      </c>
      <c r="D22" s="3" t="s">
        <v>53</v>
      </c>
      <c r="E22" s="3" t="s">
        <v>53</v>
      </c>
      <c r="F22" s="196">
        <f t="shared" ref="F22" si="187">IF(F$1="N",F17,IF(F$2="SL1P",(E22+$B17*($B18/$A18)),IF(F$2="SL2P",(E22+$B17*($B19/$A19)),IF(F$2="SL3P",(E22+$B17*($B20/$A20)),IF(F$2="SL4P",(E22+($B21/$A21)))))))</f>
        <v>3.2826924922488718E-2</v>
      </c>
      <c r="G22" s="197">
        <v>3.3936924922488718E-2</v>
      </c>
      <c r="H22" s="197">
        <v>3.5046924922488717E-2</v>
      </c>
      <c r="I22" s="197">
        <v>3.6156924922488717E-2</v>
      </c>
      <c r="J22" s="197">
        <v>3.7266924922488717E-2</v>
      </c>
      <c r="K22" s="197">
        <v>3.8376924922488717E-2</v>
      </c>
      <c r="L22" s="197">
        <v>3.9486924922488717E-2</v>
      </c>
      <c r="M22" s="197">
        <v>4.112692492248872E-2</v>
      </c>
      <c r="N22" s="197">
        <v>4.2766924922488722E-2</v>
      </c>
      <c r="O22" s="197">
        <v>4.4406924922488725E-2</v>
      </c>
      <c r="P22" s="197">
        <v>4.6046924922488727E-2</v>
      </c>
      <c r="Q22" s="197">
        <v>4.768692492248873E-2</v>
      </c>
      <c r="R22" s="198">
        <v>4.9326924922488732E-2</v>
      </c>
      <c r="S22" s="197">
        <v>5.2066924922488732E-2</v>
      </c>
      <c r="T22" s="197">
        <v>5.4806924922488731E-2</v>
      </c>
      <c r="U22" s="197">
        <v>5.7546924922488731E-2</v>
      </c>
      <c r="V22" s="197">
        <v>6.028692492248873E-2</v>
      </c>
      <c r="W22" s="197">
        <v>6.3026924922488736E-2</v>
      </c>
      <c r="X22" s="255">
        <v>6.5653849844977435E-2</v>
      </c>
      <c r="Y22" s="197">
        <v>6.3570357678517986E-2</v>
      </c>
      <c r="Z22" s="197">
        <v>6.1486865512058536E-2</v>
      </c>
      <c r="AA22" s="197">
        <v>5.9403373345599086E-2</v>
      </c>
      <c r="AB22" s="197">
        <v>5.7319881179139637E-2</v>
      </c>
      <c r="AC22" s="197">
        <v>5.5236389012680187E-2</v>
      </c>
      <c r="AD22" s="198">
        <v>5.3152896846220737E-2</v>
      </c>
      <c r="AE22" s="197">
        <v>5.1069404679761288E-2</v>
      </c>
      <c r="AF22" s="197">
        <v>4.8985912513301838E-2</v>
      </c>
      <c r="AG22" s="197">
        <v>4.6902420346842388E-2</v>
      </c>
      <c r="AH22" s="197">
        <v>4.4818928180382939E-2</v>
      </c>
      <c r="AI22" s="197">
        <v>4.2735436013923489E-2</v>
      </c>
      <c r="AJ22" s="197">
        <v>4.0651943847464039E-2</v>
      </c>
      <c r="AK22" s="256">
        <v>3.856845168100459E-2</v>
      </c>
      <c r="AL22" s="256">
        <v>3.648495951454514E-2</v>
      </c>
      <c r="AM22" s="256">
        <v>3.440146734808569E-2</v>
      </c>
      <c r="AN22" s="256">
        <v>3.2317975181626241E-2</v>
      </c>
      <c r="AO22" s="256">
        <v>3.0234483015166791E-2</v>
      </c>
      <c r="AP22" s="257">
        <v>2.8150990848707341E-2</v>
      </c>
      <c r="AQ22" s="156">
        <f t="shared" ref="AQ22:BM22" si="188">IF(AQ$1="N",AQ17,IF(AQ$2="SL1P",(AP22+$B17*($B18/$A18)),IF(AQ$2="SL2P",(AP22+$B17*($B19/$A19)),IF(AQ$2="SL3P",(AP22+$B17*($B20/$A20)),IF(AQ$2="SL4P",(AP22+($B21/$A21)))))))</f>
        <v>1.4E-2</v>
      </c>
      <c r="AR22" s="156">
        <f t="shared" si="188"/>
        <v>1.4E-2</v>
      </c>
      <c r="AS22" s="156">
        <f t="shared" si="188"/>
        <v>1.4E-2</v>
      </c>
      <c r="AT22" s="156">
        <f t="shared" si="188"/>
        <v>1.4E-2</v>
      </c>
      <c r="AU22" s="156">
        <f t="shared" si="188"/>
        <v>1.4E-2</v>
      </c>
      <c r="AV22" s="156">
        <f t="shared" si="188"/>
        <v>1.4E-2</v>
      </c>
      <c r="AW22" s="156">
        <f t="shared" si="188"/>
        <v>1.4E-2</v>
      </c>
      <c r="AX22" s="156">
        <f t="shared" si="188"/>
        <v>1.4E-2</v>
      </c>
      <c r="AY22" s="156">
        <f t="shared" si="188"/>
        <v>1.4E-2</v>
      </c>
      <c r="AZ22" s="156">
        <f t="shared" si="188"/>
        <v>1.4E-2</v>
      </c>
      <c r="BA22" s="158">
        <f t="shared" si="188"/>
        <v>1.4E-2</v>
      </c>
      <c r="BB22" s="156">
        <f t="shared" si="188"/>
        <v>1.4E-2</v>
      </c>
      <c r="BC22" s="156">
        <f t="shared" si="188"/>
        <v>1.4E-2</v>
      </c>
      <c r="BD22" s="156">
        <f t="shared" si="188"/>
        <v>1.4E-2</v>
      </c>
      <c r="BE22" s="156">
        <f t="shared" si="188"/>
        <v>1.4E-2</v>
      </c>
      <c r="BF22" s="156">
        <f t="shared" si="188"/>
        <v>1.4E-2</v>
      </c>
      <c r="BG22" s="156">
        <f t="shared" si="188"/>
        <v>1.4E-2</v>
      </c>
      <c r="BH22" s="156">
        <f t="shared" si="188"/>
        <v>1.4E-2</v>
      </c>
      <c r="BI22" s="156">
        <f t="shared" si="188"/>
        <v>1.4E-2</v>
      </c>
      <c r="BJ22" s="156">
        <f t="shared" si="188"/>
        <v>1.4E-2</v>
      </c>
      <c r="BK22" s="156">
        <f t="shared" si="188"/>
        <v>1.4E-2</v>
      </c>
      <c r="BL22" s="156">
        <f t="shared" si="188"/>
        <v>1.4E-2</v>
      </c>
      <c r="BM22" s="158">
        <f t="shared" si="188"/>
        <v>1.4E-2</v>
      </c>
    </row>
    <row r="23" spans="1:65" x14ac:dyDescent="0.35">
      <c r="A23" s="171"/>
      <c r="B23" s="173"/>
      <c r="C23" s="137">
        <f t="shared" si="4"/>
        <v>21</v>
      </c>
      <c r="G23" s="178"/>
      <c r="H23" s="178"/>
      <c r="I23" s="178"/>
      <c r="J23" s="178"/>
      <c r="K23" s="178"/>
      <c r="L23" s="178"/>
      <c r="M23" s="178"/>
      <c r="N23" s="178"/>
      <c r="O23" s="178"/>
      <c r="P23" s="178"/>
      <c r="Q23" s="178"/>
      <c r="R23" s="178"/>
      <c r="S23" s="178"/>
      <c r="T23" s="178"/>
      <c r="U23" s="178"/>
      <c r="V23" s="178"/>
      <c r="W23" s="178"/>
      <c r="X23" s="178"/>
    </row>
    <row r="24" spans="1:65" x14ac:dyDescent="0.35">
      <c r="A24" s="171" t="s">
        <v>139</v>
      </c>
      <c r="B24" s="172">
        <f>HLOOKUP(A24,$F$3:$BM$95,C26,0)</f>
        <v>0</v>
      </c>
      <c r="C24" s="137">
        <f t="shared" si="4"/>
        <v>22</v>
      </c>
      <c r="D24" s="1" t="s">
        <v>159</v>
      </c>
      <c r="E24" s="36" t="s">
        <v>19</v>
      </c>
      <c r="F24" s="32">
        <f>$F$4</f>
        <v>45352</v>
      </c>
      <c r="G24" s="33">
        <f>EDATE(F24,1)</f>
        <v>45383</v>
      </c>
      <c r="H24" s="33">
        <f t="shared" ref="H24" si="189">EDATE(G24,1)</f>
        <v>45413</v>
      </c>
      <c r="I24" s="33">
        <f t="shared" ref="I24" si="190">EDATE(H24,1)</f>
        <v>45444</v>
      </c>
      <c r="J24" s="33">
        <f t="shared" ref="J24" si="191">EDATE(I24,1)</f>
        <v>45474</v>
      </c>
      <c r="K24" s="33">
        <f t="shared" ref="K24" si="192">EDATE(J24,1)</f>
        <v>45505</v>
      </c>
      <c r="L24" s="33">
        <f t="shared" ref="L24" si="193">EDATE(K24,1)</f>
        <v>45536</v>
      </c>
      <c r="M24" s="33">
        <f t="shared" ref="M24" si="194">EDATE(L24,1)</f>
        <v>45566</v>
      </c>
      <c r="N24" s="33">
        <f t="shared" ref="N24" si="195">EDATE(M24,1)</f>
        <v>45597</v>
      </c>
      <c r="O24" s="33">
        <f t="shared" ref="O24" si="196">EDATE(N24,1)</f>
        <v>45627</v>
      </c>
      <c r="P24" s="33">
        <f t="shared" ref="P24" si="197">EDATE(O24,1)</f>
        <v>45658</v>
      </c>
      <c r="Q24" s="33">
        <f t="shared" ref="Q24" si="198">EDATE(P24,1)</f>
        <v>45689</v>
      </c>
      <c r="R24" s="34">
        <f t="shared" ref="R24" si="199">EDATE(Q24,1)</f>
        <v>45717</v>
      </c>
      <c r="S24" s="33">
        <f t="shared" ref="S24" si="200">EDATE(R24,1)</f>
        <v>45748</v>
      </c>
      <c r="T24" s="33">
        <f t="shared" ref="T24" si="201">EDATE(S24,1)</f>
        <v>45778</v>
      </c>
      <c r="U24" s="33">
        <f t="shared" ref="U24" si="202">EDATE(T24,1)</f>
        <v>45809</v>
      </c>
      <c r="V24" s="33">
        <f t="shared" ref="V24" si="203">EDATE(U24,1)</f>
        <v>45839</v>
      </c>
      <c r="W24" s="33">
        <f t="shared" ref="W24" si="204">EDATE(V24,1)</f>
        <v>45870</v>
      </c>
      <c r="X24" s="33">
        <f t="shared" ref="X24" si="205">EDATE(W24,1)</f>
        <v>45901</v>
      </c>
      <c r="Y24" s="33">
        <f t="shared" ref="Y24" si="206">EDATE(X24,1)</f>
        <v>45931</v>
      </c>
      <c r="Z24" s="33">
        <f t="shared" ref="Z24" si="207">EDATE(Y24,1)</f>
        <v>45962</v>
      </c>
      <c r="AA24" s="33">
        <f t="shared" ref="AA24" si="208">EDATE(Z24,1)</f>
        <v>45992</v>
      </c>
      <c r="AB24" s="33">
        <f t="shared" ref="AB24" si="209">EDATE(AA24,1)</f>
        <v>46023</v>
      </c>
      <c r="AC24" s="33">
        <f t="shared" ref="AC24" si="210">EDATE(AB24,1)</f>
        <v>46054</v>
      </c>
      <c r="AD24" s="34">
        <f t="shared" ref="AD24" si="211">EDATE(AC24,1)</f>
        <v>46082</v>
      </c>
      <c r="AE24" s="33">
        <f t="shared" ref="AE24" si="212">EDATE(AD24,1)</f>
        <v>46113</v>
      </c>
      <c r="AF24" s="33">
        <f t="shared" ref="AF24" si="213">EDATE(AE24,1)</f>
        <v>46143</v>
      </c>
      <c r="AG24" s="33">
        <f t="shared" ref="AG24" si="214">EDATE(AF24,1)</f>
        <v>46174</v>
      </c>
      <c r="AH24" s="33">
        <f t="shared" ref="AH24" si="215">EDATE(AG24,1)</f>
        <v>46204</v>
      </c>
      <c r="AI24" s="33">
        <f t="shared" ref="AI24" si="216">EDATE(AH24,1)</f>
        <v>46235</v>
      </c>
      <c r="AJ24" s="33">
        <f t="shared" ref="AJ24" si="217">EDATE(AI24,1)</f>
        <v>46266</v>
      </c>
      <c r="AK24" s="33">
        <f t="shared" ref="AK24" si="218">EDATE(AJ24,1)</f>
        <v>46296</v>
      </c>
      <c r="AL24" s="33">
        <f t="shared" ref="AL24" si="219">EDATE(AK24,1)</f>
        <v>46327</v>
      </c>
      <c r="AM24" s="33">
        <f t="shared" ref="AM24" si="220">EDATE(AL24,1)</f>
        <v>46357</v>
      </c>
      <c r="AN24" s="33">
        <f t="shared" ref="AN24" si="221">EDATE(AM24,1)</f>
        <v>46388</v>
      </c>
      <c r="AO24" s="33">
        <f t="shared" ref="AO24" si="222">EDATE(AN24,1)</f>
        <v>46419</v>
      </c>
      <c r="AP24" s="34">
        <f t="shared" ref="AP24" si="223">EDATE(AO24,1)</f>
        <v>46447</v>
      </c>
      <c r="AQ24" s="33">
        <f t="shared" ref="AQ24" si="224">EDATE(AP24,1)</f>
        <v>46478</v>
      </c>
      <c r="AR24" s="33">
        <f t="shared" ref="AR24" si="225">EDATE(AQ24,1)</f>
        <v>46508</v>
      </c>
      <c r="AS24" s="33">
        <f t="shared" ref="AS24" si="226">EDATE(AR24,1)</f>
        <v>46539</v>
      </c>
      <c r="AT24" s="33">
        <f t="shared" ref="AT24" si="227">EDATE(AS24,1)</f>
        <v>46569</v>
      </c>
      <c r="AU24" s="33">
        <f t="shared" ref="AU24" si="228">EDATE(AT24,1)</f>
        <v>46600</v>
      </c>
      <c r="AV24" s="33">
        <f t="shared" ref="AV24" si="229">EDATE(AU24,1)</f>
        <v>46631</v>
      </c>
      <c r="AW24" s="33">
        <f t="shared" ref="AW24" si="230">EDATE(AV24,1)</f>
        <v>46661</v>
      </c>
      <c r="AX24" s="33">
        <f t="shared" ref="AX24" si="231">EDATE(AW24,1)</f>
        <v>46692</v>
      </c>
      <c r="AY24" s="33">
        <f t="shared" ref="AY24" si="232">EDATE(AX24,1)</f>
        <v>46722</v>
      </c>
      <c r="AZ24" s="33">
        <f t="shared" ref="AZ24" si="233">EDATE(AY24,1)</f>
        <v>46753</v>
      </c>
      <c r="BA24" s="34">
        <f t="shared" ref="BA24" si="234">EDATE(AZ24,1)</f>
        <v>46784</v>
      </c>
      <c r="BB24" s="33">
        <f t="shared" ref="BB24" si="235">EDATE(BA24,1)</f>
        <v>46813</v>
      </c>
      <c r="BC24" s="33">
        <f t="shared" ref="BC24" si="236">EDATE(BB24,1)</f>
        <v>46844</v>
      </c>
      <c r="BD24" s="33">
        <f t="shared" ref="BD24" si="237">EDATE(BC24,1)</f>
        <v>46874</v>
      </c>
      <c r="BE24" s="33">
        <f t="shared" ref="BE24" si="238">EDATE(BD24,1)</f>
        <v>46905</v>
      </c>
      <c r="BF24" s="33">
        <f t="shared" ref="BF24" si="239">EDATE(BE24,1)</f>
        <v>46935</v>
      </c>
      <c r="BG24" s="33">
        <f t="shared" ref="BG24" si="240">EDATE(BF24,1)</f>
        <v>46966</v>
      </c>
      <c r="BH24" s="33">
        <f t="shared" ref="BH24" si="241">EDATE(BG24,1)</f>
        <v>46997</v>
      </c>
      <c r="BI24" s="33">
        <f t="shared" ref="BI24" si="242">EDATE(BH24,1)</f>
        <v>47027</v>
      </c>
      <c r="BJ24" s="33">
        <f t="shared" ref="BJ24" si="243">EDATE(BI24,1)</f>
        <v>47058</v>
      </c>
      <c r="BK24" s="33">
        <f t="shared" ref="BK24" si="244">EDATE(BJ24,1)</f>
        <v>47088</v>
      </c>
      <c r="BL24" s="33">
        <f t="shared" ref="BL24" si="245">EDATE(BK24,1)</f>
        <v>47119</v>
      </c>
      <c r="BM24" s="34">
        <f>EDATE(BL24,1)</f>
        <v>47150</v>
      </c>
    </row>
    <row r="25" spans="1:65" x14ac:dyDescent="0.35">
      <c r="A25" s="171" t="s">
        <v>138</v>
      </c>
      <c r="B25" s="172">
        <f>HLOOKUP(A25,$F$3:$BM$95,C26,0)</f>
        <v>0</v>
      </c>
      <c r="C25" s="137">
        <f t="shared" si="4"/>
        <v>23</v>
      </c>
      <c r="D25" s="1" t="s">
        <v>51</v>
      </c>
      <c r="E25" s="1" t="s">
        <v>51</v>
      </c>
      <c r="F25" s="159">
        <v>0.99884935281871012</v>
      </c>
      <c r="G25" s="160">
        <v>0.99884404426766593</v>
      </c>
      <c r="H25" s="160">
        <v>0.99884674105334958</v>
      </c>
      <c r="I25" s="160">
        <v>0.9988568275721208</v>
      </c>
      <c r="J25" s="160">
        <v>0.99887710430215237</v>
      </c>
      <c r="K25" s="160">
        <v>0.99890587557765653</v>
      </c>
      <c r="L25" s="160">
        <v>0.99893802849291091</v>
      </c>
      <c r="M25" s="160">
        <v>0.99897256494922748</v>
      </c>
      <c r="N25" s="160">
        <v>0.99900290904861166</v>
      </c>
      <c r="O25" s="160">
        <v>0.99903511516116172</v>
      </c>
      <c r="P25" s="160">
        <v>0.99906844737583289</v>
      </c>
      <c r="Q25" s="160">
        <v>0.99909995667610274</v>
      </c>
      <c r="R25" s="161">
        <v>0.99914685590523966</v>
      </c>
      <c r="S25" s="160">
        <v>0.99913593362930231</v>
      </c>
      <c r="T25" s="160">
        <v>0.99913056398385336</v>
      </c>
      <c r="U25" s="160">
        <v>0.99913058570328162</v>
      </c>
      <c r="V25" s="160">
        <v>0.99913815579767584</v>
      </c>
      <c r="W25" s="160">
        <v>0.99915242215188349</v>
      </c>
      <c r="X25" s="160">
        <v>0.99917000455077476</v>
      </c>
      <c r="Y25" s="160">
        <v>0.99919023845502086</v>
      </c>
      <c r="Z25" s="160">
        <v>0.99920829936143996</v>
      </c>
      <c r="AA25" s="160">
        <v>0.99922850465351698</v>
      </c>
      <c r="AB25" s="160">
        <v>0.99925029471361049</v>
      </c>
      <c r="AC25" s="160">
        <v>0.9992713867306644</v>
      </c>
      <c r="AD25" s="161">
        <v>0.99930499148848007</v>
      </c>
      <c r="AE25" s="160">
        <v>0.9992935481640669</v>
      </c>
      <c r="AF25" s="160">
        <v>0.99928642363273301</v>
      </c>
      <c r="AG25" s="160">
        <v>0.99928358719867427</v>
      </c>
      <c r="AH25" s="160">
        <v>0.99928681799450614</v>
      </c>
      <c r="AI25" s="160">
        <v>0.99929557587500706</v>
      </c>
      <c r="AJ25" s="160">
        <v>0.99930728227812859</v>
      </c>
      <c r="AK25" s="160">
        <v>0.99932144318916671</v>
      </c>
      <c r="AL25" s="160">
        <v>0.99933418016120124</v>
      </c>
      <c r="AM25" s="160">
        <v>0.99934894398168672</v>
      </c>
      <c r="AN25" s="160">
        <v>0.99936528661768464</v>
      </c>
      <c r="AO25" s="160">
        <v>0.99938132639850974</v>
      </c>
      <c r="AP25" s="161">
        <v>0.99940797970625606</v>
      </c>
      <c r="AQ25" s="160">
        <v>1</v>
      </c>
      <c r="AR25" s="160">
        <v>1</v>
      </c>
      <c r="AS25" s="160">
        <v>1</v>
      </c>
      <c r="AT25" s="160">
        <v>1</v>
      </c>
      <c r="AU25" s="160">
        <v>1</v>
      </c>
      <c r="AV25" s="160">
        <v>1</v>
      </c>
      <c r="AW25" s="160">
        <v>1</v>
      </c>
      <c r="AX25" s="160">
        <v>1</v>
      </c>
      <c r="AY25" s="160">
        <v>1</v>
      </c>
      <c r="AZ25" s="160">
        <v>1</v>
      </c>
      <c r="BA25" s="161">
        <v>1</v>
      </c>
      <c r="BB25" s="160">
        <v>1</v>
      </c>
      <c r="BC25" s="160">
        <v>1</v>
      </c>
      <c r="BD25" s="160">
        <v>1</v>
      </c>
      <c r="BE25" s="160">
        <v>1</v>
      </c>
      <c r="BF25" s="160">
        <v>1</v>
      </c>
      <c r="BG25" s="160">
        <v>1</v>
      </c>
      <c r="BH25" s="160">
        <v>1</v>
      </c>
      <c r="BI25" s="160">
        <v>1</v>
      </c>
      <c r="BJ25" s="160">
        <v>1</v>
      </c>
      <c r="BK25" s="160">
        <v>1</v>
      </c>
      <c r="BL25" s="160">
        <v>1</v>
      </c>
      <c r="BM25" s="161">
        <v>1</v>
      </c>
    </row>
    <row r="26" spans="1:65" x14ac:dyDescent="0.35">
      <c r="A26" s="171" t="s">
        <v>139</v>
      </c>
      <c r="B26" s="173">
        <f>HLOOKUP(A26,$F$3:$BM$95,C27,0)</f>
        <v>6.7855681083328005E-4</v>
      </c>
      <c r="C26" s="137">
        <f t="shared" si="4"/>
        <v>24</v>
      </c>
      <c r="D26" s="2" t="s">
        <v>52</v>
      </c>
      <c r="E26" s="2" t="s">
        <v>52</v>
      </c>
      <c r="F26" s="162">
        <v>0</v>
      </c>
      <c r="G26" s="163">
        <v>0</v>
      </c>
      <c r="H26" s="163">
        <v>0</v>
      </c>
      <c r="I26" s="163">
        <v>0</v>
      </c>
      <c r="J26" s="163">
        <v>0</v>
      </c>
      <c r="K26" s="163">
        <v>0</v>
      </c>
      <c r="L26" s="163">
        <v>0</v>
      </c>
      <c r="M26" s="163">
        <v>0</v>
      </c>
      <c r="N26" s="163">
        <v>0</v>
      </c>
      <c r="O26" s="163">
        <v>0</v>
      </c>
      <c r="P26" s="163">
        <v>0</v>
      </c>
      <c r="Q26" s="163">
        <v>0</v>
      </c>
      <c r="R26" s="164">
        <v>0</v>
      </c>
      <c r="S26" s="163">
        <v>0</v>
      </c>
      <c r="T26" s="163">
        <v>0</v>
      </c>
      <c r="U26" s="163">
        <v>0</v>
      </c>
      <c r="V26" s="163">
        <v>0</v>
      </c>
      <c r="W26" s="163">
        <v>0</v>
      </c>
      <c r="X26" s="163">
        <v>0</v>
      </c>
      <c r="Y26" s="163">
        <v>0</v>
      </c>
      <c r="Z26" s="163">
        <v>0</v>
      </c>
      <c r="AA26" s="163">
        <v>0</v>
      </c>
      <c r="AB26" s="163">
        <v>0</v>
      </c>
      <c r="AC26" s="163">
        <v>0</v>
      </c>
      <c r="AD26" s="164">
        <v>0</v>
      </c>
      <c r="AE26" s="163">
        <v>0</v>
      </c>
      <c r="AF26" s="163">
        <v>0</v>
      </c>
      <c r="AG26" s="163">
        <v>0</v>
      </c>
      <c r="AH26" s="163">
        <v>0</v>
      </c>
      <c r="AI26" s="163">
        <v>0</v>
      </c>
      <c r="AJ26" s="163">
        <v>0</v>
      </c>
      <c r="AK26" s="163">
        <v>0</v>
      </c>
      <c r="AL26" s="163">
        <v>0</v>
      </c>
      <c r="AM26" s="163">
        <v>0</v>
      </c>
      <c r="AN26" s="163">
        <v>0</v>
      </c>
      <c r="AO26" s="163">
        <v>0</v>
      </c>
      <c r="AP26" s="164">
        <v>0</v>
      </c>
      <c r="AQ26" s="163">
        <v>0</v>
      </c>
      <c r="AR26" s="163">
        <v>0</v>
      </c>
      <c r="AS26" s="163">
        <v>0</v>
      </c>
      <c r="AT26" s="163">
        <v>0</v>
      </c>
      <c r="AU26" s="163">
        <v>0</v>
      </c>
      <c r="AV26" s="163">
        <v>0</v>
      </c>
      <c r="AW26" s="163">
        <v>0</v>
      </c>
      <c r="AX26" s="163">
        <v>0</v>
      </c>
      <c r="AY26" s="163">
        <v>0</v>
      </c>
      <c r="AZ26" s="163">
        <v>0</v>
      </c>
      <c r="BA26" s="164">
        <v>0</v>
      </c>
      <c r="BB26" s="163">
        <v>0</v>
      </c>
      <c r="BC26" s="163">
        <v>0</v>
      </c>
      <c r="BD26" s="163">
        <v>0</v>
      </c>
      <c r="BE26" s="163">
        <v>0</v>
      </c>
      <c r="BF26" s="163">
        <v>0</v>
      </c>
      <c r="BG26" s="163">
        <v>0</v>
      </c>
      <c r="BH26" s="163">
        <v>0</v>
      </c>
      <c r="BI26" s="163">
        <v>0</v>
      </c>
      <c r="BJ26" s="163">
        <v>0</v>
      </c>
      <c r="BK26" s="163">
        <v>0</v>
      </c>
      <c r="BL26" s="163">
        <v>0</v>
      </c>
      <c r="BM26" s="164">
        <v>0</v>
      </c>
    </row>
    <row r="27" spans="1:65" x14ac:dyDescent="0.35">
      <c r="A27" s="171" t="s">
        <v>138</v>
      </c>
      <c r="B27" s="173">
        <f>HLOOKUP(A27,$F$3:$BM$95,C27,0)</f>
        <v>1.1506471812898868E-3</v>
      </c>
      <c r="C27" s="137">
        <f t="shared" si="4"/>
        <v>25</v>
      </c>
      <c r="D27" s="3" t="s">
        <v>53</v>
      </c>
      <c r="E27" s="3" t="s">
        <v>53</v>
      </c>
      <c r="F27" s="165">
        <v>1.1506471812898868E-3</v>
      </c>
      <c r="G27" s="166">
        <v>1.1559557323341523E-3</v>
      </c>
      <c r="H27" s="166">
        <v>1.1532589466504112E-3</v>
      </c>
      <c r="I27" s="166">
        <v>1.1431724278792199E-3</v>
      </c>
      <c r="J27" s="166">
        <v>1.1228956978476547E-3</v>
      </c>
      <c r="K27" s="166">
        <v>1.0941244223434939E-3</v>
      </c>
      <c r="L27" s="166">
        <v>1.0619715070891338E-3</v>
      </c>
      <c r="M27" s="166">
        <v>1.0274350507725046E-3</v>
      </c>
      <c r="N27" s="166">
        <v>9.970909513883654E-4</v>
      </c>
      <c r="O27" s="166">
        <v>9.6488483883826182E-4</v>
      </c>
      <c r="P27" s="166">
        <v>9.3155262416716694E-4</v>
      </c>
      <c r="Q27" s="166">
        <v>9.0004332389724843E-4</v>
      </c>
      <c r="R27" s="167">
        <v>8.5314409476041438E-4</v>
      </c>
      <c r="S27" s="166">
        <v>8.6406637069767506E-4</v>
      </c>
      <c r="T27" s="166">
        <v>8.694360161467014E-4</v>
      </c>
      <c r="U27" s="166">
        <v>8.694142967183903E-4</v>
      </c>
      <c r="V27" s="166">
        <v>8.6184420232422688E-4</v>
      </c>
      <c r="W27" s="166">
        <v>8.4757784811653931E-4</v>
      </c>
      <c r="X27" s="166">
        <v>8.2999544922525285E-4</v>
      </c>
      <c r="Y27" s="166">
        <v>8.0976154497918254E-4</v>
      </c>
      <c r="Z27" s="166">
        <v>7.9170063856002484E-4</v>
      </c>
      <c r="AA27" s="166">
        <v>7.7149534648307593E-4</v>
      </c>
      <c r="AB27" s="166">
        <v>7.4970528638956498E-4</v>
      </c>
      <c r="AC27" s="166">
        <v>7.2861326933564474E-4</v>
      </c>
      <c r="AD27" s="167">
        <v>6.9500851151995053E-4</v>
      </c>
      <c r="AE27" s="166">
        <v>7.0645183593312847E-4</v>
      </c>
      <c r="AF27" s="166">
        <v>7.1357636726700582E-4</v>
      </c>
      <c r="AG27" s="166">
        <v>7.1641280132577595E-4</v>
      </c>
      <c r="AH27" s="166">
        <v>7.1318200549392674E-4</v>
      </c>
      <c r="AI27" s="166">
        <v>7.0442412499300633E-4</v>
      </c>
      <c r="AJ27" s="166">
        <v>6.9271772187140372E-4</v>
      </c>
      <c r="AK27" s="166">
        <v>6.7855681083328005E-4</v>
      </c>
      <c r="AL27" s="166">
        <v>6.6581983879880982E-4</v>
      </c>
      <c r="AM27" s="166">
        <v>6.5105601831333328E-4</v>
      </c>
      <c r="AN27" s="166">
        <v>6.347133823153445E-4</v>
      </c>
      <c r="AO27" s="166">
        <v>6.1867360149028903E-4</v>
      </c>
      <c r="AP27" s="167">
        <v>5.9202029374397691E-4</v>
      </c>
      <c r="AQ27" s="166">
        <v>0</v>
      </c>
      <c r="AR27" s="166">
        <v>0</v>
      </c>
      <c r="AS27" s="166">
        <v>0</v>
      </c>
      <c r="AT27" s="166">
        <v>0</v>
      </c>
      <c r="AU27" s="166">
        <v>0</v>
      </c>
      <c r="AV27" s="166">
        <v>0</v>
      </c>
      <c r="AW27" s="166">
        <v>0</v>
      </c>
      <c r="AX27" s="166">
        <v>0</v>
      </c>
      <c r="AY27" s="166">
        <v>0</v>
      </c>
      <c r="AZ27" s="166">
        <v>0</v>
      </c>
      <c r="BA27" s="167">
        <v>0</v>
      </c>
      <c r="BB27" s="166">
        <v>0</v>
      </c>
      <c r="BC27" s="166">
        <v>0</v>
      </c>
      <c r="BD27" s="166">
        <v>0</v>
      </c>
      <c r="BE27" s="166">
        <v>0</v>
      </c>
      <c r="BF27" s="166">
        <v>0</v>
      </c>
      <c r="BG27" s="166">
        <v>0</v>
      </c>
      <c r="BH27" s="166">
        <v>0</v>
      </c>
      <c r="BI27" s="166">
        <v>0</v>
      </c>
      <c r="BJ27" s="166">
        <v>0</v>
      </c>
      <c r="BK27" s="166">
        <v>0</v>
      </c>
      <c r="BL27" s="166">
        <v>0</v>
      </c>
      <c r="BM27" s="167">
        <v>0</v>
      </c>
    </row>
    <row r="28" spans="1:65" x14ac:dyDescent="0.35">
      <c r="A28" s="171">
        <f>'Input-Stress Parameters'!$D$15</f>
        <v>6</v>
      </c>
      <c r="B28" s="174">
        <f>IFERROR(('Calculations - Parameters'!L5/'Calculations - Parameters'!K5-1)*('Input-Stress Parameters'!$J$5/12),0)</f>
        <v>0</v>
      </c>
      <c r="C28" s="137">
        <f t="shared" si="4"/>
        <v>26</v>
      </c>
      <c r="F28" s="180">
        <f>IF(F$1="N",1,(MAX((F31/$B$25),1)))</f>
        <v>1</v>
      </c>
      <c r="G28" s="180">
        <f>IFERROR(IF(G$1="N",1,(MAX((G31/$B$25),1))),100%)</f>
        <v>1</v>
      </c>
      <c r="H28" s="180">
        <f>IFERROR(IF(H$1="N",1,(MAX((H31/$B$25),1))),100%)</f>
        <v>1</v>
      </c>
      <c r="I28" s="180">
        <f t="shared" ref="I28:AP28" si="246">IFERROR(IF(I$1="N",1,(MAX((I31/$B$25),1))),100%)</f>
        <v>1</v>
      </c>
      <c r="J28" s="180">
        <f t="shared" si="246"/>
        <v>1</v>
      </c>
      <c r="K28" s="180">
        <f t="shared" si="246"/>
        <v>1</v>
      </c>
      <c r="L28" s="180">
        <f t="shared" si="246"/>
        <v>1</v>
      </c>
      <c r="M28" s="180">
        <f t="shared" si="246"/>
        <v>1</v>
      </c>
      <c r="N28" s="180">
        <f t="shared" si="246"/>
        <v>1</v>
      </c>
      <c r="O28" s="180">
        <f t="shared" si="246"/>
        <v>1</v>
      </c>
      <c r="P28" s="180">
        <f t="shared" si="246"/>
        <v>1</v>
      </c>
      <c r="Q28" s="180">
        <f t="shared" si="246"/>
        <v>1</v>
      </c>
      <c r="R28" s="180">
        <f t="shared" si="246"/>
        <v>1</v>
      </c>
      <c r="S28" s="180">
        <f t="shared" si="246"/>
        <v>1</v>
      </c>
      <c r="T28" s="180">
        <f t="shared" si="246"/>
        <v>1</v>
      </c>
      <c r="U28" s="180">
        <f t="shared" si="246"/>
        <v>1</v>
      </c>
      <c r="V28" s="180">
        <f t="shared" si="246"/>
        <v>1</v>
      </c>
      <c r="W28" s="180">
        <f t="shared" si="246"/>
        <v>1</v>
      </c>
      <c r="X28" s="180">
        <f t="shared" si="246"/>
        <v>1</v>
      </c>
      <c r="Y28" s="180">
        <f t="shared" si="246"/>
        <v>1</v>
      </c>
      <c r="Z28" s="180">
        <f t="shared" si="246"/>
        <v>1</v>
      </c>
      <c r="AA28" s="180">
        <f t="shared" si="246"/>
        <v>1</v>
      </c>
      <c r="AB28" s="180">
        <f t="shared" si="246"/>
        <v>1</v>
      </c>
      <c r="AC28" s="180">
        <f t="shared" si="246"/>
        <v>1</v>
      </c>
      <c r="AD28" s="180">
        <f t="shared" si="246"/>
        <v>1</v>
      </c>
      <c r="AE28" s="180">
        <f t="shared" si="246"/>
        <v>1</v>
      </c>
      <c r="AF28" s="180">
        <f t="shared" si="246"/>
        <v>1</v>
      </c>
      <c r="AG28" s="180">
        <f t="shared" si="246"/>
        <v>1</v>
      </c>
      <c r="AH28" s="180">
        <f t="shared" si="246"/>
        <v>1</v>
      </c>
      <c r="AI28" s="180">
        <f t="shared" si="246"/>
        <v>1</v>
      </c>
      <c r="AJ28" s="180">
        <f t="shared" si="246"/>
        <v>1</v>
      </c>
      <c r="AK28" s="180">
        <f t="shared" si="246"/>
        <v>1</v>
      </c>
      <c r="AL28" s="180">
        <f t="shared" si="246"/>
        <v>1</v>
      </c>
      <c r="AM28" s="180">
        <f t="shared" si="246"/>
        <v>1</v>
      </c>
      <c r="AN28" s="180">
        <f t="shared" si="246"/>
        <v>1</v>
      </c>
      <c r="AO28" s="180">
        <f t="shared" si="246"/>
        <v>1</v>
      </c>
      <c r="AP28" s="180">
        <f t="shared" si="246"/>
        <v>1</v>
      </c>
      <c r="AQ28" s="180">
        <f t="shared" ref="AQ28:BM28" si="247">IF(AQ$1="N",1,(MAX((AQ31/$B$25),1)))</f>
        <v>1</v>
      </c>
      <c r="AR28" s="180">
        <f t="shared" si="247"/>
        <v>1</v>
      </c>
      <c r="AS28" s="180">
        <f t="shared" si="247"/>
        <v>1</v>
      </c>
      <c r="AT28" s="180">
        <f t="shared" si="247"/>
        <v>1</v>
      </c>
      <c r="AU28" s="180">
        <f t="shared" si="247"/>
        <v>1</v>
      </c>
      <c r="AV28" s="180">
        <f t="shared" si="247"/>
        <v>1</v>
      </c>
      <c r="AW28" s="180">
        <f t="shared" si="247"/>
        <v>1</v>
      </c>
      <c r="AX28" s="180">
        <f t="shared" si="247"/>
        <v>1</v>
      </c>
      <c r="AY28" s="180">
        <f t="shared" si="247"/>
        <v>1</v>
      </c>
      <c r="AZ28" s="180">
        <f t="shared" si="247"/>
        <v>1</v>
      </c>
      <c r="BA28" s="180">
        <f t="shared" si="247"/>
        <v>1</v>
      </c>
      <c r="BB28" s="180">
        <f t="shared" si="247"/>
        <v>1</v>
      </c>
      <c r="BC28" s="180">
        <f t="shared" si="247"/>
        <v>1</v>
      </c>
      <c r="BD28" s="180">
        <f t="shared" si="247"/>
        <v>1</v>
      </c>
      <c r="BE28" s="180">
        <f t="shared" si="247"/>
        <v>1</v>
      </c>
      <c r="BF28" s="180">
        <f t="shared" si="247"/>
        <v>1</v>
      </c>
      <c r="BG28" s="180">
        <f t="shared" si="247"/>
        <v>1</v>
      </c>
      <c r="BH28" s="180">
        <f t="shared" si="247"/>
        <v>1</v>
      </c>
      <c r="BI28" s="180">
        <f t="shared" si="247"/>
        <v>1</v>
      </c>
      <c r="BJ28" s="180">
        <f t="shared" si="247"/>
        <v>1</v>
      </c>
      <c r="BK28" s="180">
        <f t="shared" si="247"/>
        <v>1</v>
      </c>
      <c r="BL28" s="180">
        <f t="shared" si="247"/>
        <v>1</v>
      </c>
      <c r="BM28" s="180">
        <f t="shared" si="247"/>
        <v>1</v>
      </c>
    </row>
    <row r="29" spans="1:65" x14ac:dyDescent="0.35">
      <c r="A29" s="171">
        <f>'Input-Stress Parameters'!$E$16</f>
        <v>12</v>
      </c>
      <c r="B29" s="174" t="e">
        <f>('Calculations - Parameters'!M5/'Calculations - Parameters'!K5-1)-('Calculations - Parameters'!L5/'Calculations - Parameters'!K5-1)*('Input-Stress Parameters'!$J$6/12)</f>
        <v>#VALUE!</v>
      </c>
      <c r="C29" s="137">
        <f t="shared" si="4"/>
        <v>27</v>
      </c>
      <c r="D29" s="1" t="s">
        <v>159</v>
      </c>
      <c r="E29" s="36" t="s">
        <v>20</v>
      </c>
      <c r="F29" s="32">
        <f>$F$4</f>
        <v>45352</v>
      </c>
      <c r="G29" s="33">
        <f>EDATE(F29,1)</f>
        <v>45383</v>
      </c>
      <c r="H29" s="33">
        <f t="shared" ref="H29" si="248">EDATE(G29,1)</f>
        <v>45413</v>
      </c>
      <c r="I29" s="33">
        <f t="shared" ref="I29" si="249">EDATE(H29,1)</f>
        <v>45444</v>
      </c>
      <c r="J29" s="33">
        <f t="shared" ref="J29" si="250">EDATE(I29,1)</f>
        <v>45474</v>
      </c>
      <c r="K29" s="33">
        <f t="shared" ref="K29" si="251">EDATE(J29,1)</f>
        <v>45505</v>
      </c>
      <c r="L29" s="33">
        <f t="shared" ref="L29" si="252">EDATE(K29,1)</f>
        <v>45536</v>
      </c>
      <c r="M29" s="33">
        <f t="shared" ref="M29" si="253">EDATE(L29,1)</f>
        <v>45566</v>
      </c>
      <c r="N29" s="33">
        <f t="shared" ref="N29" si="254">EDATE(M29,1)</f>
        <v>45597</v>
      </c>
      <c r="O29" s="33">
        <f t="shared" ref="O29" si="255">EDATE(N29,1)</f>
        <v>45627</v>
      </c>
      <c r="P29" s="33">
        <f t="shared" ref="P29" si="256">EDATE(O29,1)</f>
        <v>45658</v>
      </c>
      <c r="Q29" s="33">
        <f t="shared" ref="Q29" si="257">EDATE(P29,1)</f>
        <v>45689</v>
      </c>
      <c r="R29" s="34">
        <f t="shared" ref="R29" si="258">EDATE(Q29,1)</f>
        <v>45717</v>
      </c>
      <c r="S29" s="33">
        <f t="shared" ref="S29" si="259">EDATE(R29,1)</f>
        <v>45748</v>
      </c>
      <c r="T29" s="33">
        <f t="shared" ref="T29" si="260">EDATE(S29,1)</f>
        <v>45778</v>
      </c>
      <c r="U29" s="33">
        <f t="shared" ref="U29" si="261">EDATE(T29,1)</f>
        <v>45809</v>
      </c>
      <c r="V29" s="33">
        <f t="shared" ref="V29" si="262">EDATE(U29,1)</f>
        <v>45839</v>
      </c>
      <c r="W29" s="33">
        <f t="shared" ref="W29" si="263">EDATE(V29,1)</f>
        <v>45870</v>
      </c>
      <c r="X29" s="33">
        <f t="shared" ref="X29" si="264">EDATE(W29,1)</f>
        <v>45901</v>
      </c>
      <c r="Y29" s="33">
        <f t="shared" ref="Y29" si="265">EDATE(X29,1)</f>
        <v>45931</v>
      </c>
      <c r="Z29" s="33">
        <f t="shared" ref="Z29" si="266">EDATE(Y29,1)</f>
        <v>45962</v>
      </c>
      <c r="AA29" s="33">
        <f t="shared" ref="AA29" si="267">EDATE(Z29,1)</f>
        <v>45992</v>
      </c>
      <c r="AB29" s="33">
        <f t="shared" ref="AB29" si="268">EDATE(AA29,1)</f>
        <v>46023</v>
      </c>
      <c r="AC29" s="33">
        <f t="shared" ref="AC29" si="269">EDATE(AB29,1)</f>
        <v>46054</v>
      </c>
      <c r="AD29" s="34">
        <f t="shared" ref="AD29" si="270">EDATE(AC29,1)</f>
        <v>46082</v>
      </c>
      <c r="AE29" s="33">
        <f t="shared" ref="AE29" si="271">EDATE(AD29,1)</f>
        <v>46113</v>
      </c>
      <c r="AF29" s="33">
        <f t="shared" ref="AF29" si="272">EDATE(AE29,1)</f>
        <v>46143</v>
      </c>
      <c r="AG29" s="33">
        <f t="shared" ref="AG29" si="273">EDATE(AF29,1)</f>
        <v>46174</v>
      </c>
      <c r="AH29" s="33">
        <f t="shared" ref="AH29" si="274">EDATE(AG29,1)</f>
        <v>46204</v>
      </c>
      <c r="AI29" s="33">
        <f t="shared" ref="AI29" si="275">EDATE(AH29,1)</f>
        <v>46235</v>
      </c>
      <c r="AJ29" s="33">
        <f t="shared" ref="AJ29" si="276">EDATE(AI29,1)</f>
        <v>46266</v>
      </c>
      <c r="AK29" s="33">
        <f t="shared" ref="AK29" si="277">EDATE(AJ29,1)</f>
        <v>46296</v>
      </c>
      <c r="AL29" s="33">
        <f t="shared" ref="AL29" si="278">EDATE(AK29,1)</f>
        <v>46327</v>
      </c>
      <c r="AM29" s="33">
        <f t="shared" ref="AM29" si="279">EDATE(AL29,1)</f>
        <v>46357</v>
      </c>
      <c r="AN29" s="33">
        <f t="shared" ref="AN29" si="280">EDATE(AM29,1)</f>
        <v>46388</v>
      </c>
      <c r="AO29" s="33">
        <f t="shared" ref="AO29" si="281">EDATE(AN29,1)</f>
        <v>46419</v>
      </c>
      <c r="AP29" s="34">
        <f t="shared" ref="AP29" si="282">EDATE(AO29,1)</f>
        <v>46447</v>
      </c>
      <c r="AQ29" s="33">
        <f t="shared" ref="AQ29" si="283">EDATE(AP29,1)</f>
        <v>46478</v>
      </c>
      <c r="AR29" s="33">
        <f t="shared" ref="AR29" si="284">EDATE(AQ29,1)</f>
        <v>46508</v>
      </c>
      <c r="AS29" s="33">
        <f t="shared" ref="AS29" si="285">EDATE(AR29,1)</f>
        <v>46539</v>
      </c>
      <c r="AT29" s="33">
        <f t="shared" ref="AT29" si="286">EDATE(AS29,1)</f>
        <v>46569</v>
      </c>
      <c r="AU29" s="33">
        <f t="shared" ref="AU29" si="287">EDATE(AT29,1)</f>
        <v>46600</v>
      </c>
      <c r="AV29" s="33">
        <f t="shared" ref="AV29" si="288">EDATE(AU29,1)</f>
        <v>46631</v>
      </c>
      <c r="AW29" s="33">
        <f t="shared" ref="AW29" si="289">EDATE(AV29,1)</f>
        <v>46661</v>
      </c>
      <c r="AX29" s="33">
        <f t="shared" ref="AX29" si="290">EDATE(AW29,1)</f>
        <v>46692</v>
      </c>
      <c r="AY29" s="33">
        <f t="shared" ref="AY29" si="291">EDATE(AX29,1)</f>
        <v>46722</v>
      </c>
      <c r="AZ29" s="33">
        <f t="shared" ref="AZ29" si="292">EDATE(AY29,1)</f>
        <v>46753</v>
      </c>
      <c r="BA29" s="34">
        <f t="shared" ref="BA29" si="293">EDATE(AZ29,1)</f>
        <v>46784</v>
      </c>
      <c r="BB29" s="33">
        <f t="shared" ref="BB29" si="294">EDATE(BA29,1)</f>
        <v>46813</v>
      </c>
      <c r="BC29" s="33">
        <f t="shared" ref="BC29" si="295">EDATE(BB29,1)</f>
        <v>46844</v>
      </c>
      <c r="BD29" s="33">
        <f t="shared" ref="BD29" si="296">EDATE(BC29,1)</f>
        <v>46874</v>
      </c>
      <c r="BE29" s="33">
        <f t="shared" ref="BE29" si="297">EDATE(BD29,1)</f>
        <v>46905</v>
      </c>
      <c r="BF29" s="33">
        <f t="shared" ref="BF29" si="298">EDATE(BE29,1)</f>
        <v>46935</v>
      </c>
      <c r="BG29" s="33">
        <f t="shared" ref="BG29" si="299">EDATE(BF29,1)</f>
        <v>46966</v>
      </c>
      <c r="BH29" s="33">
        <f t="shared" ref="BH29" si="300">EDATE(BG29,1)</f>
        <v>46997</v>
      </c>
      <c r="BI29" s="33">
        <f t="shared" ref="BI29" si="301">EDATE(BH29,1)</f>
        <v>47027</v>
      </c>
      <c r="BJ29" s="33">
        <f t="shared" ref="BJ29" si="302">EDATE(BI29,1)</f>
        <v>47058</v>
      </c>
      <c r="BK29" s="33">
        <f t="shared" ref="BK29" si="303">EDATE(BJ29,1)</f>
        <v>47088</v>
      </c>
      <c r="BL29" s="33">
        <f t="shared" ref="BL29" si="304">EDATE(BK29,1)</f>
        <v>47119</v>
      </c>
      <c r="BM29" s="34">
        <f>EDATE(BL29,1)</f>
        <v>47150</v>
      </c>
    </row>
    <row r="30" spans="1:65" x14ac:dyDescent="0.35">
      <c r="A30" s="171">
        <f>'Input-Stress Parameters'!$E$17</f>
        <v>3</v>
      </c>
      <c r="B30" s="174" t="e">
        <f>('Calculations - Parameters'!N5/'Calculations - Parameters'!K5-1)*('Input-Stress Parameters'!$J$7/12)-B29-B28</f>
        <v>#VALUE!</v>
      </c>
      <c r="C30" s="137">
        <f t="shared" si="4"/>
        <v>28</v>
      </c>
      <c r="D30" s="1" t="s">
        <v>51</v>
      </c>
      <c r="E30" s="1" t="s">
        <v>51</v>
      </c>
      <c r="F30" s="129">
        <f t="shared" ref="F30:BM30" si="305">1-F31-F32</f>
        <v>0.99884935281871012</v>
      </c>
      <c r="G30" s="130">
        <f t="shared" ref="G30:AP30" si="306">1-G31-G32</f>
        <v>0.99884404426766582</v>
      </c>
      <c r="H30" s="130">
        <f t="shared" si="306"/>
        <v>0.99884674105334958</v>
      </c>
      <c r="I30" s="130">
        <f t="shared" si="306"/>
        <v>0.9988568275721208</v>
      </c>
      <c r="J30" s="130">
        <f t="shared" si="306"/>
        <v>0.99887710430215237</v>
      </c>
      <c r="K30" s="130">
        <f t="shared" si="306"/>
        <v>0.99890587557765653</v>
      </c>
      <c r="L30" s="130">
        <f t="shared" si="306"/>
        <v>0.99893802849291091</v>
      </c>
      <c r="M30" s="130">
        <f t="shared" si="306"/>
        <v>0.99897256494922748</v>
      </c>
      <c r="N30" s="130">
        <f t="shared" si="306"/>
        <v>0.99900290904861166</v>
      </c>
      <c r="O30" s="130">
        <f t="shared" si="306"/>
        <v>0.99903511516116172</v>
      </c>
      <c r="P30" s="130">
        <f t="shared" si="306"/>
        <v>0.99906844737583278</v>
      </c>
      <c r="Q30" s="130">
        <f t="shared" si="306"/>
        <v>0.99909995667610274</v>
      </c>
      <c r="R30" s="131">
        <f t="shared" si="306"/>
        <v>0.99914685590523955</v>
      </c>
      <c r="S30" s="130">
        <f t="shared" si="306"/>
        <v>0.99913593362930231</v>
      </c>
      <c r="T30" s="130">
        <f t="shared" si="306"/>
        <v>0.99913056398385325</v>
      </c>
      <c r="U30" s="130">
        <f t="shared" si="306"/>
        <v>0.99913058570328162</v>
      </c>
      <c r="V30" s="130">
        <f t="shared" si="306"/>
        <v>0.99913815579767573</v>
      </c>
      <c r="W30" s="130">
        <f t="shared" si="306"/>
        <v>0.99915242215188349</v>
      </c>
      <c r="X30" s="130">
        <f t="shared" si="306"/>
        <v>0.99917000455077476</v>
      </c>
      <c r="Y30" s="130">
        <f t="shared" si="306"/>
        <v>0.99919023845502086</v>
      </c>
      <c r="Z30" s="130">
        <f t="shared" si="306"/>
        <v>0.99920829936143996</v>
      </c>
      <c r="AA30" s="130">
        <f t="shared" si="306"/>
        <v>0.99922850465351687</v>
      </c>
      <c r="AB30" s="130">
        <f t="shared" si="306"/>
        <v>0.99925029471361049</v>
      </c>
      <c r="AC30" s="130">
        <f t="shared" si="306"/>
        <v>0.9992713867306644</v>
      </c>
      <c r="AD30" s="131">
        <f t="shared" si="306"/>
        <v>0.99930499148848007</v>
      </c>
      <c r="AE30" s="130">
        <f t="shared" si="306"/>
        <v>0.9992935481640669</v>
      </c>
      <c r="AF30" s="130">
        <f t="shared" si="306"/>
        <v>0.99928642363273301</v>
      </c>
      <c r="AG30" s="130">
        <f t="shared" si="306"/>
        <v>0.99928358719867427</v>
      </c>
      <c r="AH30" s="130">
        <f t="shared" si="306"/>
        <v>0.99928681799450603</v>
      </c>
      <c r="AI30" s="130">
        <f t="shared" si="306"/>
        <v>0.99929557587500695</v>
      </c>
      <c r="AJ30" s="130">
        <f t="shared" si="306"/>
        <v>0.99930728227812859</v>
      </c>
      <c r="AK30" s="130">
        <f t="shared" si="306"/>
        <v>0.99932144318916671</v>
      </c>
      <c r="AL30" s="130">
        <f t="shared" si="306"/>
        <v>0.99933418016120124</v>
      </c>
      <c r="AM30" s="130">
        <f t="shared" si="306"/>
        <v>0.99934894398168672</v>
      </c>
      <c r="AN30" s="130">
        <f t="shared" si="306"/>
        <v>0.99936528661768464</v>
      </c>
      <c r="AO30" s="130">
        <f t="shared" si="306"/>
        <v>0.99938132639850974</v>
      </c>
      <c r="AP30" s="131">
        <f t="shared" si="306"/>
        <v>0.99940797970625606</v>
      </c>
      <c r="AQ30" s="130">
        <f t="shared" si="305"/>
        <v>1</v>
      </c>
      <c r="AR30" s="130">
        <f t="shared" si="305"/>
        <v>1</v>
      </c>
      <c r="AS30" s="130">
        <f t="shared" si="305"/>
        <v>1</v>
      </c>
      <c r="AT30" s="130">
        <f t="shared" si="305"/>
        <v>1</v>
      </c>
      <c r="AU30" s="130">
        <f t="shared" si="305"/>
        <v>1</v>
      </c>
      <c r="AV30" s="130">
        <f t="shared" si="305"/>
        <v>1</v>
      </c>
      <c r="AW30" s="130">
        <f t="shared" si="305"/>
        <v>1</v>
      </c>
      <c r="AX30" s="130">
        <f t="shared" si="305"/>
        <v>1</v>
      </c>
      <c r="AY30" s="130">
        <f t="shared" si="305"/>
        <v>1</v>
      </c>
      <c r="AZ30" s="130">
        <f t="shared" si="305"/>
        <v>1</v>
      </c>
      <c r="BA30" s="131">
        <f t="shared" si="305"/>
        <v>1</v>
      </c>
      <c r="BB30" s="130">
        <f t="shared" si="305"/>
        <v>1</v>
      </c>
      <c r="BC30" s="130">
        <f t="shared" si="305"/>
        <v>1</v>
      </c>
      <c r="BD30" s="130">
        <f t="shared" si="305"/>
        <v>1</v>
      </c>
      <c r="BE30" s="130">
        <f t="shared" si="305"/>
        <v>1</v>
      </c>
      <c r="BF30" s="130">
        <f t="shared" si="305"/>
        <v>1</v>
      </c>
      <c r="BG30" s="130">
        <f t="shared" si="305"/>
        <v>1</v>
      </c>
      <c r="BH30" s="130">
        <f t="shared" si="305"/>
        <v>1</v>
      </c>
      <c r="BI30" s="130">
        <f t="shared" si="305"/>
        <v>1</v>
      </c>
      <c r="BJ30" s="130">
        <f t="shared" si="305"/>
        <v>1</v>
      </c>
      <c r="BK30" s="130">
        <f t="shared" si="305"/>
        <v>1</v>
      </c>
      <c r="BL30" s="130">
        <f t="shared" si="305"/>
        <v>1</v>
      </c>
      <c r="BM30" s="131">
        <f t="shared" si="305"/>
        <v>1</v>
      </c>
    </row>
    <row r="31" spans="1:65" x14ac:dyDescent="0.35">
      <c r="A31" s="171">
        <f>'Input-Stress Parameters'!$E$18+1</f>
        <v>10</v>
      </c>
      <c r="B31" s="172" t="e">
        <f>B26-('Calculations - Parameters'!N5/'Calculations - Parameters'!K5)*B27</f>
        <v>#VALUE!</v>
      </c>
      <c r="C31" s="137">
        <f t="shared" si="4"/>
        <v>29</v>
      </c>
      <c r="D31" s="2" t="s">
        <v>52</v>
      </c>
      <c r="E31" s="2" t="s">
        <v>52</v>
      </c>
      <c r="F31" s="132">
        <f>F26</f>
        <v>0</v>
      </c>
      <c r="G31" s="169">
        <f t="shared" ref="G31:AP31" si="307">G26</f>
        <v>0</v>
      </c>
      <c r="H31" s="169">
        <f t="shared" si="307"/>
        <v>0</v>
      </c>
      <c r="I31" s="169">
        <f t="shared" si="307"/>
        <v>0</v>
      </c>
      <c r="J31" s="169">
        <f t="shared" si="307"/>
        <v>0</v>
      </c>
      <c r="K31" s="169">
        <f t="shared" si="307"/>
        <v>0</v>
      </c>
      <c r="L31" s="169">
        <f t="shared" si="307"/>
        <v>0</v>
      </c>
      <c r="M31" s="169">
        <f t="shared" si="307"/>
        <v>0</v>
      </c>
      <c r="N31" s="169">
        <f t="shared" si="307"/>
        <v>0</v>
      </c>
      <c r="O31" s="169">
        <f t="shared" si="307"/>
        <v>0</v>
      </c>
      <c r="P31" s="169">
        <f t="shared" si="307"/>
        <v>0</v>
      </c>
      <c r="Q31" s="169">
        <f t="shared" si="307"/>
        <v>0</v>
      </c>
      <c r="R31" s="170">
        <f t="shared" si="307"/>
        <v>0</v>
      </c>
      <c r="S31" s="169">
        <f t="shared" si="307"/>
        <v>0</v>
      </c>
      <c r="T31" s="169">
        <f t="shared" si="307"/>
        <v>0</v>
      </c>
      <c r="U31" s="169">
        <f t="shared" si="307"/>
        <v>0</v>
      </c>
      <c r="V31" s="169">
        <f t="shared" si="307"/>
        <v>0</v>
      </c>
      <c r="W31" s="169">
        <f t="shared" si="307"/>
        <v>0</v>
      </c>
      <c r="X31" s="169">
        <f t="shared" si="307"/>
        <v>0</v>
      </c>
      <c r="Y31" s="169">
        <f t="shared" si="307"/>
        <v>0</v>
      </c>
      <c r="Z31" s="169">
        <f t="shared" si="307"/>
        <v>0</v>
      </c>
      <c r="AA31" s="169">
        <f t="shared" si="307"/>
        <v>0</v>
      </c>
      <c r="AB31" s="169">
        <f t="shared" si="307"/>
        <v>0</v>
      </c>
      <c r="AC31" s="169">
        <f t="shared" si="307"/>
        <v>0</v>
      </c>
      <c r="AD31" s="170">
        <f t="shared" si="307"/>
        <v>0</v>
      </c>
      <c r="AE31" s="169">
        <f t="shared" si="307"/>
        <v>0</v>
      </c>
      <c r="AF31" s="169">
        <f t="shared" si="307"/>
        <v>0</v>
      </c>
      <c r="AG31" s="169">
        <f t="shared" si="307"/>
        <v>0</v>
      </c>
      <c r="AH31" s="169">
        <f t="shared" si="307"/>
        <v>0</v>
      </c>
      <c r="AI31" s="169">
        <f t="shared" si="307"/>
        <v>0</v>
      </c>
      <c r="AJ31" s="169">
        <f t="shared" si="307"/>
        <v>0</v>
      </c>
      <c r="AK31" s="169">
        <f t="shared" si="307"/>
        <v>0</v>
      </c>
      <c r="AL31" s="169">
        <f t="shared" si="307"/>
        <v>0</v>
      </c>
      <c r="AM31" s="169">
        <f t="shared" si="307"/>
        <v>0</v>
      </c>
      <c r="AN31" s="169">
        <f t="shared" si="307"/>
        <v>0</v>
      </c>
      <c r="AO31" s="169">
        <f t="shared" si="307"/>
        <v>0</v>
      </c>
      <c r="AP31" s="170">
        <f t="shared" si="307"/>
        <v>0</v>
      </c>
      <c r="AQ31" s="169">
        <f t="shared" ref="AQ31:BM31" si="308">IFERROR(IF(AQ$1="N",AQ26,IF(AQ$2="SL1P",(AP31+$B27*($B28/$A28)),IF(AQ$2="SL2P",(AP31+$B25*($B29/$A29)),IF(AQ$2="SL3P",(AP31+$B25*($B30/$A30)),IF(AQ$2="SL4P",(AP31+($B32/$A32))))))),AQ26)</f>
        <v>0</v>
      </c>
      <c r="AR31" s="169">
        <f t="shared" si="308"/>
        <v>0</v>
      </c>
      <c r="AS31" s="169">
        <f t="shared" si="308"/>
        <v>0</v>
      </c>
      <c r="AT31" s="169">
        <f t="shared" si="308"/>
        <v>0</v>
      </c>
      <c r="AU31" s="169">
        <f t="shared" si="308"/>
        <v>0</v>
      </c>
      <c r="AV31" s="169">
        <f t="shared" si="308"/>
        <v>0</v>
      </c>
      <c r="AW31" s="169">
        <f t="shared" si="308"/>
        <v>0</v>
      </c>
      <c r="AX31" s="169">
        <f t="shared" si="308"/>
        <v>0</v>
      </c>
      <c r="AY31" s="169">
        <f t="shared" si="308"/>
        <v>0</v>
      </c>
      <c r="AZ31" s="169">
        <f t="shared" si="308"/>
        <v>0</v>
      </c>
      <c r="BA31" s="170">
        <f t="shared" si="308"/>
        <v>0</v>
      </c>
      <c r="BB31" s="169">
        <f t="shared" si="308"/>
        <v>0</v>
      </c>
      <c r="BC31" s="169">
        <f t="shared" si="308"/>
        <v>0</v>
      </c>
      <c r="BD31" s="169">
        <f t="shared" si="308"/>
        <v>0</v>
      </c>
      <c r="BE31" s="169">
        <f t="shared" si="308"/>
        <v>0</v>
      </c>
      <c r="BF31" s="169">
        <f t="shared" si="308"/>
        <v>0</v>
      </c>
      <c r="BG31" s="169">
        <f t="shared" si="308"/>
        <v>0</v>
      </c>
      <c r="BH31" s="169">
        <f t="shared" si="308"/>
        <v>0</v>
      </c>
      <c r="BI31" s="169">
        <f t="shared" si="308"/>
        <v>0</v>
      </c>
      <c r="BJ31" s="169">
        <f t="shared" si="308"/>
        <v>0</v>
      </c>
      <c r="BK31" s="169">
        <f t="shared" si="308"/>
        <v>0</v>
      </c>
      <c r="BL31" s="169">
        <f t="shared" si="308"/>
        <v>0</v>
      </c>
      <c r="BM31" s="170">
        <f t="shared" si="308"/>
        <v>0</v>
      </c>
    </row>
    <row r="32" spans="1:65" x14ac:dyDescent="0.35">
      <c r="A32" s="171">
        <f>A31</f>
        <v>10</v>
      </c>
      <c r="B32" s="172" t="e">
        <f>B24-('Calculations - Parameters'!N5/'Calculations - Parameters'!K5)*B25</f>
        <v>#VALUE!</v>
      </c>
      <c r="C32" s="137">
        <f t="shared" si="4"/>
        <v>30</v>
      </c>
      <c r="D32" s="3" t="s">
        <v>53</v>
      </c>
      <c r="E32" s="3" t="s">
        <v>53</v>
      </c>
      <c r="F32" s="157">
        <f>F27</f>
        <v>1.1506471812898868E-3</v>
      </c>
      <c r="G32" s="156">
        <f t="shared" ref="G32:AP32" si="309">G27</f>
        <v>1.1559557323341523E-3</v>
      </c>
      <c r="H32" s="156">
        <f t="shared" si="309"/>
        <v>1.1532589466504112E-3</v>
      </c>
      <c r="I32" s="156">
        <f t="shared" si="309"/>
        <v>1.1431724278792199E-3</v>
      </c>
      <c r="J32" s="156">
        <f t="shared" si="309"/>
        <v>1.1228956978476547E-3</v>
      </c>
      <c r="K32" s="156">
        <f t="shared" si="309"/>
        <v>1.0941244223434939E-3</v>
      </c>
      <c r="L32" s="156">
        <f t="shared" si="309"/>
        <v>1.0619715070891338E-3</v>
      </c>
      <c r="M32" s="156">
        <f t="shared" si="309"/>
        <v>1.0274350507725046E-3</v>
      </c>
      <c r="N32" s="156">
        <f t="shared" si="309"/>
        <v>9.970909513883654E-4</v>
      </c>
      <c r="O32" s="156">
        <f t="shared" si="309"/>
        <v>9.6488483883826182E-4</v>
      </c>
      <c r="P32" s="156">
        <f t="shared" si="309"/>
        <v>9.3155262416716694E-4</v>
      </c>
      <c r="Q32" s="156">
        <f t="shared" si="309"/>
        <v>9.0004332389724843E-4</v>
      </c>
      <c r="R32" s="158">
        <f t="shared" si="309"/>
        <v>8.5314409476041438E-4</v>
      </c>
      <c r="S32" s="156">
        <f t="shared" si="309"/>
        <v>8.6406637069767506E-4</v>
      </c>
      <c r="T32" s="156">
        <f t="shared" si="309"/>
        <v>8.694360161467014E-4</v>
      </c>
      <c r="U32" s="156">
        <f t="shared" si="309"/>
        <v>8.694142967183903E-4</v>
      </c>
      <c r="V32" s="156">
        <f t="shared" si="309"/>
        <v>8.6184420232422688E-4</v>
      </c>
      <c r="W32" s="156">
        <f t="shared" si="309"/>
        <v>8.4757784811653931E-4</v>
      </c>
      <c r="X32" s="156">
        <f t="shared" si="309"/>
        <v>8.2999544922525285E-4</v>
      </c>
      <c r="Y32" s="156">
        <f t="shared" si="309"/>
        <v>8.0976154497918254E-4</v>
      </c>
      <c r="Z32" s="156">
        <f t="shared" si="309"/>
        <v>7.9170063856002484E-4</v>
      </c>
      <c r="AA32" s="156">
        <f t="shared" si="309"/>
        <v>7.7149534648307593E-4</v>
      </c>
      <c r="AB32" s="156">
        <f t="shared" si="309"/>
        <v>7.4970528638956498E-4</v>
      </c>
      <c r="AC32" s="156">
        <f t="shared" si="309"/>
        <v>7.2861326933564474E-4</v>
      </c>
      <c r="AD32" s="158">
        <f t="shared" si="309"/>
        <v>6.9500851151995053E-4</v>
      </c>
      <c r="AE32" s="156">
        <f t="shared" si="309"/>
        <v>7.0645183593312847E-4</v>
      </c>
      <c r="AF32" s="156">
        <f t="shared" si="309"/>
        <v>7.1357636726700582E-4</v>
      </c>
      <c r="AG32" s="156">
        <f t="shared" si="309"/>
        <v>7.1641280132577595E-4</v>
      </c>
      <c r="AH32" s="156">
        <f t="shared" si="309"/>
        <v>7.1318200549392674E-4</v>
      </c>
      <c r="AI32" s="156">
        <f t="shared" si="309"/>
        <v>7.0442412499300633E-4</v>
      </c>
      <c r="AJ32" s="156">
        <f t="shared" si="309"/>
        <v>6.9271772187140372E-4</v>
      </c>
      <c r="AK32" s="156">
        <f t="shared" si="309"/>
        <v>6.7855681083328005E-4</v>
      </c>
      <c r="AL32" s="156">
        <f t="shared" si="309"/>
        <v>6.6581983879880982E-4</v>
      </c>
      <c r="AM32" s="156">
        <f t="shared" si="309"/>
        <v>6.5105601831333328E-4</v>
      </c>
      <c r="AN32" s="156">
        <f t="shared" si="309"/>
        <v>6.347133823153445E-4</v>
      </c>
      <c r="AO32" s="156">
        <f t="shared" si="309"/>
        <v>6.1867360149028903E-4</v>
      </c>
      <c r="AP32" s="158">
        <f t="shared" si="309"/>
        <v>5.9202029374397691E-4</v>
      </c>
      <c r="AQ32" s="156">
        <f t="shared" ref="AQ32:BM32" si="310">IFERROR(IF(AQ$1="N",AQ27,IF(AQ$2="SL1P",(AP32+$B27*($B28/$A28)),IF(AQ$2="SL2P",(AP32+$B27*($B29/$A29)),IF(AQ$2="SL3P",(AP32+$B27*($B30/$A30)),IF(AQ$2="SL4P",(AP32+($B31/$A31))))))),AQ27)</f>
        <v>0</v>
      </c>
      <c r="AR32" s="156">
        <f t="shared" si="310"/>
        <v>0</v>
      </c>
      <c r="AS32" s="156">
        <f t="shared" si="310"/>
        <v>0</v>
      </c>
      <c r="AT32" s="156">
        <f t="shared" si="310"/>
        <v>0</v>
      </c>
      <c r="AU32" s="156">
        <f t="shared" si="310"/>
        <v>0</v>
      </c>
      <c r="AV32" s="156">
        <f t="shared" si="310"/>
        <v>0</v>
      </c>
      <c r="AW32" s="156">
        <f t="shared" si="310"/>
        <v>0</v>
      </c>
      <c r="AX32" s="156">
        <f t="shared" si="310"/>
        <v>0</v>
      </c>
      <c r="AY32" s="156">
        <f t="shared" si="310"/>
        <v>0</v>
      </c>
      <c r="AZ32" s="156">
        <f t="shared" si="310"/>
        <v>0</v>
      </c>
      <c r="BA32" s="158">
        <f t="shared" si="310"/>
        <v>0</v>
      </c>
      <c r="BB32" s="156">
        <f t="shared" si="310"/>
        <v>0</v>
      </c>
      <c r="BC32" s="156">
        <f t="shared" si="310"/>
        <v>0</v>
      </c>
      <c r="BD32" s="156">
        <f t="shared" si="310"/>
        <v>0</v>
      </c>
      <c r="BE32" s="156">
        <f t="shared" si="310"/>
        <v>0</v>
      </c>
      <c r="BF32" s="156">
        <f t="shared" si="310"/>
        <v>0</v>
      </c>
      <c r="BG32" s="156">
        <f t="shared" si="310"/>
        <v>0</v>
      </c>
      <c r="BH32" s="156">
        <f t="shared" si="310"/>
        <v>0</v>
      </c>
      <c r="BI32" s="156">
        <f t="shared" si="310"/>
        <v>0</v>
      </c>
      <c r="BJ32" s="156">
        <f t="shared" si="310"/>
        <v>0</v>
      </c>
      <c r="BK32" s="156">
        <f t="shared" si="310"/>
        <v>0</v>
      </c>
      <c r="BL32" s="156">
        <f t="shared" si="310"/>
        <v>0</v>
      </c>
      <c r="BM32" s="158">
        <f t="shared" si="310"/>
        <v>0</v>
      </c>
    </row>
    <row r="34" spans="4:42" x14ac:dyDescent="0.35">
      <c r="D34" s="1" t="s">
        <v>188</v>
      </c>
      <c r="E34" s="36" t="s">
        <v>19</v>
      </c>
      <c r="F34" s="32">
        <f>$F$4</f>
        <v>45352</v>
      </c>
      <c r="G34" s="33">
        <f>EDATE(F34,1)</f>
        <v>45383</v>
      </c>
      <c r="H34" s="33">
        <f t="shared" ref="H34" si="311">EDATE(G34,1)</f>
        <v>45413</v>
      </c>
      <c r="I34" s="33">
        <f t="shared" ref="I34" si="312">EDATE(H34,1)</f>
        <v>45444</v>
      </c>
      <c r="J34" s="33">
        <f t="shared" ref="J34" si="313">EDATE(I34,1)</f>
        <v>45474</v>
      </c>
      <c r="K34" s="33">
        <f t="shared" ref="K34" si="314">EDATE(J34,1)</f>
        <v>45505</v>
      </c>
      <c r="L34" s="33">
        <f t="shared" ref="L34" si="315">EDATE(K34,1)</f>
        <v>45536</v>
      </c>
      <c r="M34" s="33">
        <f t="shared" ref="M34" si="316">EDATE(L34,1)</f>
        <v>45566</v>
      </c>
      <c r="N34" s="33">
        <f t="shared" ref="N34" si="317">EDATE(M34,1)</f>
        <v>45597</v>
      </c>
      <c r="O34" s="33">
        <f t="shared" ref="O34" si="318">EDATE(N34,1)</f>
        <v>45627</v>
      </c>
      <c r="P34" s="33">
        <f t="shared" ref="P34" si="319">EDATE(O34,1)</f>
        <v>45658</v>
      </c>
      <c r="Q34" s="33">
        <f t="shared" ref="Q34" si="320">EDATE(P34,1)</f>
        <v>45689</v>
      </c>
      <c r="R34" s="34">
        <f t="shared" ref="R34" si="321">EDATE(Q34,1)</f>
        <v>45717</v>
      </c>
      <c r="S34" s="33">
        <f t="shared" ref="S34" si="322">EDATE(R34,1)</f>
        <v>45748</v>
      </c>
      <c r="T34" s="33">
        <f t="shared" ref="T34" si="323">EDATE(S34,1)</f>
        <v>45778</v>
      </c>
      <c r="U34" s="33">
        <f t="shared" ref="U34" si="324">EDATE(T34,1)</f>
        <v>45809</v>
      </c>
      <c r="V34" s="33">
        <f t="shared" ref="V34" si="325">EDATE(U34,1)</f>
        <v>45839</v>
      </c>
      <c r="W34" s="33">
        <f t="shared" ref="W34" si="326">EDATE(V34,1)</f>
        <v>45870</v>
      </c>
      <c r="X34" s="33">
        <f t="shared" ref="X34" si="327">EDATE(W34,1)</f>
        <v>45901</v>
      </c>
      <c r="Y34" s="33">
        <f t="shared" ref="Y34" si="328">EDATE(X34,1)</f>
        <v>45931</v>
      </c>
      <c r="Z34" s="33">
        <f t="shared" ref="Z34" si="329">EDATE(Y34,1)</f>
        <v>45962</v>
      </c>
      <c r="AA34" s="33">
        <f t="shared" ref="AA34" si="330">EDATE(Z34,1)</f>
        <v>45992</v>
      </c>
      <c r="AB34" s="33">
        <f t="shared" ref="AB34" si="331">EDATE(AA34,1)</f>
        <v>46023</v>
      </c>
      <c r="AC34" s="33">
        <f t="shared" ref="AC34" si="332">EDATE(AB34,1)</f>
        <v>46054</v>
      </c>
      <c r="AD34" s="34">
        <f t="shared" ref="AD34" si="333">EDATE(AC34,1)</f>
        <v>46082</v>
      </c>
      <c r="AE34" s="33">
        <f t="shared" ref="AE34" si="334">EDATE(AD34,1)</f>
        <v>46113</v>
      </c>
      <c r="AF34" s="33">
        <f t="shared" ref="AF34" si="335">EDATE(AE34,1)</f>
        <v>46143</v>
      </c>
      <c r="AG34" s="33">
        <f t="shared" ref="AG34" si="336">EDATE(AF34,1)</f>
        <v>46174</v>
      </c>
      <c r="AH34" s="33">
        <f t="shared" ref="AH34" si="337">EDATE(AG34,1)</f>
        <v>46204</v>
      </c>
      <c r="AI34" s="33">
        <f t="shared" ref="AI34" si="338">EDATE(AH34,1)</f>
        <v>46235</v>
      </c>
      <c r="AJ34" s="33">
        <f t="shared" ref="AJ34" si="339">EDATE(AI34,1)</f>
        <v>46266</v>
      </c>
      <c r="AK34" s="33">
        <f t="shared" ref="AK34" si="340">EDATE(AJ34,1)</f>
        <v>46296</v>
      </c>
      <c r="AL34" s="33">
        <f t="shared" ref="AL34" si="341">EDATE(AK34,1)</f>
        <v>46327</v>
      </c>
      <c r="AM34" s="33">
        <f t="shared" ref="AM34" si="342">EDATE(AL34,1)</f>
        <v>46357</v>
      </c>
      <c r="AN34" s="33">
        <f t="shared" ref="AN34" si="343">EDATE(AM34,1)</f>
        <v>46388</v>
      </c>
      <c r="AO34" s="33">
        <f t="shared" ref="AO34" si="344">EDATE(AN34,1)</f>
        <v>46419</v>
      </c>
      <c r="AP34" s="34">
        <f t="shared" ref="AP34" si="345">EDATE(AO34,1)</f>
        <v>46447</v>
      </c>
    </row>
    <row r="35" spans="4:42" x14ac:dyDescent="0.35">
      <c r="D35" s="1" t="s">
        <v>51</v>
      </c>
      <c r="E35" s="1" t="s">
        <v>51</v>
      </c>
      <c r="F35" s="159">
        <v>0.95472592044239191</v>
      </c>
      <c r="G35" s="160">
        <v>0.95560020015380631</v>
      </c>
      <c r="H35" s="160">
        <v>0.95624398207021732</v>
      </c>
      <c r="I35" s="160">
        <v>0.95586421372049057</v>
      </c>
      <c r="J35" s="160">
        <v>0.95695244439804961</v>
      </c>
      <c r="K35" s="160">
        <v>0.95811240374876794</v>
      </c>
      <c r="L35" s="160">
        <v>0.95834750896261645</v>
      </c>
      <c r="M35" s="160">
        <v>0.95981218572791183</v>
      </c>
      <c r="N35" s="160">
        <v>0.96130661427619679</v>
      </c>
      <c r="O35" s="160">
        <v>0.96209235611211485</v>
      </c>
      <c r="P35" s="160">
        <v>0.96411966574850838</v>
      </c>
      <c r="Q35" s="160">
        <v>0.96469460014553909</v>
      </c>
      <c r="R35" s="161">
        <v>0.96630673967172287</v>
      </c>
      <c r="S35" s="160">
        <v>0.96607795591402401</v>
      </c>
      <c r="T35" s="160">
        <v>0.96601184206358293</v>
      </c>
      <c r="U35" s="160">
        <v>0.9653961651599029</v>
      </c>
      <c r="V35" s="160">
        <v>0.96615706797974676</v>
      </c>
      <c r="W35" s="160">
        <v>0.9666805725669505</v>
      </c>
      <c r="X35" s="160">
        <v>0.96669882116701622</v>
      </c>
      <c r="Y35" s="160">
        <v>0.96727596560012685</v>
      </c>
      <c r="Z35" s="160">
        <v>0.96818890887126996</v>
      </c>
      <c r="AA35" s="160">
        <v>0.96854152136808813</v>
      </c>
      <c r="AB35" s="160">
        <v>0.96977459779421615</v>
      </c>
      <c r="AC35" s="160">
        <v>0.97025420749932012</v>
      </c>
      <c r="AD35" s="161">
        <v>0.97136969000565321</v>
      </c>
      <c r="AE35" s="160">
        <v>0.97122038152296886</v>
      </c>
      <c r="AF35" s="160">
        <v>0.97103535529269702</v>
      </c>
      <c r="AG35" s="160">
        <v>0.9701860715637336</v>
      </c>
      <c r="AH35" s="160">
        <v>0.97025867449205594</v>
      </c>
      <c r="AI35" s="160">
        <v>0.9704602888255528</v>
      </c>
      <c r="AJ35" s="160">
        <v>0.97020222848697812</v>
      </c>
      <c r="AK35" s="160">
        <v>0.97067079711288762</v>
      </c>
      <c r="AL35" s="160">
        <v>0.97135302321157024</v>
      </c>
      <c r="AM35" s="160">
        <v>0.97167888200930408</v>
      </c>
      <c r="AN35" s="160">
        <v>0.97268372155494531</v>
      </c>
      <c r="AO35" s="160">
        <v>0.9731843387469481</v>
      </c>
      <c r="AP35" s="161">
        <v>0.9741811657080286</v>
      </c>
    </row>
    <row r="36" spans="4:42" x14ac:dyDescent="0.35">
      <c r="D36" s="2" t="s">
        <v>52</v>
      </c>
      <c r="E36" s="2" t="s">
        <v>52</v>
      </c>
      <c r="F36" s="162">
        <v>2.587943761652543E-2</v>
      </c>
      <c r="G36" s="163">
        <v>2.5521229547762762E-2</v>
      </c>
      <c r="H36" s="163">
        <v>2.5158125988972359E-2</v>
      </c>
      <c r="I36" s="163">
        <v>2.544721485001307E-2</v>
      </c>
      <c r="J36" s="163">
        <v>2.486656414214861E-2</v>
      </c>
      <c r="K36" s="163">
        <v>2.420597926006373E-2</v>
      </c>
      <c r="L36" s="163">
        <v>2.4074884444133988E-2</v>
      </c>
      <c r="M36" s="163">
        <v>2.3211709531570555E-2</v>
      </c>
      <c r="N36" s="163">
        <v>2.2264658052536235E-2</v>
      </c>
      <c r="O36" s="163">
        <v>2.19144898235346E-2</v>
      </c>
      <c r="P36" s="163">
        <v>2.0764592706571595E-2</v>
      </c>
      <c r="Q36" s="163">
        <v>2.0317346042751684E-2</v>
      </c>
      <c r="R36" s="164">
        <v>1.9326475944413099E-2</v>
      </c>
      <c r="S36" s="163">
        <v>1.957030024271381E-2</v>
      </c>
      <c r="T36" s="163">
        <v>1.9834997202020681E-2</v>
      </c>
      <c r="U36" s="163">
        <v>2.0501771548100751E-2</v>
      </c>
      <c r="V36" s="163">
        <v>2.0466695055369848E-2</v>
      </c>
      <c r="W36" s="163">
        <v>2.0288153992822324E-2</v>
      </c>
      <c r="X36" s="163">
        <v>2.0394814081037254E-2</v>
      </c>
      <c r="Y36" s="163">
        <v>1.9964654795515832E-2</v>
      </c>
      <c r="Z36" s="163">
        <v>1.9349847427402561E-2</v>
      </c>
      <c r="AA36" s="163">
        <v>1.9053704913238566E-2</v>
      </c>
      <c r="AB36" s="163">
        <v>1.8170365948963235E-2</v>
      </c>
      <c r="AC36" s="163">
        <v>1.7754195203498718E-2</v>
      </c>
      <c r="AD36" s="164">
        <v>1.7002945216644121E-2</v>
      </c>
      <c r="AE36" s="163">
        <v>1.741643520874863E-2</v>
      </c>
      <c r="AF36" s="163">
        <v>1.7636716551376885E-2</v>
      </c>
      <c r="AG36" s="163">
        <v>1.8303193317475722E-2</v>
      </c>
      <c r="AH36" s="163">
        <v>1.8418601479001082E-2</v>
      </c>
      <c r="AI36" s="163">
        <v>1.8388618219466957E-2</v>
      </c>
      <c r="AJ36" s="163">
        <v>1.857419405518913E-2</v>
      </c>
      <c r="AK36" s="163">
        <v>1.8286411503188729E-2</v>
      </c>
      <c r="AL36" s="163">
        <v>1.7785608054759074E-2</v>
      </c>
      <c r="AM36" s="163">
        <v>1.7494351808300498E-2</v>
      </c>
      <c r="AN36" s="163">
        <v>1.6737833212611609E-2</v>
      </c>
      <c r="AO36" s="163">
        <v>1.6327781720352669E-2</v>
      </c>
      <c r="AP36" s="164">
        <v>1.568276182337465E-2</v>
      </c>
    </row>
    <row r="37" spans="4:42" x14ac:dyDescent="0.35">
      <c r="D37" s="3" t="s">
        <v>53</v>
      </c>
      <c r="E37" s="3" t="s">
        <v>53</v>
      </c>
      <c r="F37" s="165">
        <v>1.9394641941082556E-2</v>
      </c>
      <c r="G37" s="166">
        <v>1.8878570298430788E-2</v>
      </c>
      <c r="H37" s="166">
        <v>1.8597891940810286E-2</v>
      </c>
      <c r="I37" s="166">
        <v>1.868857142949628E-2</v>
      </c>
      <c r="J37" s="166">
        <v>1.8180991459801867E-2</v>
      </c>
      <c r="K37" s="166">
        <v>1.7681616991168395E-2</v>
      </c>
      <c r="L37" s="166">
        <v>1.757760659324949E-2</v>
      </c>
      <c r="M37" s="166">
        <v>1.6976104740517667E-2</v>
      </c>
      <c r="N37" s="166">
        <v>1.6428727671266963E-2</v>
      </c>
      <c r="O37" s="166">
        <v>1.5993154064350593E-2</v>
      </c>
      <c r="P37" s="166">
        <v>1.5115741544920023E-2</v>
      </c>
      <c r="Q37" s="166">
        <v>1.4988053811709215E-2</v>
      </c>
      <c r="R37" s="167">
        <v>1.4366784383863993E-2</v>
      </c>
      <c r="S37" s="166">
        <v>1.4351743843262113E-2</v>
      </c>
      <c r="T37" s="166">
        <v>1.415316073439637E-2</v>
      </c>
      <c r="U37" s="166">
        <v>1.4102063291996328E-2</v>
      </c>
      <c r="V37" s="166">
        <v>1.3376236964883468E-2</v>
      </c>
      <c r="W37" s="166">
        <v>1.3031273440227129E-2</v>
      </c>
      <c r="X37" s="166">
        <v>1.2906364751946467E-2</v>
      </c>
      <c r="Y37" s="166">
        <v>1.2759379604357345E-2</v>
      </c>
      <c r="Z37" s="166">
        <v>1.2461243701327479E-2</v>
      </c>
      <c r="AA37" s="166">
        <v>1.240477371867345E-2</v>
      </c>
      <c r="AB37" s="166">
        <v>1.2055036256820523E-2</v>
      </c>
      <c r="AC37" s="166">
        <v>1.1991597297181078E-2</v>
      </c>
      <c r="AD37" s="167">
        <v>1.1627364777702551E-2</v>
      </c>
      <c r="AE37" s="166">
        <v>1.1363183268282534E-2</v>
      </c>
      <c r="AF37" s="166">
        <v>1.1327928155926046E-2</v>
      </c>
      <c r="AG37" s="166">
        <v>1.1510735118790539E-2</v>
      </c>
      <c r="AH37" s="166">
        <v>1.1322724028942983E-2</v>
      </c>
      <c r="AI37" s="166">
        <v>1.1151092954980214E-2</v>
      </c>
      <c r="AJ37" s="166">
        <v>1.1223577457832713E-2</v>
      </c>
      <c r="AK37" s="166">
        <v>1.1042791383923785E-2</v>
      </c>
      <c r="AL37" s="166">
        <v>1.0861368733670627E-2</v>
      </c>
      <c r="AM37" s="166">
        <v>1.082676618239535E-2</v>
      </c>
      <c r="AN37" s="166">
        <v>1.0578445232443038E-2</v>
      </c>
      <c r="AO37" s="166">
        <v>1.0487879532699187E-2</v>
      </c>
      <c r="AP37" s="167">
        <v>1.0136072468596716E-2</v>
      </c>
    </row>
    <row r="38" spans="4:42" x14ac:dyDescent="0.35">
      <c r="F38" s="180"/>
      <c r="G38" s="180"/>
      <c r="H38" s="180"/>
      <c r="I38" s="180"/>
      <c r="J38" s="180"/>
      <c r="K38" s="180"/>
      <c r="L38" s="180"/>
      <c r="M38" s="180"/>
      <c r="N38" s="180"/>
      <c r="O38" s="180"/>
      <c r="P38" s="180"/>
      <c r="Q38" s="180"/>
      <c r="R38" s="180"/>
      <c r="S38" s="180"/>
      <c r="T38" s="180"/>
      <c r="U38" s="180"/>
      <c r="V38" s="180"/>
      <c r="W38" s="180"/>
      <c r="X38" s="180"/>
      <c r="Y38" s="180"/>
      <c r="Z38" s="180"/>
      <c r="AA38" s="180"/>
      <c r="AB38" s="180"/>
      <c r="AC38" s="180"/>
      <c r="AD38" s="180"/>
      <c r="AE38" s="180"/>
      <c r="AF38" s="180"/>
      <c r="AG38" s="180"/>
      <c r="AH38" s="180"/>
      <c r="AI38" s="180"/>
      <c r="AJ38" s="180"/>
      <c r="AK38" s="180"/>
      <c r="AL38" s="180"/>
      <c r="AM38" s="180"/>
      <c r="AN38" s="180"/>
      <c r="AO38" s="180"/>
      <c r="AP38" s="180"/>
    </row>
    <row r="39" spans="4:42" x14ac:dyDescent="0.35">
      <c r="D39" s="1" t="s">
        <v>188</v>
      </c>
      <c r="E39" s="36" t="s">
        <v>20</v>
      </c>
      <c r="F39" s="32">
        <f>$F$4</f>
        <v>45352</v>
      </c>
      <c r="G39" s="33">
        <f>EDATE(F39,1)</f>
        <v>45383</v>
      </c>
      <c r="H39" s="33">
        <f t="shared" ref="H39" si="346">EDATE(G39,1)</f>
        <v>45413</v>
      </c>
      <c r="I39" s="33">
        <f t="shared" ref="I39" si="347">EDATE(H39,1)</f>
        <v>45444</v>
      </c>
      <c r="J39" s="33">
        <f t="shared" ref="J39" si="348">EDATE(I39,1)</f>
        <v>45474</v>
      </c>
      <c r="K39" s="33">
        <f t="shared" ref="K39" si="349">EDATE(J39,1)</f>
        <v>45505</v>
      </c>
      <c r="L39" s="33">
        <f t="shared" ref="L39" si="350">EDATE(K39,1)</f>
        <v>45536</v>
      </c>
      <c r="M39" s="33">
        <f t="shared" ref="M39" si="351">EDATE(L39,1)</f>
        <v>45566</v>
      </c>
      <c r="N39" s="33">
        <f t="shared" ref="N39" si="352">EDATE(M39,1)</f>
        <v>45597</v>
      </c>
      <c r="O39" s="33">
        <f t="shared" ref="O39" si="353">EDATE(N39,1)</f>
        <v>45627</v>
      </c>
      <c r="P39" s="33">
        <f t="shared" ref="P39" si="354">EDATE(O39,1)</f>
        <v>45658</v>
      </c>
      <c r="Q39" s="33">
        <f t="shared" ref="Q39" si="355">EDATE(P39,1)</f>
        <v>45689</v>
      </c>
      <c r="R39" s="34">
        <f t="shared" ref="R39" si="356">EDATE(Q39,1)</f>
        <v>45717</v>
      </c>
      <c r="S39" s="33">
        <f t="shared" ref="S39" si="357">EDATE(R39,1)</f>
        <v>45748</v>
      </c>
      <c r="T39" s="33">
        <f t="shared" ref="T39" si="358">EDATE(S39,1)</f>
        <v>45778</v>
      </c>
      <c r="U39" s="33">
        <f t="shared" ref="U39" si="359">EDATE(T39,1)</f>
        <v>45809</v>
      </c>
      <c r="V39" s="33">
        <f t="shared" ref="V39" si="360">EDATE(U39,1)</f>
        <v>45839</v>
      </c>
      <c r="W39" s="33">
        <f t="shared" ref="W39" si="361">EDATE(V39,1)</f>
        <v>45870</v>
      </c>
      <c r="X39" s="33">
        <f t="shared" ref="X39" si="362">EDATE(W39,1)</f>
        <v>45901</v>
      </c>
      <c r="Y39" s="33">
        <f t="shared" ref="Y39" si="363">EDATE(X39,1)</f>
        <v>45931</v>
      </c>
      <c r="Z39" s="33">
        <f t="shared" ref="Z39" si="364">EDATE(Y39,1)</f>
        <v>45962</v>
      </c>
      <c r="AA39" s="33">
        <f t="shared" ref="AA39" si="365">EDATE(Z39,1)</f>
        <v>45992</v>
      </c>
      <c r="AB39" s="33">
        <f t="shared" ref="AB39" si="366">EDATE(AA39,1)</f>
        <v>46023</v>
      </c>
      <c r="AC39" s="33">
        <f t="shared" ref="AC39" si="367">EDATE(AB39,1)</f>
        <v>46054</v>
      </c>
      <c r="AD39" s="34">
        <f t="shared" ref="AD39" si="368">EDATE(AC39,1)</f>
        <v>46082</v>
      </c>
      <c r="AE39" s="33">
        <f t="shared" ref="AE39" si="369">EDATE(AD39,1)</f>
        <v>46113</v>
      </c>
      <c r="AF39" s="33">
        <f t="shared" ref="AF39" si="370">EDATE(AE39,1)</f>
        <v>46143</v>
      </c>
      <c r="AG39" s="33">
        <f t="shared" ref="AG39" si="371">EDATE(AF39,1)</f>
        <v>46174</v>
      </c>
      <c r="AH39" s="33">
        <f t="shared" ref="AH39" si="372">EDATE(AG39,1)</f>
        <v>46204</v>
      </c>
      <c r="AI39" s="33">
        <f t="shared" ref="AI39" si="373">EDATE(AH39,1)</f>
        <v>46235</v>
      </c>
      <c r="AJ39" s="33">
        <f t="shared" ref="AJ39" si="374">EDATE(AI39,1)</f>
        <v>46266</v>
      </c>
      <c r="AK39" s="33">
        <f t="shared" ref="AK39" si="375">EDATE(AJ39,1)</f>
        <v>46296</v>
      </c>
      <c r="AL39" s="33">
        <f t="shared" ref="AL39" si="376">EDATE(AK39,1)</f>
        <v>46327</v>
      </c>
      <c r="AM39" s="33">
        <f t="shared" ref="AM39" si="377">EDATE(AL39,1)</f>
        <v>46357</v>
      </c>
      <c r="AN39" s="33">
        <f t="shared" ref="AN39" si="378">EDATE(AM39,1)</f>
        <v>46388</v>
      </c>
      <c r="AO39" s="33">
        <f t="shared" ref="AO39" si="379">EDATE(AN39,1)</f>
        <v>46419</v>
      </c>
      <c r="AP39" s="34">
        <f t="shared" ref="AP39" si="380">EDATE(AO39,1)</f>
        <v>46447</v>
      </c>
    </row>
    <row r="40" spans="4:42" x14ac:dyDescent="0.35">
      <c r="D40" s="1" t="s">
        <v>51</v>
      </c>
      <c r="E40" s="1" t="s">
        <v>51</v>
      </c>
      <c r="F40" s="129">
        <f>'Calculation - Stagewise ECL'!C76/'Calculation - Stagewise ECL'!C$79</f>
        <v>0.95472592044239202</v>
      </c>
      <c r="G40" s="130">
        <f>'Calculation - Stagewise ECL'!D76/'Calculation - Stagewise ECL'!D$79</f>
        <v>0.9536122068920887</v>
      </c>
      <c r="H40" s="130">
        <f>'Calculation - Stagewise ECL'!E76/'Calculation - Stagewise ECL'!E$79</f>
        <v>0.95252791214402488</v>
      </c>
      <c r="I40" s="130">
        <f>'Calculation - Stagewise ECL'!F76/'Calculation - Stagewise ECL'!F$79</f>
        <v>0.95145332403012739</v>
      </c>
      <c r="J40" s="130">
        <f>'Calculation - Stagewise ECL'!G76/'Calculation - Stagewise ECL'!G$79</f>
        <v>0.95039751942343298</v>
      </c>
      <c r="K40" s="130">
        <f>'Calculation - Stagewise ECL'!H76/'Calculation - Stagewise ECL'!H$79</f>
        <v>0.94935027726617738</v>
      </c>
      <c r="L40" s="130">
        <f>'Calculation - Stagewise ECL'!I76/'Calculation - Stagewise ECL'!I$79</f>
        <v>0.94907133167517499</v>
      </c>
      <c r="M40" s="130">
        <f>'Calculation - Stagewise ECL'!J76/'Calculation - Stagewise ECL'!J$79</f>
        <v>0.9475887315701198</v>
      </c>
      <c r="N40" s="130">
        <f>'Calculation - Stagewise ECL'!K76/'Calculation - Stagewise ECL'!K$79</f>
        <v>0.94607911278233803</v>
      </c>
      <c r="O40" s="130">
        <f>'Calculation - Stagewise ECL'!L76/'Calculation - Stagewise ECL'!L$79</f>
        <v>0.9458272091321076</v>
      </c>
      <c r="P40" s="130">
        <f>'Calculation - Stagewise ECL'!M76/'Calculation - Stagewise ECL'!M$79</f>
        <v>0.94431799621303869</v>
      </c>
      <c r="Q40" s="130">
        <f>'Calculation - Stagewise ECL'!N76/'Calculation - Stagewise ECL'!N$79</f>
        <v>0.94414176430382102</v>
      </c>
      <c r="R40" s="131">
        <f>'Calculation - Stagewise ECL'!O76/'Calculation - Stagewise ECL'!O$79</f>
        <v>0.94261888313571862</v>
      </c>
      <c r="S40" s="130">
        <f>'Calculation - Stagewise ECL'!P76/'Calculation - Stagewise ECL'!P$79</f>
        <v>0.94037290720735311</v>
      </c>
      <c r="T40" s="130">
        <f>'Calculation - Stagewise ECL'!Q76/'Calculation - Stagewise ECL'!Q$79</f>
        <v>0.93811014948659921</v>
      </c>
      <c r="U40" s="130">
        <f>'Calculation - Stagewise ECL'!R76/'Calculation - Stagewise ECL'!R$79</f>
        <v>0.93584409117238709</v>
      </c>
      <c r="V40" s="130">
        <f>'Calculation - Stagewise ECL'!S76/'Calculation - Stagewise ECL'!S$79</f>
        <v>0.93354667398443925</v>
      </c>
      <c r="W40" s="130">
        <f>'Calculation - Stagewise ECL'!T76/'Calculation - Stagewise ECL'!T$79</f>
        <v>0.93124989190909613</v>
      </c>
      <c r="X40" s="130">
        <f>'Calculation - Stagewise ECL'!U76/'Calculation - Stagewise ECL'!U$79</f>
        <v>0.92022348962994605</v>
      </c>
      <c r="Y40" s="130">
        <f>'Calculation - Stagewise ECL'!V76/'Calculation - Stagewise ECL'!V$79</f>
        <v>0.9304890560702852</v>
      </c>
      <c r="Z40" s="130">
        <f>'Calculation - Stagewise ECL'!W76/'Calculation - Stagewise ECL'!W$79</f>
        <v>0.93191813082109498</v>
      </c>
      <c r="AA40" s="130">
        <f>'Calculation - Stagewise ECL'!X76/'Calculation - Stagewise ECL'!X$79</f>
        <v>0.93488878502734662</v>
      </c>
      <c r="AB40" s="130">
        <f>'Calculation - Stagewise ECL'!Y76/'Calculation - Stagewise ECL'!Y$79</f>
        <v>0.93627339139043286</v>
      </c>
      <c r="AC40" s="130">
        <f>'Calculation - Stagewise ECL'!Z76/'Calculation - Stagewise ECL'!Z$79</f>
        <v>0.93910649063787299</v>
      </c>
      <c r="AD40" s="131">
        <f>'Calculation - Stagewise ECL'!AA76/'Calculation - Stagewise ECL'!AA$79</f>
        <v>0.94048852557372653</v>
      </c>
      <c r="AE40" s="130">
        <f>'Calculation - Stagewise ECL'!AB76/'Calculation - Stagewise ECL'!AB$79</f>
        <v>0.94189132570151046</v>
      </c>
      <c r="AF40" s="130">
        <f>'Calculation - Stagewise ECL'!AC76/'Calculation - Stagewise ECL'!AC$79</f>
        <v>0.94340202940178908</v>
      </c>
      <c r="AG40" s="130">
        <f>'Calculation - Stagewise ECL'!AD76/'Calculation - Stagewise ECL'!AD$79</f>
        <v>0.94486053801081282</v>
      </c>
      <c r="AH40" s="130">
        <f>'Calculation - Stagewise ECL'!AE76/'Calculation - Stagewise ECL'!AE$79</f>
        <v>0.94635895245935386</v>
      </c>
      <c r="AI40" s="130">
        <f>'Calculation - Stagewise ECL'!AF76/'Calculation - Stagewise ECL'!AF$79</f>
        <v>0.94789517142905633</v>
      </c>
      <c r="AJ40" s="130">
        <f>'Calculation - Stagewise ECL'!AG76/'Calculation - Stagewise ECL'!AG$79</f>
        <v>0.94974239150260542</v>
      </c>
      <c r="AK40" s="130">
        <f>'Calculation - Stagewise ECL'!AH76/'Calculation - Stagewise ECL'!AH$79</f>
        <v>0.95150122989971775</v>
      </c>
      <c r="AL40" s="130">
        <f>'Calculation - Stagewise ECL'!AI76/'Calculation - Stagewise ECL'!AI$79</f>
        <v>0.95321954631986106</v>
      </c>
      <c r="AM40" s="130">
        <f>'Calculation - Stagewise ECL'!AJ76/'Calculation - Stagewise ECL'!AJ$79</f>
        <v>0.95554702383748336</v>
      </c>
      <c r="AN40" s="130">
        <f>'Calculation - Stagewise ECL'!AK76/'Calculation - Stagewise ECL'!AK$79</f>
        <v>0.95719725412081558</v>
      </c>
      <c r="AO40" s="130">
        <f>'Calculation - Stagewise ECL'!AL76/'Calculation - Stagewise ECL'!AL$79</f>
        <v>0.95935522970050269</v>
      </c>
      <c r="AP40" s="131">
        <f>'Calculation - Stagewise ECL'!AM76/'Calculation - Stagewise ECL'!AM$79</f>
        <v>0.96103244639954732</v>
      </c>
    </row>
    <row r="41" spans="4:42" x14ac:dyDescent="0.35">
      <c r="D41" s="2" t="s">
        <v>52</v>
      </c>
      <c r="E41" s="2" t="s">
        <v>52</v>
      </c>
      <c r="F41" s="132">
        <f>'Calculation - Stagewise ECL'!C77/'Calculation - Stagewise ECL'!C$79</f>
        <v>2.5879437616525443E-2</v>
      </c>
      <c r="G41" s="169">
        <f>'Calculation - Stagewise ECL'!D77/'Calculation - Stagewise ECL'!D$79</f>
        <v>2.643496785430581E-2</v>
      </c>
      <c r="H41" s="169">
        <f>'Calculation - Stagewise ECL'!E77/'Calculation - Stagewise ECL'!E$79</f>
        <v>2.6975267856961523E-2</v>
      </c>
      <c r="I41" s="169">
        <f>'Calculation - Stagewise ECL'!F77/'Calculation - Stagewise ECL'!F$79</f>
        <v>2.7507411492213602E-2</v>
      </c>
      <c r="J41" s="169">
        <f>'Calculation - Stagewise ECL'!G77/'Calculation - Stagewise ECL'!G$79</f>
        <v>2.8026702639249484E-2</v>
      </c>
      <c r="K41" s="169">
        <f>'Calculation - Stagewise ECL'!H77/'Calculation - Stagewise ECL'!H$79</f>
        <v>2.8539016031127476E-2</v>
      </c>
      <c r="L41" s="169">
        <f>'Calculation - Stagewise ECL'!I77/'Calculation - Stagewise ECL'!I$79</f>
        <v>2.8669073292856544E-2</v>
      </c>
      <c r="M41" s="169">
        <f>'Calculation - Stagewise ECL'!J77/'Calculation - Stagewise ECL'!J$79</f>
        <v>2.9375424815149865E-2</v>
      </c>
      <c r="N41" s="169">
        <f>'Calculation - Stagewise ECL'!K77/'Calculation - Stagewise ECL'!K$79</f>
        <v>3.0093453962315889E-2</v>
      </c>
      <c r="O41" s="169">
        <f>'Calculation - Stagewise ECL'!L77/'Calculation - Stagewise ECL'!L$79</f>
        <v>3.0233317350351081E-2</v>
      </c>
      <c r="P41" s="169">
        <f>'Calculation - Stagewise ECL'!M77/'Calculation - Stagewise ECL'!M$79</f>
        <v>3.095879702505543E-2</v>
      </c>
      <c r="Q41" s="169">
        <f>'Calculation - Stagewise ECL'!N77/'Calculation - Stagewise ECL'!N$79</f>
        <v>3.1100640852108702E-2</v>
      </c>
      <c r="R41" s="170">
        <f>'Calculation - Stagewise ECL'!O77/'Calculation - Stagewise ECL'!O$79</f>
        <v>3.1835920892532517E-2</v>
      </c>
      <c r="S41" s="169">
        <f>'Calculation - Stagewise ECL'!P77/'Calculation - Stagewise ECL'!P$79</f>
        <v>3.2939993018058757E-2</v>
      </c>
      <c r="T41" s="169">
        <f>'Calculation - Stagewise ECL'!Q77/'Calculation - Stagewise ECL'!Q$79</f>
        <v>3.4047150292606049E-2</v>
      </c>
      <c r="U41" s="169">
        <f>'Calculation - Stagewise ECL'!R77/'Calculation - Stagewise ECL'!R$79</f>
        <v>3.5151907331999077E-2</v>
      </c>
      <c r="V41" s="169">
        <f>'Calculation - Stagewise ECL'!S77/'Calculation - Stagewise ECL'!S$79</f>
        <v>3.6263728500980127E-2</v>
      </c>
      <c r="W41" s="169">
        <f>'Calculation - Stagewise ECL'!T77/'Calculation - Stagewise ECL'!T$79</f>
        <v>3.7372041493038508E-2</v>
      </c>
      <c r="X41" s="169">
        <f>'Calculation - Stagewise ECL'!U77/'Calculation - Stagewise ECL'!U$79</f>
        <v>3.850536948863665E-2</v>
      </c>
      <c r="Y41" s="169">
        <f>'Calculation - Stagewise ECL'!V77/'Calculation - Stagewise ECL'!V$79</f>
        <v>3.7809386488247942E-2</v>
      </c>
      <c r="Z41" s="169">
        <f>'Calculation - Stagewise ECL'!W77/'Calculation - Stagewise ECL'!W$79</f>
        <v>3.7106234794336494E-2</v>
      </c>
      <c r="AA41" s="169">
        <f>'Calculation - Stagewise ECL'!X77/'Calculation - Stagewise ECL'!X$79</f>
        <v>3.585374578753054E-2</v>
      </c>
      <c r="AB41" s="169">
        <f>'Calculation - Stagewise ECL'!Y77/'Calculation - Stagewise ECL'!Y$79</f>
        <v>3.5151237521463395E-2</v>
      </c>
      <c r="AC41" s="169">
        <f>'Calculation - Stagewise ECL'!Z77/'Calculation - Stagewise ECL'!Z$79</f>
        <v>3.3923332721598323E-2</v>
      </c>
      <c r="AD41" s="170">
        <f>'Calculation - Stagewise ECL'!AA77/'Calculation - Stagewise ECL'!AA$79</f>
        <v>3.3200693038525367E-2</v>
      </c>
      <c r="AE41" s="169">
        <f>'Calculation - Stagewise ECL'!AB77/'Calculation - Stagewise ECL'!AB$79</f>
        <v>3.249074850598542E-2</v>
      </c>
      <c r="AF41" s="169">
        <f>'Calculation - Stagewise ECL'!AC77/'Calculation - Stagewise ECL'!AC$79</f>
        <v>3.1747455727438381E-2</v>
      </c>
      <c r="AG41" s="169">
        <f>'Calculation - Stagewise ECL'!AD77/'Calculation - Stagewise ECL'!AD$79</f>
        <v>3.1012028560913479E-2</v>
      </c>
      <c r="AH41" s="169">
        <f>'Calculation - Stagewise ECL'!AE77/'Calculation - Stagewise ECL'!AE$79</f>
        <v>3.0257147346050658E-2</v>
      </c>
      <c r="AI41" s="169">
        <f>'Calculation - Stagewise ECL'!AF77/'Calculation - Stagewise ECL'!AF$79</f>
        <v>2.9485455207060224E-2</v>
      </c>
      <c r="AJ41" s="169">
        <f>'Calculation - Stagewise ECL'!AG77/'Calculation - Stagewise ECL'!AG$79</f>
        <v>2.8590001585234451E-2</v>
      </c>
      <c r="AK41" s="169">
        <f>'Calculation - Stagewise ECL'!AH77/'Calculation - Stagewise ECL'!AH$79</f>
        <v>2.766134301766722E-2</v>
      </c>
      <c r="AL41" s="169">
        <f>'Calculation - Stagewise ECL'!AI77/'Calculation - Stagewise ECL'!AI$79</f>
        <v>2.6761457233816836E-2</v>
      </c>
      <c r="AM41" s="169">
        <f>'Calculation - Stagewise ECL'!AJ77/'Calculation - Stagewise ECL'!AJ$79</f>
        <v>2.5618103148721594E-2</v>
      </c>
      <c r="AN41" s="169">
        <f>'Calculation - Stagewise ECL'!AK77/'Calculation - Stagewise ECL'!AK$79</f>
        <v>2.475322085106748E-2</v>
      </c>
      <c r="AO41" s="169">
        <f>'Calculation - Stagewise ECL'!AL77/'Calculation - Stagewise ECL'!AL$79</f>
        <v>2.3680824657961709E-2</v>
      </c>
      <c r="AP41" s="170">
        <f>'Calculation - Stagewise ECL'!AM77/'Calculation - Stagewise ECL'!AM$79</f>
        <v>2.2800786282364843E-2</v>
      </c>
    </row>
    <row r="42" spans="4:42" x14ac:dyDescent="0.35">
      <c r="D42" s="3" t="s">
        <v>53</v>
      </c>
      <c r="E42" s="3" t="s">
        <v>53</v>
      </c>
      <c r="F42" s="157">
        <f>'Calculation - Stagewise ECL'!C78/'Calculation - Stagewise ECL'!C$79</f>
        <v>1.9394641941082563E-2</v>
      </c>
      <c r="G42" s="156">
        <f>'Calculation - Stagewise ECL'!D78/'Calculation - Stagewise ECL'!D$79</f>
        <v>1.9952825253605474E-2</v>
      </c>
      <c r="H42" s="156">
        <f>'Calculation - Stagewise ECL'!E78/'Calculation - Stagewise ECL'!E$79</f>
        <v>2.0496819999013635E-2</v>
      </c>
      <c r="I42" s="156">
        <f>'Calculation - Stagewise ECL'!F78/'Calculation - Stagewise ECL'!F$79</f>
        <v>2.1039264477658769E-2</v>
      </c>
      <c r="J42" s="156">
        <f>'Calculation - Stagewise ECL'!G78/'Calculation - Stagewise ECL'!G$79</f>
        <v>2.1575777937317533E-2</v>
      </c>
      <c r="K42" s="156">
        <f>'Calculation - Stagewise ECL'!H78/'Calculation - Stagewise ECL'!H$79</f>
        <v>2.2110706702695219E-2</v>
      </c>
      <c r="L42" s="156">
        <f>'Calculation - Stagewise ECL'!I78/'Calculation - Stagewise ECL'!I$79</f>
        <v>2.2259595031968515E-2</v>
      </c>
      <c r="M42" s="156">
        <f>'Calculation - Stagewise ECL'!J78/'Calculation - Stagewise ECL'!J$79</f>
        <v>2.3035843614730388E-2</v>
      </c>
      <c r="N42" s="156">
        <f>'Calculation - Stagewise ECL'!K78/'Calculation - Stagewise ECL'!K$79</f>
        <v>2.3827433255345986E-2</v>
      </c>
      <c r="O42" s="156">
        <f>'Calculation - Stagewise ECL'!L78/'Calculation - Stagewise ECL'!L$79</f>
        <v>2.3939473517541363E-2</v>
      </c>
      <c r="P42" s="156">
        <f>'Calculation - Stagewise ECL'!M78/'Calculation - Stagewise ECL'!M$79</f>
        <v>2.4723206761905991E-2</v>
      </c>
      <c r="Q42" s="156">
        <f>'Calculation - Stagewise ECL'!N78/'Calculation - Stagewise ECL'!N$79</f>
        <v>2.4757594844070006E-2</v>
      </c>
      <c r="R42" s="158">
        <f>'Calculation - Stagewise ECL'!O78/'Calculation - Stagewise ECL'!O$79</f>
        <v>2.5545195971749195E-2</v>
      </c>
      <c r="S42" s="156">
        <f>'Calculation - Stagewise ECL'!P78/'Calculation - Stagewise ECL'!P$79</f>
        <v>2.6687099774588264E-2</v>
      </c>
      <c r="T42" s="156">
        <f>'Calculation - Stagewise ECL'!Q78/'Calculation - Stagewise ECL'!Q$79</f>
        <v>2.7842700220794797E-2</v>
      </c>
      <c r="U42" s="156">
        <f>'Calculation - Stagewise ECL'!R78/'Calculation - Stagewise ECL'!R$79</f>
        <v>2.9004001495613874E-2</v>
      </c>
      <c r="V42" s="156">
        <f>'Calculation - Stagewise ECL'!S78/'Calculation - Stagewise ECL'!S$79</f>
        <v>3.0189597514580651E-2</v>
      </c>
      <c r="W42" s="156">
        <f>'Calculation - Stagewise ECL'!T78/'Calculation - Stagewise ECL'!T$79</f>
        <v>3.1378066597865309E-2</v>
      </c>
      <c r="X42" s="156">
        <f>'Calculation - Stagewise ECL'!U78/'Calculation - Stagewise ECL'!U$79</f>
        <v>3.2424391061077598E-2</v>
      </c>
      <c r="Y42" s="156">
        <f>'Calculation - Stagewise ECL'!V78/'Calculation - Stagewise ECL'!V$79</f>
        <v>3.170155744146691E-2</v>
      </c>
      <c r="Z42" s="156">
        <f>'Calculation - Stagewise ECL'!W78/'Calculation - Stagewise ECL'!W$79</f>
        <v>3.0975634384568639E-2</v>
      </c>
      <c r="AA42" s="156">
        <f>'Calculation - Stagewise ECL'!X78/'Calculation - Stagewise ECL'!X$79</f>
        <v>2.9257469185122707E-2</v>
      </c>
      <c r="AB42" s="156">
        <f>'Calculation - Stagewise ECL'!Y78/'Calculation - Stagewise ECL'!Y$79</f>
        <v>2.8575371088103745E-2</v>
      </c>
      <c r="AC42" s="156">
        <f>'Calculation - Stagewise ECL'!Z78/'Calculation - Stagewise ECL'!Z$79</f>
        <v>2.6970176640528625E-2</v>
      </c>
      <c r="AD42" s="158">
        <f>'Calculation - Stagewise ECL'!AA78/'Calculation - Stagewise ECL'!AA$79</f>
        <v>2.6310781387748131E-2</v>
      </c>
      <c r="AE42" s="156">
        <f>'Calculation - Stagewise ECL'!AB78/'Calculation - Stagewise ECL'!AB$79</f>
        <v>2.5617925792504024E-2</v>
      </c>
      <c r="AF42" s="156">
        <f>'Calculation - Stagewise ECL'!AC78/'Calculation - Stagewise ECL'!AC$79</f>
        <v>2.4850514870772524E-2</v>
      </c>
      <c r="AG42" s="156">
        <f>'Calculation - Stagewise ECL'!AD78/'Calculation - Stagewise ECL'!AD$79</f>
        <v>2.4127433428273802E-2</v>
      </c>
      <c r="AH42" s="156">
        <f>'Calculation - Stagewise ECL'!AE78/'Calculation - Stagewise ECL'!AE$79</f>
        <v>2.3383900194595686E-2</v>
      </c>
      <c r="AI42" s="156">
        <f>'Calculation - Stagewise ECL'!AF78/'Calculation - Stagewise ECL'!AF$79</f>
        <v>2.261937336388346E-2</v>
      </c>
      <c r="AJ42" s="156">
        <f>'Calculation - Stagewise ECL'!AG78/'Calculation - Stagewise ECL'!AG$79</f>
        <v>2.1667606912159982E-2</v>
      </c>
      <c r="AK42" s="156">
        <f>'Calculation - Stagewise ECL'!AH78/'Calculation - Stagewise ECL'!AH$79</f>
        <v>2.0837427082615073E-2</v>
      </c>
      <c r="AL42" s="156">
        <f>'Calculation - Stagewise ECL'!AI78/'Calculation - Stagewise ECL'!AI$79</f>
        <v>2.0018996446322129E-2</v>
      </c>
      <c r="AM42" s="156">
        <f>'Calculation - Stagewise ECL'!AJ78/'Calculation - Stagewise ECL'!AJ$79</f>
        <v>1.8834873013795175E-2</v>
      </c>
      <c r="AN42" s="156">
        <f>'Calculation - Stagewise ECL'!AK78/'Calculation - Stagewise ECL'!AK$79</f>
        <v>1.8049525028116929E-2</v>
      </c>
      <c r="AO42" s="156">
        <f>'Calculation - Stagewise ECL'!AL78/'Calculation - Stagewise ECL'!AL$79</f>
        <v>1.6963945641535579E-2</v>
      </c>
      <c r="AP42" s="158">
        <f>'Calculation - Stagewise ECL'!AM78/'Calculation - Stagewise ECL'!AM$79</f>
        <v>1.6166767318087871E-2</v>
      </c>
    </row>
  </sheetData>
  <conditionalFormatting sqref="F10:AP12">
    <cfRule type="expression" dxfId="251" priority="25">
      <formula>F$1="SL3"</formula>
    </cfRule>
    <cfRule type="expression" dxfId="250" priority="26">
      <formula>F$1="SL2"</formula>
    </cfRule>
    <cfRule type="expression" dxfId="249" priority="27">
      <formula>F$1="SL1"</formula>
    </cfRule>
  </conditionalFormatting>
  <conditionalFormatting sqref="F20:AP20 Y21:AP22 F21:W22">
    <cfRule type="expression" dxfId="248" priority="19">
      <formula>F$1="SL3"</formula>
    </cfRule>
    <cfRule type="expression" dxfId="247" priority="20">
      <formula>F$1="SL2"</formula>
    </cfRule>
    <cfRule type="expression" dxfId="246" priority="21">
      <formula>F$1="SL1"</formula>
    </cfRule>
  </conditionalFormatting>
  <conditionalFormatting sqref="F40:AP42">
    <cfRule type="expression" dxfId="245" priority="4">
      <formula>BQ$1="SL3"</formula>
    </cfRule>
    <cfRule type="expression" dxfId="244" priority="5">
      <formula>BQ$1="SL2"</formula>
    </cfRule>
    <cfRule type="expression" dxfId="243" priority="6">
      <formula>BQ$1="SL1"</formula>
    </cfRule>
  </conditionalFormatting>
  <conditionalFormatting sqref="F30:BM32">
    <cfRule type="expression" dxfId="242" priority="52">
      <formula>BQ$1="SL3"</formula>
    </cfRule>
    <cfRule type="expression" dxfId="241" priority="53">
      <formula>BQ$1="SL2"</formula>
    </cfRule>
    <cfRule type="expression" dxfId="240" priority="54">
      <formula>BQ$1="SL1"</formula>
    </cfRule>
  </conditionalFormatting>
  <conditionalFormatting sqref="AQ10:BM12">
    <cfRule type="expression" dxfId="239" priority="346">
      <formula>DB$1="SL3"</formula>
    </cfRule>
    <cfRule type="expression" dxfId="238" priority="347">
      <formula>DB$1="SL2"</formula>
    </cfRule>
    <cfRule type="expression" dxfId="237" priority="349">
      <formula>DB$1="SL1"</formula>
    </cfRule>
  </conditionalFormatting>
  <conditionalFormatting sqref="AQ20:BM22">
    <cfRule type="expression" dxfId="236" priority="169">
      <formula>DB$1="SL3"</formula>
    </cfRule>
    <cfRule type="expression" dxfId="235" priority="170">
      <formula>DB$1="SL2"</formula>
    </cfRule>
    <cfRule type="expression" dxfId="234" priority="171">
      <formula>DB$1="SL1"</formula>
    </cfRule>
  </conditionalFormatting>
  <conditionalFormatting sqref="BQ25:DX27 CB25:XFD32">
    <cfRule type="expression" dxfId="233" priority="298">
      <formula>BQ$1="SL3"</formula>
    </cfRule>
    <cfRule type="expression" dxfId="232" priority="299">
      <formula>BQ$1="SL2"</formula>
    </cfRule>
    <cfRule type="expression" dxfId="231" priority="300">
      <formula>BQ$1="SL1"</formula>
    </cfRule>
  </conditionalFormatting>
  <conditionalFormatting sqref="BQ30:DX32">
    <cfRule type="expression" dxfId="230" priority="253">
      <formula>BQ$1="SL3"</formula>
    </cfRule>
    <cfRule type="expression" dxfId="229" priority="254">
      <formula>BQ$1="SL2"</formula>
    </cfRule>
    <cfRule type="expression" dxfId="228" priority="255">
      <formula>BQ$1="SL1"</formula>
    </cfRule>
  </conditionalFormatting>
  <conditionalFormatting sqref="EA5:EJ7">
    <cfRule type="expression" dxfId="227" priority="259">
      <formula>EA$1="SL3"</formula>
    </cfRule>
    <cfRule type="expression" dxfId="226" priority="260">
      <formula>EA$1="SL2"</formula>
    </cfRule>
    <cfRule type="expression" dxfId="225" priority="261">
      <formula>EA$1="SL1"</formula>
    </cfRule>
  </conditionalFormatting>
  <conditionalFormatting sqref="X21:X22">
    <cfRule type="expression" dxfId="224" priority="1">
      <formula>X$1="SL3"</formula>
    </cfRule>
    <cfRule type="expression" dxfId="223" priority="2">
      <formula>X$1="SL2"</formula>
    </cfRule>
    <cfRule type="expression" dxfId="222" priority="3">
      <formula>X$1="SL1"</formula>
    </cfRule>
  </conditionalFormatting>
  <hyperlinks>
    <hyperlink ref="D1" location="Index!C13" display="Back - Index"/>
  </hyperlink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Y7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4" sqref="A4"/>
    </sheetView>
  </sheetViews>
  <sheetFormatPr defaultRowHeight="14.5" x14ac:dyDescent="0.35"/>
  <cols>
    <col min="1" max="1" width="11.1796875" bestFit="1" customWidth="1"/>
    <col min="3" max="7" width="9.1796875" customWidth="1"/>
    <col min="9" max="13" width="9.1796875" customWidth="1"/>
    <col min="14" max="14" width="7.26953125" bestFit="1" customWidth="1"/>
    <col min="15" max="19" width="9.1796875" customWidth="1"/>
    <col min="20" max="20" width="17.81640625" customWidth="1"/>
    <col min="21" max="25" width="9.1796875" customWidth="1"/>
  </cols>
  <sheetData>
    <row r="1" spans="1:25" x14ac:dyDescent="0.35">
      <c r="A1" s="121" t="s">
        <v>117</v>
      </c>
      <c r="B1" s="348" t="s">
        <v>0</v>
      </c>
      <c r="C1" s="349"/>
      <c r="D1" s="349"/>
      <c r="E1" s="349"/>
      <c r="F1" s="349"/>
      <c r="G1" s="350"/>
      <c r="H1" s="348" t="s">
        <v>1</v>
      </c>
      <c r="I1" s="349"/>
      <c r="J1" s="349"/>
      <c r="K1" s="349"/>
      <c r="L1" s="349"/>
      <c r="M1" s="350"/>
      <c r="N1" s="348" t="s">
        <v>2</v>
      </c>
      <c r="O1" s="349"/>
      <c r="P1" s="349"/>
      <c r="Q1" s="349"/>
      <c r="R1" s="349"/>
      <c r="S1" s="350"/>
      <c r="T1" s="351" t="s">
        <v>122</v>
      </c>
      <c r="U1" s="352"/>
      <c r="V1" s="352"/>
      <c r="W1" s="352"/>
      <c r="X1" s="352"/>
      <c r="Y1" s="352"/>
    </row>
    <row r="2" spans="1:25" x14ac:dyDescent="0.35">
      <c r="A2" s="4" t="s">
        <v>3</v>
      </c>
      <c r="B2" s="22" t="s">
        <v>134</v>
      </c>
      <c r="C2" s="22" t="s">
        <v>134</v>
      </c>
      <c r="D2" s="22" t="s">
        <v>134</v>
      </c>
      <c r="E2" s="22" t="s">
        <v>134</v>
      </c>
      <c r="F2" s="22" t="s">
        <v>134</v>
      </c>
      <c r="G2" s="22" t="s">
        <v>134</v>
      </c>
      <c r="H2" s="22" t="s">
        <v>134</v>
      </c>
      <c r="I2" s="22" t="s">
        <v>134</v>
      </c>
      <c r="J2" s="22" t="s">
        <v>134</v>
      </c>
      <c r="K2" s="22" t="s">
        <v>134</v>
      </c>
      <c r="L2" s="22" t="s">
        <v>134</v>
      </c>
      <c r="M2" s="22" t="s">
        <v>134</v>
      </c>
      <c r="N2" s="22" t="s">
        <v>134</v>
      </c>
      <c r="O2" s="22" t="s">
        <v>134</v>
      </c>
      <c r="P2" s="22" t="s">
        <v>134</v>
      </c>
      <c r="Q2" s="22" t="s">
        <v>134</v>
      </c>
      <c r="R2" s="22" t="s">
        <v>134</v>
      </c>
      <c r="S2" s="22" t="s">
        <v>134</v>
      </c>
      <c r="T2" s="22" t="s">
        <v>134</v>
      </c>
      <c r="U2" s="23">
        <v>2023</v>
      </c>
      <c r="V2" s="23">
        <v>2024</v>
      </c>
      <c r="W2" s="23">
        <v>2025</v>
      </c>
      <c r="X2" s="23">
        <v>2026</v>
      </c>
      <c r="Y2" s="24">
        <v>2027</v>
      </c>
    </row>
    <row r="3" spans="1:25" x14ac:dyDescent="0.35">
      <c r="A3" s="1" t="s">
        <v>157</v>
      </c>
      <c r="B3" s="61">
        <v>1.1137659335397029E-2</v>
      </c>
      <c r="C3" s="62">
        <f>B3</f>
        <v>1.1137659335397029E-2</v>
      </c>
      <c r="D3" s="62">
        <f t="shared" ref="D3:G3" si="0">C3</f>
        <v>1.1137659335397029E-2</v>
      </c>
      <c r="E3" s="62">
        <f t="shared" si="0"/>
        <v>1.1137659335397029E-2</v>
      </c>
      <c r="F3" s="62">
        <f t="shared" si="0"/>
        <v>1.1137659335397029E-2</v>
      </c>
      <c r="G3" s="63">
        <f t="shared" si="0"/>
        <v>1.1137659335397029E-2</v>
      </c>
      <c r="H3" s="61">
        <v>0.41511421466122372</v>
      </c>
      <c r="I3" s="62">
        <f>H3</f>
        <v>0.41511421466122372</v>
      </c>
      <c r="J3" s="62">
        <f t="shared" ref="J3:M3" si="1">I3</f>
        <v>0.41511421466122372</v>
      </c>
      <c r="K3" s="62">
        <f t="shared" si="1"/>
        <v>0.41511421466122372</v>
      </c>
      <c r="L3" s="62">
        <f t="shared" si="1"/>
        <v>0.41511421466122372</v>
      </c>
      <c r="M3" s="62">
        <f t="shared" si="1"/>
        <v>0.41511421466122372</v>
      </c>
      <c r="N3" s="61">
        <v>0.46500000000000002</v>
      </c>
      <c r="O3" s="62">
        <f>N3</f>
        <v>0.46500000000000002</v>
      </c>
      <c r="P3" s="62">
        <f t="shared" ref="P3:S3" si="2">O3</f>
        <v>0.46500000000000002</v>
      </c>
      <c r="Q3" s="62">
        <f t="shared" si="2"/>
        <v>0.46500000000000002</v>
      </c>
      <c r="R3" s="62">
        <f t="shared" si="2"/>
        <v>0.46500000000000002</v>
      </c>
      <c r="S3" s="62">
        <f t="shared" si="2"/>
        <v>0.46500000000000002</v>
      </c>
      <c r="T3" s="227">
        <v>0.15</v>
      </c>
      <c r="U3" s="62">
        <v>0.2</v>
      </c>
      <c r="V3" s="62">
        <v>0.75</v>
      </c>
      <c r="W3" s="62">
        <v>0.75</v>
      </c>
      <c r="X3" s="62">
        <v>0.10486900339999999</v>
      </c>
      <c r="Y3" s="62">
        <v>0.10486900339999999</v>
      </c>
    </row>
    <row r="4" spans="1:25" x14ac:dyDescent="0.35">
      <c r="A4" s="2" t="s">
        <v>158</v>
      </c>
      <c r="B4" s="64">
        <v>1.9218244336300181E-2</v>
      </c>
      <c r="C4" s="65">
        <f t="shared" ref="C4:G4" si="3">B4</f>
        <v>1.9218244336300181E-2</v>
      </c>
      <c r="D4" s="65">
        <f t="shared" si="3"/>
        <v>1.9218244336300181E-2</v>
      </c>
      <c r="E4" s="65">
        <f t="shared" si="3"/>
        <v>1.9218244336300181E-2</v>
      </c>
      <c r="F4" s="65">
        <f t="shared" si="3"/>
        <v>1.9218244336300181E-2</v>
      </c>
      <c r="G4" s="66">
        <f t="shared" si="3"/>
        <v>1.9218244336300181E-2</v>
      </c>
      <c r="H4" s="64">
        <v>0.3597249566477384</v>
      </c>
      <c r="I4" s="65">
        <f t="shared" ref="I4:M4" si="4">H4</f>
        <v>0.3597249566477384</v>
      </c>
      <c r="J4" s="65">
        <f t="shared" si="4"/>
        <v>0.3597249566477384</v>
      </c>
      <c r="K4" s="65">
        <f t="shared" si="4"/>
        <v>0.3597249566477384</v>
      </c>
      <c r="L4" s="65">
        <f t="shared" si="4"/>
        <v>0.3597249566477384</v>
      </c>
      <c r="M4" s="65">
        <f t="shared" si="4"/>
        <v>0.3597249566477384</v>
      </c>
      <c r="N4" s="64">
        <v>0.41</v>
      </c>
      <c r="O4" s="65">
        <f t="shared" ref="O4:S4" si="5">N4</f>
        <v>0.41</v>
      </c>
      <c r="P4" s="65">
        <f t="shared" si="5"/>
        <v>0.41</v>
      </c>
      <c r="Q4" s="65">
        <f t="shared" si="5"/>
        <v>0.41</v>
      </c>
      <c r="R4" s="65">
        <f t="shared" si="5"/>
        <v>0.41</v>
      </c>
      <c r="S4" s="65">
        <f t="shared" si="5"/>
        <v>0.41</v>
      </c>
      <c r="T4" s="228">
        <v>0.15</v>
      </c>
      <c r="U4" s="65">
        <v>0.2</v>
      </c>
      <c r="V4" s="65">
        <v>0.75</v>
      </c>
      <c r="W4" s="65">
        <v>0.75</v>
      </c>
      <c r="X4" s="65">
        <v>0.10486900339999999</v>
      </c>
      <c r="Y4" s="65">
        <v>0.10486900339999999</v>
      </c>
    </row>
    <row r="5" spans="1:25" x14ac:dyDescent="0.35">
      <c r="A5" s="3" t="s">
        <v>159</v>
      </c>
      <c r="B5" s="67"/>
      <c r="C5" s="68">
        <f t="shared" ref="C5:G5" si="6">B5</f>
        <v>0</v>
      </c>
      <c r="D5" s="68">
        <f t="shared" si="6"/>
        <v>0</v>
      </c>
      <c r="E5" s="68">
        <f t="shared" si="6"/>
        <v>0</v>
      </c>
      <c r="F5" s="68">
        <f t="shared" si="6"/>
        <v>0</v>
      </c>
      <c r="G5" s="69">
        <f t="shared" si="6"/>
        <v>0</v>
      </c>
      <c r="H5" s="67"/>
      <c r="I5" s="68">
        <f t="shared" ref="I5:M5" si="7">H5</f>
        <v>0</v>
      </c>
      <c r="J5" s="68">
        <f t="shared" si="7"/>
        <v>0</v>
      </c>
      <c r="K5" s="68">
        <f t="shared" si="7"/>
        <v>0</v>
      </c>
      <c r="L5" s="68">
        <f t="shared" si="7"/>
        <v>0</v>
      </c>
      <c r="M5" s="68">
        <f t="shared" si="7"/>
        <v>0</v>
      </c>
      <c r="N5" s="67"/>
      <c r="O5" s="68">
        <f t="shared" ref="O5:S5" si="8">N5</f>
        <v>0</v>
      </c>
      <c r="P5" s="68">
        <f t="shared" si="8"/>
        <v>0</v>
      </c>
      <c r="Q5" s="68">
        <f t="shared" si="8"/>
        <v>0</v>
      </c>
      <c r="R5" s="68">
        <f t="shared" si="8"/>
        <v>0</v>
      </c>
      <c r="S5" s="68">
        <f t="shared" si="8"/>
        <v>0</v>
      </c>
      <c r="T5" s="229">
        <v>0</v>
      </c>
      <c r="U5" s="65">
        <f t="shared" ref="U5:Y5" si="9">T5</f>
        <v>0</v>
      </c>
      <c r="V5" s="65">
        <f t="shared" si="9"/>
        <v>0</v>
      </c>
      <c r="W5" s="65">
        <f t="shared" si="9"/>
        <v>0</v>
      </c>
      <c r="X5" s="65">
        <f t="shared" si="9"/>
        <v>0</v>
      </c>
      <c r="Y5" s="65">
        <f t="shared" si="9"/>
        <v>0</v>
      </c>
    </row>
    <row r="7" spans="1:25" x14ac:dyDescent="0.35">
      <c r="B7" t="s">
        <v>282</v>
      </c>
    </row>
  </sheetData>
  <mergeCells count="4">
    <mergeCell ref="B1:G1"/>
    <mergeCell ref="H1:M1"/>
    <mergeCell ref="N1:S1"/>
    <mergeCell ref="T1:Y1"/>
  </mergeCells>
  <hyperlinks>
    <hyperlink ref="A1" location="Index!C10" display="Back - Index"/>
  </hyperlinks>
  <pageMargins left="0.7" right="0.7" top="0.75" bottom="0.75" header="0.3" footer="0.3"/>
  <pageSetup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Z12"/>
  <sheetViews>
    <sheetView showGridLines="0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3" sqref="A3"/>
    </sheetView>
  </sheetViews>
  <sheetFormatPr defaultRowHeight="14.5" x14ac:dyDescent="0.35"/>
  <cols>
    <col min="1" max="1" width="11.1796875" bestFit="1" customWidth="1"/>
    <col min="2" max="11" width="11.1796875" customWidth="1"/>
    <col min="12" max="14" width="9.453125" customWidth="1"/>
    <col min="15" max="15" width="11.54296875" customWidth="1"/>
    <col min="16" max="16" width="15.1796875" customWidth="1"/>
    <col min="17" max="17" width="20.453125" bestFit="1" customWidth="1"/>
    <col min="20" max="31" width="9.1796875" customWidth="1"/>
    <col min="32" max="34" width="9.1796875" hidden="1" customWidth="1"/>
    <col min="35" max="35" width="10.81640625" hidden="1" customWidth="1"/>
    <col min="36" max="40" width="9.1796875" hidden="1" customWidth="1"/>
    <col min="41" max="41" width="9.81640625" hidden="1" customWidth="1"/>
    <col min="42" max="46" width="9.1796875" hidden="1" customWidth="1"/>
  </cols>
  <sheetData>
    <row r="1" spans="1:52" x14ac:dyDescent="0.35">
      <c r="A1" s="121" t="s">
        <v>117</v>
      </c>
      <c r="B1" s="348" t="s">
        <v>26</v>
      </c>
      <c r="C1" s="349"/>
      <c r="D1" s="350"/>
      <c r="E1" s="348" t="s">
        <v>20</v>
      </c>
      <c r="F1" s="349"/>
      <c r="G1" s="350"/>
      <c r="H1" s="348" t="s">
        <v>10</v>
      </c>
      <c r="I1" s="349"/>
      <c r="J1" s="350"/>
      <c r="K1" s="353" t="s">
        <v>115</v>
      </c>
      <c r="L1" s="348" t="s">
        <v>25</v>
      </c>
      <c r="M1" s="349"/>
      <c r="N1" s="349"/>
      <c r="O1" s="355" t="s">
        <v>116</v>
      </c>
      <c r="P1" s="355" t="s">
        <v>2</v>
      </c>
      <c r="Q1" s="348" t="s">
        <v>24</v>
      </c>
      <c r="R1" s="349"/>
      <c r="S1" s="349"/>
      <c r="T1" s="348" t="s">
        <v>30</v>
      </c>
      <c r="U1" s="349"/>
      <c r="V1" s="349"/>
      <c r="W1" s="350"/>
      <c r="X1" s="348" t="s">
        <v>38</v>
      </c>
      <c r="Y1" s="349"/>
      <c r="Z1" s="349"/>
      <c r="AA1" s="350"/>
      <c r="AB1" s="348" t="s">
        <v>39</v>
      </c>
      <c r="AC1" s="349"/>
      <c r="AD1" s="349"/>
      <c r="AE1" s="350"/>
      <c r="AF1" s="348" t="s">
        <v>29</v>
      </c>
      <c r="AG1" s="349"/>
      <c r="AH1" s="350"/>
      <c r="AI1" s="348" t="s">
        <v>31</v>
      </c>
      <c r="AJ1" s="349"/>
      <c r="AK1" s="350"/>
      <c r="AL1" s="348" t="s">
        <v>32</v>
      </c>
      <c r="AM1" s="349"/>
      <c r="AN1" s="350"/>
      <c r="AO1" s="348" t="s">
        <v>33</v>
      </c>
      <c r="AP1" s="349"/>
      <c r="AQ1" s="350"/>
      <c r="AR1" s="348" t="s">
        <v>114</v>
      </c>
      <c r="AS1" s="349"/>
      <c r="AT1" s="350"/>
      <c r="AU1" s="348" t="s">
        <v>163</v>
      </c>
      <c r="AV1" s="350"/>
      <c r="AW1" s="348" t="s">
        <v>25</v>
      </c>
      <c r="AX1" s="350"/>
      <c r="AY1" s="349" t="s">
        <v>24</v>
      </c>
      <c r="AZ1" s="350"/>
    </row>
    <row r="2" spans="1:52" x14ac:dyDescent="0.35">
      <c r="A2" s="4" t="s">
        <v>3</v>
      </c>
      <c r="B2" s="22" t="s">
        <v>21</v>
      </c>
      <c r="C2" s="23" t="s">
        <v>22</v>
      </c>
      <c r="D2" s="24" t="s">
        <v>23</v>
      </c>
      <c r="E2" s="22" t="s">
        <v>21</v>
      </c>
      <c r="F2" s="23" t="s">
        <v>22</v>
      </c>
      <c r="G2" s="24" t="s">
        <v>23</v>
      </c>
      <c r="H2" s="22" t="s">
        <v>21</v>
      </c>
      <c r="I2" s="23" t="s">
        <v>22</v>
      </c>
      <c r="J2" s="24" t="s">
        <v>23</v>
      </c>
      <c r="K2" s="354"/>
      <c r="L2" s="22" t="s">
        <v>21</v>
      </c>
      <c r="M2" s="23" t="s">
        <v>22</v>
      </c>
      <c r="N2" s="23" t="s">
        <v>23</v>
      </c>
      <c r="O2" s="356"/>
      <c r="P2" s="356"/>
      <c r="Q2" s="22" t="s">
        <v>21</v>
      </c>
      <c r="R2" s="23" t="s">
        <v>22</v>
      </c>
      <c r="S2" s="23" t="s">
        <v>23</v>
      </c>
      <c r="T2" s="22" t="s">
        <v>21</v>
      </c>
      <c r="U2" s="23" t="s">
        <v>22</v>
      </c>
      <c r="V2" s="23" t="s">
        <v>164</v>
      </c>
      <c r="W2" s="24" t="s">
        <v>165</v>
      </c>
      <c r="X2" s="22" t="s">
        <v>21</v>
      </c>
      <c r="Y2" s="23" t="s">
        <v>22</v>
      </c>
      <c r="Z2" s="23" t="s">
        <v>164</v>
      </c>
      <c r="AA2" s="24" t="s">
        <v>165</v>
      </c>
      <c r="AB2" s="22" t="s">
        <v>21</v>
      </c>
      <c r="AC2" s="23" t="s">
        <v>22</v>
      </c>
      <c r="AD2" s="23" t="s">
        <v>164</v>
      </c>
      <c r="AE2" s="24" t="s">
        <v>165</v>
      </c>
      <c r="AF2" s="22" t="s">
        <v>21</v>
      </c>
      <c r="AG2" s="23" t="s">
        <v>22</v>
      </c>
      <c r="AH2" s="24" t="s">
        <v>23</v>
      </c>
      <c r="AI2" s="22" t="s">
        <v>21</v>
      </c>
      <c r="AJ2" s="23" t="s">
        <v>22</v>
      </c>
      <c r="AK2" s="24" t="s">
        <v>23</v>
      </c>
      <c r="AL2" s="22" t="s">
        <v>21</v>
      </c>
      <c r="AM2" s="23" t="s">
        <v>22</v>
      </c>
      <c r="AN2" s="24" t="s">
        <v>23</v>
      </c>
      <c r="AO2" s="22" t="s">
        <v>21</v>
      </c>
      <c r="AP2" s="23" t="s">
        <v>22</v>
      </c>
      <c r="AQ2" s="24" t="s">
        <v>23</v>
      </c>
      <c r="AR2" s="22" t="s">
        <v>21</v>
      </c>
      <c r="AS2" s="23" t="s">
        <v>22</v>
      </c>
      <c r="AT2" s="24" t="s">
        <v>23</v>
      </c>
      <c r="AU2" s="22" t="s">
        <v>164</v>
      </c>
      <c r="AV2" s="24" t="s">
        <v>165</v>
      </c>
      <c r="AW2" s="22" t="s">
        <v>164</v>
      </c>
      <c r="AX2" s="24" t="s">
        <v>165</v>
      </c>
      <c r="AY2" s="23" t="s">
        <v>164</v>
      </c>
      <c r="AZ2" s="23" t="s">
        <v>165</v>
      </c>
    </row>
    <row r="3" spans="1:52" x14ac:dyDescent="0.35">
      <c r="A3" s="1" t="s">
        <v>157</v>
      </c>
      <c r="B3" s="72" t="s">
        <v>121</v>
      </c>
      <c r="C3" s="73" t="s">
        <v>121</v>
      </c>
      <c r="D3" s="74" t="s">
        <v>121</v>
      </c>
      <c r="E3" s="72">
        <f>'Input-Stress Parameters'!C$5</f>
        <v>7</v>
      </c>
      <c r="F3" s="73">
        <f>'Input-Stress Parameters'!D$5</f>
        <v>25</v>
      </c>
      <c r="G3" s="74">
        <f>'Input-Stress Parameters'!E$5</f>
        <v>5</v>
      </c>
      <c r="H3" s="70">
        <f>0.03*(1-EXP(-35*$K3))/(1-EXP(-35))+(0.16*(1-(1-EXP(-35*$K3))/(1-EXP(-35))))</f>
        <v>0.11803340755265776</v>
      </c>
      <c r="I3" s="71">
        <f t="shared" ref="I3:J5" si="0">0.03*(1-EXP(-35*$K3))/(1-EXP(-35))+(0.16*(1-(1-EXP(-35*$K3))/(1-EXP(-35))))</f>
        <v>0.11803340755265776</v>
      </c>
      <c r="J3" s="75">
        <f t="shared" si="0"/>
        <v>0.11803340755265776</v>
      </c>
      <c r="K3" s="70">
        <f>'Input - PDLGD'!B3</f>
        <v>1.1137659335397029E-2</v>
      </c>
      <c r="L3" s="70">
        <f>IFERROR(IF(E3=1,$K3,NORMSDIST((1-H3)^(-0.5)*NORMSINV($K3)+(H3/(1-H3))^0.5*NORMSINV(1-(1/E3)))), "")</f>
        <v>2.051454358853351E-2</v>
      </c>
      <c r="M3" s="71">
        <f t="shared" ref="M3:M5" si="1">IFERROR(IF(F3=1,$K3,NORMSDIST((1-I3)^(-0.5)*NORMSINV($K3)+(I3/(1-I3))^0.5*NORMSINV(1-(1/F3)))), "")</f>
        <v>3.6459810213244404E-2</v>
      </c>
      <c r="N3" s="71">
        <f t="shared" ref="N3:N5" si="2">IFERROR(IF(G3=1,$K3,NORMSDIST((1-J3)^(-0.5)*NORMSINV($K3)+(J3/(1-J3))^0.5*NORMSINV(1-(1/G3)))), "")</f>
        <v>1.6756025869348743E-2</v>
      </c>
      <c r="O3" s="70">
        <f>'Input - PDLGD'!H3</f>
        <v>0.41511421466122372</v>
      </c>
      <c r="P3" s="70">
        <f>'Input - PDLGD'!N3</f>
        <v>0.46500000000000002</v>
      </c>
      <c r="Q3" s="70">
        <f>IF(E3=1,$O3,IF(E3&lt;=7,($P3+$O3)/2,$P3))</f>
        <v>0.44005710733061187</v>
      </c>
      <c r="R3" s="71">
        <f t="shared" ref="R3:R5" si="3">IF(F3=1,$O3,IF(F3&lt;=7,($P3+$O3)/2,$P3))</f>
        <v>0.46500000000000002</v>
      </c>
      <c r="S3" s="71">
        <f t="shared" ref="S3:S5" si="4">IF(G3=1,$O3,IF(G3&lt;=7,($P3+$O3)/2,$P3))</f>
        <v>0.44005710733061187</v>
      </c>
      <c r="T3" s="72">
        <f>SUMIF('Input - NCL'!$C$2:$BJ$2,T$2,'Input - NCL'!$C11:$BJ11)</f>
        <v>107.03861820878925</v>
      </c>
      <c r="U3" s="73">
        <f>SUMIF('Input - NCL'!$C$2:$BJ$2,U$2,'Input - NCL'!$C11:$BJ11)</f>
        <v>299.21568186062524</v>
      </c>
      <c r="V3" s="74">
        <f>SUMIF('Input - NCL'!$C$2:$BJ$2,V$2,'Input - NCL'!$C11:$BJ11)</f>
        <v>117.48760141383991</v>
      </c>
      <c r="W3" s="73">
        <f>SUMIF('Input - NCL'!$C$2:$BJ$2,W$2,'Input - NCL'!$C11:$BJ11)</f>
        <v>260.54782774831398</v>
      </c>
      <c r="X3" s="72">
        <f>SUMIF('Input - NCL'!$C$2:$BJ$2,X$2,'Input - NCL'!$C5:$BJ5)</f>
        <v>103.22742535623169</v>
      </c>
      <c r="Y3" s="73">
        <f>SUMIF('Input - NCL'!$C$2:$BJ$2,Y$2,'Input - NCL'!$C5:$BJ5)</f>
        <v>233.75596700810715</v>
      </c>
      <c r="Z3" s="74">
        <f>SUMIF('Input - NCL'!$C$2:$BJ$2,Z$2,'Input - NCL'!$C5:$BJ5)</f>
        <v>77.726214882855018</v>
      </c>
      <c r="AA3" s="73">
        <f>SUMIF('Input - NCL'!$C$2:$BJ$2,AA$2,'Input - NCL'!$C5:$BJ5)</f>
        <v>169.06709412525845</v>
      </c>
      <c r="AB3" s="72">
        <f>IF(X3&lt;=0,X3,IFERROR(X3*'Input - PDLGD'!T3*(L3/'Input - PDLGD'!B3)*(Q3/'Input - PDLGD'!H3)+X3*(1-'Input - PDLGD'!T3)*(Q3/'Input - PDLGD'!H3),""))</f>
        <v>123.249535649582</v>
      </c>
      <c r="AC3" s="73">
        <f>IF(Y3&lt;=0,Y3,IFERROR(Y3*'Input - PDLGD'!U3*(M3/'Input - PDLGD'!C3)*(R3/'Input - PDLGD'!I3)+Y3*(1-'Input - PDLGD'!U3)*(R3/'Input - PDLGD'!I3),""))</f>
        <v>380.91243506915225</v>
      </c>
      <c r="AD3" s="74">
        <f>IF(Z3&lt;=0,Z3,IFERROR(Z3*'Input - PDLGD'!V3*(AW3/'Input - PDLGD'!D3)*(AY3/'Input - PDLGD'!J3)+Z3*(1-'Input - PDLGD'!V3)*(AY3/'Input - PDLGD'!J3),""))</f>
        <v>166.63965634303514</v>
      </c>
      <c r="AE3" s="74">
        <f>IF(AA3&lt;=0,AA3,IFERROR(AA3*'Input - PDLGD'!W3*(AX3/'Input - PDLGD'!E3)*(AZ3/'Input - PDLGD'!K3)+AA3*(1-'Input - PDLGD'!W3)*(AZ3/'Input - PDLGD'!K3),""))</f>
        <v>362.46821624351549</v>
      </c>
      <c r="AF3" s="72">
        <f>SUMIF('Plan - CoC'!$C$1:$BJ$1,AF$2,'Plan - CoC'!$C16:$BJ16)</f>
        <v>115.94612524632134</v>
      </c>
      <c r="AG3" s="73">
        <f>SUMIF('Plan - CoC'!$C$1:$BJ$1,AG$2,'Plan - CoC'!$C16:$BJ16)</f>
        <v>230.80920529067191</v>
      </c>
      <c r="AH3" s="73">
        <f>SUMIF('Plan - CoC'!$C$1:$BJ$1,AH$2,'Plan - CoC'!$C16:$BJ16)</f>
        <v>303.13850507961411</v>
      </c>
      <c r="AI3" s="70">
        <f>AF3*LOOKUP(AI$2,'Input-Stress Parameters'!$C$4:$E$4,'Input-Stress Parameters'!$J$5:$J$7)/SUMIF('Input - ENR'!$C$1:$BJ$1,AI$2,'Input - ENR'!$C10:$BJ10)</f>
        <v>2.0237957857532599E-3</v>
      </c>
      <c r="AJ3" s="76">
        <f>AG3*LOOKUP(AJ$2,'Input-Stress Parameters'!$C$4:$E$4,'Input-Stress Parameters'!$J$5:$J$7)/SUMIF('Input - ENR'!$C$1:$BJ$1,AJ$2,'Input - ENR'!$C10:$BJ10)</f>
        <v>2.9768786269824994E-3</v>
      </c>
      <c r="AK3" s="77">
        <f>AH3*LOOKUP(AK$2,'Input-Stress Parameters'!$C$4:$E$4,'Input-Stress Parameters'!$J$5:$J$7)/SUMIF('Input - ENR'!$C$1:$BJ$1,AK$2,'Input - ENR'!$C10:$BJ10)</f>
        <v>2.8428965828478643E-3</v>
      </c>
      <c r="AL3" s="78">
        <f>IF(AI3&lt;0,AI3,AI3*(L3/'Input - PDLGD'!B3))</f>
        <v>3.7276456040613573E-3</v>
      </c>
      <c r="AM3" s="76">
        <f>IF(AJ3&lt;0,AJ3,AJ3*(M3/'Input - PDLGD'!C3))</f>
        <v>9.7449945719475951E-3</v>
      </c>
      <c r="AN3" s="77">
        <f>IF(AK3&lt;0,AK3,AK3*(N3/'Input - PDLGD'!D3))</f>
        <v>4.2769891995788779E-3</v>
      </c>
      <c r="AO3" s="72">
        <f>AL3*SUMIF('Input - ENR'!$C$1:$BJ$1,AO$2,'Input - ENR'!$C4:$BJ4)/LOOKUP(AO$2,'Input-Stress Parameters'!$C$4:$E$4,'Input-Stress Parameters'!$J$5:$J$7)</f>
        <v>204.48337075952281</v>
      </c>
      <c r="AP3" s="73">
        <f>AM3*SUMIF('Input - ENR'!$C$1:$BJ$1,'Calculations - Parameters'!AP$2,'Input - ENR'!$C4:$BJ4)/LOOKUP(AP$2,'Input-Stress Parameters'!$C$4:$E$4,'Input-Stress Parameters'!$J$5:$J$7)</f>
        <v>599.74735486490283</v>
      </c>
      <c r="AQ3" s="74">
        <f>AN3*SUMIF('Input - ENR'!$C$1:$BJ$1,'Calculations - Parameters'!AQ$2,'Input - ENR'!$C4:$BJ4)/LOOKUP(AQ$2,'Input-Stress Parameters'!$C$4:$E$4,'Input-Stress Parameters'!$J$5:$J$7)</f>
        <v>299.04724086415803</v>
      </c>
      <c r="AR3" s="72">
        <f>SUMIF('Calculation - NCL and ECL'!$E$1:$AN$1,'Calculations - Parameters'!AR$2,'Calculation - NCL and ECL'!$E22:$AN22)</f>
        <v>182.87328824833332</v>
      </c>
      <c r="AS3" s="73">
        <f>SUMIF('Calculation - NCL and ECL'!$E$1:$AN$1,'Calculations - Parameters'!AS$2,'Calculation - NCL and ECL'!$E22:$AN22)</f>
        <v>419.13987303670524</v>
      </c>
      <c r="AT3" s="74">
        <f>SUMIF('Calculation - NCL and ECL'!$E$1:$AN$1,'Calculations - Parameters'!AT$2,'Calculation - NCL and ECL'!$E22:$AN22)</f>
        <v>-105.57692898419805</v>
      </c>
      <c r="AU3" s="239">
        <v>10</v>
      </c>
      <c r="AV3" s="240">
        <v>10</v>
      </c>
      <c r="AW3" s="70">
        <f>IFERROR(IF(AU3=1,$K3,NORMSDIST((1-J3)^(-0.5)*NORMSINV($K3)+(J3/(1-J3))^0.5*NORMSINV(1-(1/AU3)))), "")</f>
        <v>2.4709677657076445E-2</v>
      </c>
      <c r="AX3" s="75">
        <f>IFERROR(IF(AV3=1,$K3,NORMSDIST((1-J3)^(-0.5)*NORMSINV($K3)+(J3/(1-J3))^0.5*NORMSINV(1-(1/AV3)))), "")</f>
        <v>2.4709677657076445E-2</v>
      </c>
      <c r="AY3" s="71">
        <f t="shared" ref="AY3:AZ3" si="5">IF(AU3=1,$O3,IF(AU3&lt;=7,($P3+$O3)/2,$P3))</f>
        <v>0.46500000000000002</v>
      </c>
      <c r="AZ3" s="71">
        <f t="shared" si="5"/>
        <v>0.46500000000000002</v>
      </c>
    </row>
    <row r="4" spans="1:52" x14ac:dyDescent="0.35">
      <c r="A4" s="2" t="s">
        <v>158</v>
      </c>
      <c r="B4" s="81" t="s">
        <v>121</v>
      </c>
      <c r="C4" s="82" t="s">
        <v>121</v>
      </c>
      <c r="D4" s="83" t="s">
        <v>121</v>
      </c>
      <c r="E4" s="81">
        <f>'Input-Stress Parameters'!C$5</f>
        <v>7</v>
      </c>
      <c r="F4" s="82">
        <f>'Input-Stress Parameters'!D$5</f>
        <v>25</v>
      </c>
      <c r="G4" s="83">
        <f>'Input-Stress Parameters'!E$5</f>
        <v>5</v>
      </c>
      <c r="H4" s="79">
        <f t="shared" ref="H4:H5" si="6">0.03*(1-EXP(-35*$K4))/(1-EXP(-35))+(0.16*(1-(1-EXP(-35*$K4))/(1-EXP(-35))))</f>
        <v>9.6346824426115502E-2</v>
      </c>
      <c r="I4" s="80">
        <f t="shared" si="0"/>
        <v>9.6346824426115502E-2</v>
      </c>
      <c r="J4" s="84">
        <f t="shared" si="0"/>
        <v>9.6346824426115502E-2</v>
      </c>
      <c r="K4" s="79">
        <f>'Input - PDLGD'!B4</f>
        <v>1.9218244336300181E-2</v>
      </c>
      <c r="L4" s="79">
        <f t="shared" ref="L4:L5" si="7">IFERROR(IF(E4=1,$K4,NORMSDIST((1-H4)^(-0.5)*NORMSINV($K4)+(H4/(1-H4))^0.5*NORMSINV(1-(1/E4)))), "")</f>
        <v>3.3688929911876636E-2</v>
      </c>
      <c r="M4" s="80">
        <f t="shared" si="1"/>
        <v>5.4127047944459668E-2</v>
      </c>
      <c r="N4" s="80">
        <f t="shared" si="2"/>
        <v>2.8525262617613963E-2</v>
      </c>
      <c r="O4" s="79">
        <f>'Input - PDLGD'!H4</f>
        <v>0.3597249566477384</v>
      </c>
      <c r="P4" s="79">
        <f>'Input - PDLGD'!N4</f>
        <v>0.41</v>
      </c>
      <c r="Q4" s="79">
        <f t="shared" ref="Q4:Q5" si="8">IF(E4=1,$O4,IF(E4&lt;=7,($P4+$O4)/2,$P4))</f>
        <v>0.38486247832386922</v>
      </c>
      <c r="R4" s="80">
        <f t="shared" si="3"/>
        <v>0.41</v>
      </c>
      <c r="S4" s="80">
        <f t="shared" si="4"/>
        <v>0.38486247832386922</v>
      </c>
      <c r="T4" s="81">
        <f>SUMIF('Input - NCL'!$C$2:$BJ$2,T$2,'Input - NCL'!$C12:$BJ12)</f>
        <v>90.533703727104253</v>
      </c>
      <c r="U4" s="82">
        <f>SUMIF('Input - NCL'!$C$2:$BJ$2,U$2,'Input - NCL'!$C12:$BJ12)</f>
        <v>302.76891936350682</v>
      </c>
      <c r="V4" s="83">
        <f>SUMIF('Input - NCL'!$C$2:$BJ$2,V$2,'Input - NCL'!$C12:$BJ12)</f>
        <v>61.621620910865552</v>
      </c>
      <c r="W4" s="82">
        <f>SUMIF('Input - NCL'!$C$2:$BJ$2,W$2,'Input - NCL'!$C12:$BJ12)</f>
        <v>102.85584377549245</v>
      </c>
      <c r="X4" s="81">
        <f>SUMIF('Input - NCL'!$C$2:$BJ$2,X$2,'Input - NCL'!$C6:$BJ6)</f>
        <v>94.215514218447581</v>
      </c>
      <c r="Y4" s="82">
        <f>SUMIF('Input - NCL'!$C$2:$BJ$2,Y$2,'Input - NCL'!$C6:$BJ6)</f>
        <v>256.38708616927903</v>
      </c>
      <c r="Z4" s="83">
        <f>SUMIF('Input - NCL'!$C$2:$BJ$2,Z$2,'Input - NCL'!$C6:$BJ6)</f>
        <v>42.151651364526657</v>
      </c>
      <c r="AA4" s="82">
        <f>SUMIF('Input - NCL'!$C$2:$BJ$2,AA$2,'Input - NCL'!$C6:$BJ6)</f>
        <v>70.310138828346652</v>
      </c>
      <c r="AB4" s="81">
        <f>IF(X4&lt;=0,X4,IFERROR(X4*'Input - PDLGD'!T4*(L4/'Input - PDLGD'!B4)*(Q4/'Input - PDLGD'!H4)+X4*(1-'Input - PDLGD'!T4)*(Q4/'Input - PDLGD'!H4),""))</f>
        <v>112.18404437550794</v>
      </c>
      <c r="AC4" s="82">
        <f>IF(Y4&lt;=0,Y4,IFERROR(Y4*'Input - PDLGD'!U4*(M4/'Input - PDLGD'!C4)*(R4/'Input - PDLGD'!I4)+Y4*(1-'Input - PDLGD'!U4)*(R4/'Input - PDLGD'!I4),""))</f>
        <v>398.37960713950162</v>
      </c>
      <c r="AD4" s="83">
        <f>IF(Z4&lt;=0,Z4,IFERROR(Z4*'Input - PDLGD'!V4*(N4/'Input - PDLGD'!D4)*(S4/'Input - PDLGD'!J4)+Z4*(1-'Input - PDLGD'!V4)*(S4/'Input - PDLGD'!J4),""))</f>
        <v>61.476968812914919</v>
      </c>
      <c r="AE4" s="82">
        <f>IF(AA4&lt;=0,AA4,IFERROR(AA4*'Input - PDLGD'!W4*(AX4/'Input - PDLGD'!E4)*(AZ4/'Input - PDLGD'!K4)+AA4*(1-'Input - PDLGD'!W4)*(AZ4/'Input - PDLGD'!K4),""))</f>
        <v>142.83153225901637</v>
      </c>
      <c r="AF4" s="82">
        <f>SUMIF('Plan - CoC'!$C$1:$BJ$1,AF$2,'Plan - CoC'!$C17:$BJ17)</f>
        <v>15.742999260409931</v>
      </c>
      <c r="AG4" s="82">
        <f>SUMIF('Plan - CoC'!$C$1:$BJ$1,AG$2,'Plan - CoC'!$C17:$BJ17)</f>
        <v>-40.447606898862546</v>
      </c>
      <c r="AH4" s="82">
        <f>SUMIF('Plan - CoC'!$C$1:$BJ$1,AH$2,'Plan - CoC'!$C17:$BJ17)</f>
        <v>55.209815875007166</v>
      </c>
      <c r="AI4" s="85">
        <f>AF4*LOOKUP(AI$2,'Input-Stress Parameters'!$C$4:$E$4,'Input-Stress Parameters'!$J$5:$J$7)/SUMIF('Input - ENR'!$C$1:$BJ$1,AI$2,'Input - ENR'!$C11:$BJ11)</f>
        <v>7.6974726244746403E-4</v>
      </c>
      <c r="AJ4" s="86">
        <f>AG4*LOOKUP(AJ$2,'Input-Stress Parameters'!$C$4:$E$4,'Input-Stress Parameters'!$J$5:$J$7)/SUMIF('Input - ENR'!$C$1:$BJ$1,AJ$2,'Input - ENR'!$C11:$BJ11)</f>
        <v>-1.6993288366325236E-3</v>
      </c>
      <c r="AK4" s="87">
        <f>AH4*LOOKUP(AK$2,'Input-Stress Parameters'!$C$4:$E$4,'Input-Stress Parameters'!$J$5:$J$7)/SUMIF('Input - ENR'!$C$1:$BJ$1,AK$2,'Input - ENR'!$C11:$BJ11)</f>
        <v>1.8290911797558872E-3</v>
      </c>
      <c r="AL4" s="85">
        <f>IF(AI4&lt;0,AI4,AI4*(L4/'Input - PDLGD'!B4))</f>
        <v>1.3493408201429831E-3</v>
      </c>
      <c r="AM4" s="86">
        <f>IF(AJ4&lt;0,AJ4,AJ4*(M4/'Input - PDLGD'!C4))</f>
        <v>-1.6993288366325236E-3</v>
      </c>
      <c r="AN4" s="87">
        <f>IF(AK4&lt;0,AK4,AK4*(N4/'Input - PDLGD'!D4))</f>
        <v>2.7148841143385424E-3</v>
      </c>
      <c r="AO4" s="81">
        <f>AL4*SUMIF('Input - ENR'!$C$1:$BJ$1,'Calculations - Parameters'!AO$2,'Input - ENR'!$C5:$BJ5)/LOOKUP(AO$2,'Input-Stress Parameters'!$C$4:$E$4,'Input-Stress Parameters'!$J$5:$J$7)</f>
        <v>28.699222899241864</v>
      </c>
      <c r="AP4" s="82">
        <f>AM4*SUMIF('Input - ENR'!$C$1:$BJ$1,'Calculations - Parameters'!AP$2,'Input - ENR'!$C5:$BJ5)/LOOKUP(AP$2,'Input-Stress Parameters'!$C$4:$E$4,'Input-Stress Parameters'!$J$5:$J$7)</f>
        <v>-33.86982174052892</v>
      </c>
      <c r="AQ4" s="83">
        <f>AN4*SUMIF('Input - ENR'!$C$1:$BJ$1,'Calculations - Parameters'!AQ$2,'Input - ENR'!$C5:$BJ5)/LOOKUP(AQ$2,'Input-Stress Parameters'!$C$4:$E$4,'Input-Stress Parameters'!$J$5:$J$7)</f>
        <v>56.391916871247439</v>
      </c>
      <c r="AR4" s="81">
        <f>SUMIF('Calculation - NCL and ECL'!$E$1:$AN$1,'Calculations - Parameters'!AR$2,'Calculation - NCL and ECL'!$E23:$AN23)</f>
        <v>115.69982793614912</v>
      </c>
      <c r="AS4" s="82">
        <f>SUMIF('Calculation - NCL and ECL'!$E$1:$AN$1,'Calculations - Parameters'!AS$2,'Calculation - NCL and ECL'!$E23:$AN23)</f>
        <v>200.46509176341726</v>
      </c>
      <c r="AT4" s="83">
        <f>SUMIF('Calculation - NCL and ECL'!$E$1:$AN$1,'Calculations - Parameters'!AT$2,'Calculation - NCL and ECL'!$E23:$AN23)</f>
        <v>-165.14103055162479</v>
      </c>
      <c r="AU4" s="241">
        <v>10</v>
      </c>
      <c r="AV4" s="242">
        <v>10</v>
      </c>
      <c r="AW4" s="79">
        <f>IFERROR(IF(AU4=1,$K4,NORMSDIST((1-J4)^(-0.5)*NORMSINV($K4)+(J4/(1-J4))^0.5*NORMSINV(1-(1/AU4)))), "")</f>
        <v>3.9265421046303518E-2</v>
      </c>
      <c r="AX4" s="84">
        <f>IFERROR(IF(AV4=1,$K4,NORMSDIST((1-J4)^(-0.5)*NORMSINV($K4)+(J4/(1-J4))^0.5*NORMSINV(1-(1/AV4)))), "")</f>
        <v>3.9265421046303518E-2</v>
      </c>
      <c r="AY4" s="80">
        <f t="shared" ref="AY4:AY5" si="9">IF(AU4=1,$O4,IF(AU4&lt;=7,($P4+$O4)/2,$P4))</f>
        <v>0.41</v>
      </c>
      <c r="AZ4" s="80">
        <f t="shared" ref="AZ4:AZ5" si="10">IF(AV4=1,$O4,IF(AV4&lt;=7,($P4+$O4)/2,$P4))</f>
        <v>0.41</v>
      </c>
    </row>
    <row r="5" spans="1:52" x14ac:dyDescent="0.35">
      <c r="A5" s="3" t="s">
        <v>159</v>
      </c>
      <c r="B5" s="90" t="s">
        <v>121</v>
      </c>
      <c r="C5" s="91" t="s">
        <v>121</v>
      </c>
      <c r="D5" s="92" t="s">
        <v>121</v>
      </c>
      <c r="E5" s="90">
        <f>'Input-Stress Parameters'!C$5</f>
        <v>7</v>
      </c>
      <c r="F5" s="91">
        <f>'Input-Stress Parameters'!D$5</f>
        <v>25</v>
      </c>
      <c r="G5" s="92">
        <f>'Input-Stress Parameters'!E$5</f>
        <v>5</v>
      </c>
      <c r="H5" s="88">
        <f t="shared" si="6"/>
        <v>0.16</v>
      </c>
      <c r="I5" s="89">
        <f t="shared" si="0"/>
        <v>0.16</v>
      </c>
      <c r="J5" s="93">
        <f t="shared" si="0"/>
        <v>0.16</v>
      </c>
      <c r="K5" s="88">
        <f>'Input - PDLGD'!B5</f>
        <v>0</v>
      </c>
      <c r="L5" s="88" t="str">
        <f t="shared" si="7"/>
        <v/>
      </c>
      <c r="M5" s="89" t="str">
        <f t="shared" si="1"/>
        <v/>
      </c>
      <c r="N5" s="89" t="str">
        <f t="shared" si="2"/>
        <v/>
      </c>
      <c r="O5" s="88">
        <f>'Input - PDLGD'!H5</f>
        <v>0</v>
      </c>
      <c r="P5" s="88">
        <f>'Input - PDLGD'!N5</f>
        <v>0</v>
      </c>
      <c r="Q5" s="88">
        <f t="shared" si="8"/>
        <v>0</v>
      </c>
      <c r="R5" s="89">
        <f t="shared" si="3"/>
        <v>0</v>
      </c>
      <c r="S5" s="89">
        <f t="shared" si="4"/>
        <v>0</v>
      </c>
      <c r="T5" s="90">
        <f>SUMIF('Input - NCL'!$C$2:$BJ$2,T$2,'Input - NCL'!$C13:$BJ13)</f>
        <v>0</v>
      </c>
      <c r="U5" s="91">
        <f>SUMIF('Input - NCL'!$C$2:$BJ$2,U$2,'Input - NCL'!$C13:$BJ13)</f>
        <v>0</v>
      </c>
      <c r="V5" s="92">
        <f>SUMIF('Input - NCL'!$C$2:$BJ$2,V$2,'Input - NCL'!$C13:$BJ13)</f>
        <v>0</v>
      </c>
      <c r="W5" s="91">
        <f>SUMIF('Input - NCL'!$C$2:$BJ$2,W$2,'Input - NCL'!$C13:$BJ13)</f>
        <v>0</v>
      </c>
      <c r="X5" s="90">
        <f>SUMIF('Input - NCL'!$C$2:$BJ$2,X$2,'Input - NCL'!$C7:$BJ7)</f>
        <v>0</v>
      </c>
      <c r="Y5" s="91">
        <f>SUMIF('Input - NCL'!$C$2:$BJ$2,Y$2,'Input - NCL'!$C7:$BJ7)</f>
        <v>0</v>
      </c>
      <c r="Z5" s="92">
        <f>SUMIF('Input - NCL'!$C$2:$BJ$2,Z$2,'Input - NCL'!$C7:$BJ7)</f>
        <v>0</v>
      </c>
      <c r="AA5" s="91">
        <f>SUMIF('Input - NCL'!$C$2:$BJ$2,AA$2,'Input - NCL'!$C7:$BJ7)</f>
        <v>0</v>
      </c>
      <c r="AB5" s="90">
        <f>IF(X5&lt;=0,X5,IFERROR(X5*'Input - PDLGD'!T5*(L5/'Input - PDLGD'!B5)*(Q5/'Input - PDLGD'!H5)+X5*(1-'Input - PDLGD'!T5)*(Q5/'Input - PDLGD'!H5),""))</f>
        <v>0</v>
      </c>
      <c r="AC5" s="91">
        <f>IF(Y5&lt;=0,Y5,IFERROR(Y5*'Input - PDLGD'!U5*(M5/'Input - PDLGD'!C5)*(R5/'Input - PDLGD'!I5)+Y5*(1-'Input - PDLGD'!U5)*(R5/'Input - PDLGD'!I5),""))</f>
        <v>0</v>
      </c>
      <c r="AD5" s="92">
        <f>IF(Z5&lt;=0,Z5,IFERROR(Z5*'Input - PDLGD'!V5*(N5/'Input - PDLGD'!D5)*(S5/'Input - PDLGD'!J5)+Z5*(1-'Input - PDLGD'!V5)*(S5/'Input - PDLGD'!J5),""))</f>
        <v>0</v>
      </c>
      <c r="AE5" s="91">
        <f>IF(AA5&lt;=0,AA5,IFERROR(AA5*'Input - PDLGD'!W5*(AX5/'Input - PDLGD'!E5)*(AZ5/'Input - PDLGD'!K5)+AA5*(1-'Input - PDLGD'!W5)*(AZ5/'Input - PDLGD'!K5),""))</f>
        <v>0</v>
      </c>
      <c r="AF5" s="91">
        <f>SUMIF('Plan - CoC'!$C$1:$BJ$1,AF$2,'Plan - CoC'!$C18:$BJ18)</f>
        <v>6.3550475055905054</v>
      </c>
      <c r="AG5" s="91">
        <f>SUMIF('Plan - CoC'!$C$1:$BJ$1,AG$2,'Plan - CoC'!$C18:$BJ18)</f>
        <v>23.047505796785188</v>
      </c>
      <c r="AH5" s="91">
        <f>SUMIF('Plan - CoC'!$C$1:$BJ$1,AH$2,'Plan - CoC'!$C18:$BJ18)</f>
        <v>20.909199968639925</v>
      </c>
      <c r="AI5" s="94">
        <f>AF5*LOOKUP(AI$2,'Input-Stress Parameters'!$C$4:$E$4,'Input-Stress Parameters'!$J$5:$J$7)/SUMIF('Input - ENR'!$C$1:$BJ$1,AI$2,'Input - ENR'!$C12:$BJ12)</f>
        <v>8.2024401213745502E-4</v>
      </c>
      <c r="AJ5" s="95">
        <f>AG5*LOOKUP(AJ$2,'Input-Stress Parameters'!$C$4:$E$4,'Input-Stress Parameters'!$J$5:$J$7)/SUMIF('Input - ENR'!$C$1:$BJ$1,AJ$2,'Input - ENR'!$C12:$BJ12)</f>
        <v>2.3817242999089896E-3</v>
      </c>
      <c r="AK5" s="96">
        <f>AH5*LOOKUP(AK$2,'Input-Stress Parameters'!$C$4:$E$4,'Input-Stress Parameters'!$J$5:$J$7)/SUMIF('Input - ENR'!$C$1:$BJ$1,AK$2,'Input - ENR'!$C12:$BJ12)</f>
        <v>1.7599167970513204E-3</v>
      </c>
      <c r="AL5" s="94" t="e">
        <f>IF(AI5&lt;0,AI5,AI5*(L5/'Input - PDLGD'!B5))</f>
        <v>#VALUE!</v>
      </c>
      <c r="AM5" s="95" t="e">
        <f>IF(AJ5&lt;0,AJ5,AJ5*(M5/'Input - PDLGD'!C5))</f>
        <v>#VALUE!</v>
      </c>
      <c r="AN5" s="96" t="e">
        <f>IF(AK5&lt;0,AK5,AK5*(N5/'Input - PDLGD'!D5))</f>
        <v>#VALUE!</v>
      </c>
      <c r="AO5" s="90" t="e">
        <f>AL5*SUMIF('Input - ENR'!$C$1:$BJ$1,'Calculations - Parameters'!AO$2,'Input - ENR'!$C6:$BJ6)/LOOKUP(AO$2,'Input-Stress Parameters'!$C$4:$E$4,'Input-Stress Parameters'!$J$5:$J$7)</f>
        <v>#VALUE!</v>
      </c>
      <c r="AP5" s="91" t="e">
        <f>AM5*SUMIF('Input - ENR'!$C$1:$BJ$1,'Calculations - Parameters'!AP$2,'Input - ENR'!$C6:$BJ6)/LOOKUP(AP$2,'Input-Stress Parameters'!$C$4:$E$4,'Input-Stress Parameters'!$J$5:$J$7)</f>
        <v>#VALUE!</v>
      </c>
      <c r="AQ5" s="92" t="e">
        <f>AN5*SUMIF('Input - ENR'!$C$1:$BJ$1,'Calculations - Parameters'!AQ$2,'Input - ENR'!$C6:$BJ6)/LOOKUP(AQ$2,'Input-Stress Parameters'!$C$4:$E$4,'Input-Stress Parameters'!$J$5:$J$7)</f>
        <v>#VALUE!</v>
      </c>
      <c r="AR5" s="90">
        <f>SUMIF('Calculation - NCL and ECL'!$E$1:$AN$1,'Calculations - Parameters'!AR$2,'Calculation - NCL and ECL'!$E24:$AN24)</f>
        <v>-12.224719252406658</v>
      </c>
      <c r="AS5" s="91">
        <f>SUMIF('Calculation - NCL and ECL'!$E$1:$AN$1,'Calculations - Parameters'!AS$2,'Calculation - NCL and ECL'!$E24:$AN24)</f>
        <v>-24.941489570492003</v>
      </c>
      <c r="AT5" s="92">
        <f>SUMIF('Calculation - NCL and ECL'!$E$1:$AN$1,'Calculations - Parameters'!AT$2,'Calculation - NCL and ECL'!$E24:$AN24)</f>
        <v>11.707580964232967</v>
      </c>
      <c r="AU5" s="241">
        <v>10</v>
      </c>
      <c r="AV5" s="242">
        <v>10</v>
      </c>
      <c r="AW5" s="79" t="str">
        <f t="shared" ref="AW5" si="11">IFERROR(IF(AU5=1,$K5,NORMSDIST((1-AK5)^(-0.5)*NORMSINV($K5)+(AK5/(1-AK5))^0.5*NORMSINV(1-(1/AU5)))), "")</f>
        <v/>
      </c>
      <c r="AX5" s="84" t="str">
        <f t="shared" ref="AX5" si="12">IFERROR(IF(AV5=1,$K5,NORMSDIST((1-AK5)^(-0.5)*NORMSINV($K5)+(AK5/(1-AK5))^0.5*NORMSINV(1-(1/AV5)))), "")</f>
        <v/>
      </c>
      <c r="AY5" s="80">
        <f t="shared" si="9"/>
        <v>0</v>
      </c>
      <c r="AZ5" s="80">
        <f t="shared" si="10"/>
        <v>0</v>
      </c>
    </row>
    <row r="6" spans="1:52" x14ac:dyDescent="0.35">
      <c r="AL6" t="s">
        <v>76</v>
      </c>
    </row>
    <row r="7" spans="1:52" x14ac:dyDescent="0.35">
      <c r="L7" s="168"/>
      <c r="M7" s="168"/>
    </row>
    <row r="8" spans="1:52" x14ac:dyDescent="0.35">
      <c r="AB8" s="245"/>
      <c r="AC8" s="245"/>
      <c r="AD8" s="245"/>
      <c r="AE8" s="245"/>
    </row>
    <row r="9" spans="1:52" x14ac:dyDescent="0.35">
      <c r="Q9" s="136"/>
      <c r="R9" s="136"/>
      <c r="S9" s="136"/>
      <c r="T9" s="136"/>
      <c r="AB9" s="230"/>
      <c r="AC9" s="230"/>
      <c r="AD9" s="230"/>
      <c r="AE9" s="230"/>
    </row>
    <row r="10" spans="1:52" x14ac:dyDescent="0.35">
      <c r="Q10" s="136"/>
      <c r="R10" s="136"/>
      <c r="S10" s="136"/>
      <c r="T10" s="136"/>
    </row>
    <row r="11" spans="1:52" x14ac:dyDescent="0.35">
      <c r="Q11" s="236"/>
      <c r="R11" s="236"/>
      <c r="S11" s="236"/>
      <c r="T11" s="236"/>
      <c r="U11" s="236"/>
      <c r="V11" s="236"/>
      <c r="W11" s="236"/>
    </row>
    <row r="12" spans="1:52" x14ac:dyDescent="0.35">
      <c r="J12" s="177"/>
    </row>
  </sheetData>
  <mergeCells count="19">
    <mergeCell ref="B1:D1"/>
    <mergeCell ref="K1:K2"/>
    <mergeCell ref="O1:O2"/>
    <mergeCell ref="L1:N1"/>
    <mergeCell ref="Q1:S1"/>
    <mergeCell ref="E1:G1"/>
    <mergeCell ref="H1:J1"/>
    <mergeCell ref="P1:P2"/>
    <mergeCell ref="AU1:AV1"/>
    <mergeCell ref="AW1:AX1"/>
    <mergeCell ref="AY1:AZ1"/>
    <mergeCell ref="T1:W1"/>
    <mergeCell ref="X1:AA1"/>
    <mergeCell ref="AB1:AE1"/>
    <mergeCell ref="AR1:AT1"/>
    <mergeCell ref="AI1:AK1"/>
    <mergeCell ref="AL1:AN1"/>
    <mergeCell ref="AO1:AQ1"/>
    <mergeCell ref="AF1:AH1"/>
  </mergeCells>
  <hyperlinks>
    <hyperlink ref="A1" location="Index!C11" display="Back - Index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BJ15"/>
  <sheetViews>
    <sheetView showGridLines="0" workbookViewId="0">
      <pane xSplit="2" ySplit="3" topLeftCell="C4" activePane="bottomRight" state="frozen"/>
      <selection pane="topRight" activeCell="C1" sqref="C1"/>
      <selection pane="bottomLeft" activeCell="A3" sqref="A3"/>
      <selection pane="bottomRight" activeCell="I4" sqref="I4"/>
    </sheetView>
  </sheetViews>
  <sheetFormatPr defaultRowHeight="14.5" x14ac:dyDescent="0.35"/>
  <cols>
    <col min="1" max="1" width="17.54296875" bestFit="1" customWidth="1"/>
    <col min="2" max="2" width="11.1796875" bestFit="1" customWidth="1"/>
    <col min="40" max="62" width="0" hidden="1" customWidth="1"/>
  </cols>
  <sheetData>
    <row r="1" spans="1:62" x14ac:dyDescent="0.35">
      <c r="A1" s="122" t="s">
        <v>117</v>
      </c>
      <c r="C1" s="28" t="str">
        <f>LOOKUP(C3,'Input-Stress Parameters'!$C$9:$BJ$9,'Input-Stress Parameters'!$C$11:$BJ$11)</f>
        <v>N</v>
      </c>
      <c r="D1" s="28" t="str">
        <f>LOOKUP(D3,'Input-Stress Parameters'!$C$9:$BJ$9,'Input-Stress Parameters'!$C$11:$BJ$11)</f>
        <v>SL1</v>
      </c>
      <c r="E1" s="28" t="str">
        <f>LOOKUP(E3,'Input-Stress Parameters'!$C$9:$BJ$9,'Input-Stress Parameters'!$C$11:$BJ$11)</f>
        <v>SL1</v>
      </c>
      <c r="F1" s="28" t="str">
        <f>LOOKUP(F3,'Input-Stress Parameters'!$C$9:$BJ$9,'Input-Stress Parameters'!$C$11:$BJ$11)</f>
        <v>SL1</v>
      </c>
      <c r="G1" s="28" t="str">
        <f>LOOKUP(G3,'Input-Stress Parameters'!$C$9:$BJ$9,'Input-Stress Parameters'!$C$11:$BJ$11)</f>
        <v>SL1</v>
      </c>
      <c r="H1" s="28" t="str">
        <f>LOOKUP(H3,'Input-Stress Parameters'!$C$9:$BJ$9,'Input-Stress Parameters'!$C$11:$BJ$11)</f>
        <v>SL1</v>
      </c>
      <c r="I1" s="28" t="str">
        <f>LOOKUP(I3,'Input-Stress Parameters'!$C$9:$BJ$9,'Input-Stress Parameters'!$C$11:$BJ$11)</f>
        <v>SL1</v>
      </c>
      <c r="J1" s="28" t="str">
        <f>LOOKUP(J3,'Input-Stress Parameters'!$C$9:$BJ$9,'Input-Stress Parameters'!$C$11:$BJ$11)</f>
        <v>SL2</v>
      </c>
      <c r="K1" s="28" t="str">
        <f>LOOKUP(K3,'Input-Stress Parameters'!$C$9:$BJ$9,'Input-Stress Parameters'!$C$11:$BJ$11)</f>
        <v>SL2</v>
      </c>
      <c r="L1" s="28" t="str">
        <f>LOOKUP(L3,'Input-Stress Parameters'!$C$9:$BJ$9,'Input-Stress Parameters'!$C$11:$BJ$11)</f>
        <v>SL2</v>
      </c>
      <c r="M1" s="28" t="str">
        <f>LOOKUP(M3,'Input-Stress Parameters'!$C$9:$BJ$9,'Input-Stress Parameters'!$C$11:$BJ$11)</f>
        <v>SL2</v>
      </c>
      <c r="N1" s="28" t="str">
        <f>LOOKUP(N3,'Input-Stress Parameters'!$C$9:$BJ$9,'Input-Stress Parameters'!$C$11:$BJ$11)</f>
        <v>SL2</v>
      </c>
      <c r="O1" s="28" t="str">
        <f>LOOKUP(O3,'Input-Stress Parameters'!$C$9:$BJ$9,'Input-Stress Parameters'!$C$11:$BJ$11)</f>
        <v>SL2</v>
      </c>
      <c r="P1" s="28" t="str">
        <f>LOOKUP(P3,'Input-Stress Parameters'!$C$9:$BJ$9,'Input-Stress Parameters'!$C$11:$BJ$11)</f>
        <v>SL2</v>
      </c>
      <c r="Q1" s="28" t="str">
        <f>LOOKUP(Q3,'Input-Stress Parameters'!$C$9:$BJ$9,'Input-Stress Parameters'!$C$11:$BJ$11)</f>
        <v>SL2</v>
      </c>
      <c r="R1" s="28" t="str">
        <f>LOOKUP(R3,'Input-Stress Parameters'!$C$9:$BJ$9,'Input-Stress Parameters'!$C$11:$BJ$11)</f>
        <v>SL2</v>
      </c>
      <c r="S1" s="28" t="str">
        <f>LOOKUP(S3,'Input-Stress Parameters'!$C$9:$BJ$9,'Input-Stress Parameters'!$C$11:$BJ$11)</f>
        <v>SL2</v>
      </c>
      <c r="T1" s="28" t="str">
        <f>LOOKUP(T3,'Input-Stress Parameters'!$C$9:$BJ$9,'Input-Stress Parameters'!$C$11:$BJ$11)</f>
        <v>SL2</v>
      </c>
      <c r="U1" s="28" t="str">
        <f>LOOKUP(U3,'Input-Stress Parameters'!$C$9:$BJ$9,'Input-Stress Parameters'!$C$11:$BJ$11)</f>
        <v>SL2</v>
      </c>
      <c r="V1" s="28" t="str">
        <f>LOOKUP(V3,'Input-Stress Parameters'!$C$9:$BJ$9,'Input-Stress Parameters'!$C$11:$BJ$11)</f>
        <v>SL3</v>
      </c>
      <c r="W1" s="28" t="str">
        <f>LOOKUP(W3,'Input-Stress Parameters'!$C$9:$BJ$9,'Input-Stress Parameters'!$C$11:$BJ$11)</f>
        <v>SL3</v>
      </c>
      <c r="X1" s="28" t="str">
        <f>LOOKUP(X3,'Input-Stress Parameters'!$C$9:$BJ$9,'Input-Stress Parameters'!$C$11:$BJ$11)</f>
        <v>SL3</v>
      </c>
      <c r="Y1" s="28" t="str">
        <f>LOOKUP(Y3,'Input-Stress Parameters'!$C$9:$BJ$9,'Input-Stress Parameters'!$C$11:$BJ$11)</f>
        <v>SL3</v>
      </c>
      <c r="Z1" s="28" t="str">
        <f>LOOKUP(Z3,'Input-Stress Parameters'!$C$9:$BJ$9,'Input-Stress Parameters'!$C$11:$BJ$11)</f>
        <v>SL3</v>
      </c>
      <c r="AA1" s="28" t="str">
        <f>LOOKUP(AA3,'Input-Stress Parameters'!$C$9:$BJ$9,'Input-Stress Parameters'!$C$11:$BJ$11)</f>
        <v>SL3</v>
      </c>
      <c r="AB1" s="28" t="str">
        <f>LOOKUP(AB3,'Input-Stress Parameters'!$C$9:$BJ$9,'Input-Stress Parameters'!$C$11:$BJ$11)</f>
        <v>SL3</v>
      </c>
      <c r="AC1" s="28" t="str">
        <f>LOOKUP(AC3,'Input-Stress Parameters'!$C$9:$BJ$9,'Input-Stress Parameters'!$C$11:$BJ$11)</f>
        <v>SL3</v>
      </c>
      <c r="AD1" s="28" t="str">
        <f>LOOKUP(AD3,'Input-Stress Parameters'!$C$9:$BJ$9,'Input-Stress Parameters'!$C$11:$BJ$11)</f>
        <v>SL3</v>
      </c>
      <c r="AE1" s="28" t="str">
        <f>LOOKUP(AE3,'Input-Stress Parameters'!$C$9:$BJ$9,'Input-Stress Parameters'!$C$11:$BJ$11)</f>
        <v>SL3</v>
      </c>
      <c r="AF1" s="28" t="str">
        <f>LOOKUP(AF3,'Input-Stress Parameters'!$C$9:$BJ$9,'Input-Stress Parameters'!$C$11:$BJ$11)</f>
        <v>SL3</v>
      </c>
      <c r="AG1" s="28" t="str">
        <f>LOOKUP(AG3,'Input-Stress Parameters'!$C$9:$BJ$9,'Input-Stress Parameters'!$C$11:$BJ$11)</f>
        <v>SL3</v>
      </c>
      <c r="AH1" s="28" t="str">
        <f>LOOKUP(AH3,'Input-Stress Parameters'!$C$9:$BJ$9,'Input-Stress Parameters'!$C$11:$BJ$11)</f>
        <v>N</v>
      </c>
      <c r="AI1" s="28" t="str">
        <f>LOOKUP(AI3,'Input-Stress Parameters'!$C$9:$BJ$9,'Input-Stress Parameters'!$C$11:$BJ$11)</f>
        <v>N</v>
      </c>
      <c r="AJ1" s="28" t="str">
        <f>LOOKUP(AJ3,'Input-Stress Parameters'!$C$9:$BJ$9,'Input-Stress Parameters'!$C$11:$BJ$11)</f>
        <v>N</v>
      </c>
      <c r="AK1" s="28" t="str">
        <f>LOOKUP(AK3,'Input-Stress Parameters'!$C$9:$BJ$9,'Input-Stress Parameters'!$C$11:$BJ$11)</f>
        <v>N</v>
      </c>
      <c r="AL1" s="28" t="str">
        <f>LOOKUP(AL3,'Input-Stress Parameters'!$C$9:$BJ$9,'Input-Stress Parameters'!$C$11:$BJ$11)</f>
        <v>N</v>
      </c>
      <c r="AM1" s="28" t="str">
        <f>LOOKUP(AM3,'Input-Stress Parameters'!$C$9:$BJ$9,'Input-Stress Parameters'!$C$11:$BJ$11)</f>
        <v>N</v>
      </c>
      <c r="AN1" s="28" t="str">
        <f>LOOKUP(AN3,'Input-Stress Parameters'!$C$9:$BJ$9,'Input-Stress Parameters'!$C$11:$BJ$11)</f>
        <v>N</v>
      </c>
      <c r="AO1" s="28" t="str">
        <f>LOOKUP(AO3,'Input-Stress Parameters'!$C$9:$BJ$9,'Input-Stress Parameters'!$C$11:$BJ$11)</f>
        <v>N</v>
      </c>
      <c r="AP1" s="28" t="str">
        <f>LOOKUP(AP3,'Input-Stress Parameters'!$C$9:$BJ$9,'Input-Stress Parameters'!$C$11:$BJ$11)</f>
        <v>N</v>
      </c>
      <c r="AQ1" s="28" t="str">
        <f>LOOKUP(AQ3,'Input-Stress Parameters'!$C$9:$BJ$9,'Input-Stress Parameters'!$C$11:$BJ$11)</f>
        <v>N</v>
      </c>
      <c r="AR1" s="28" t="str">
        <f>LOOKUP(AR3,'Input-Stress Parameters'!$C$9:$BJ$9,'Input-Stress Parameters'!$C$11:$BJ$11)</f>
        <v>N</v>
      </c>
      <c r="AS1" s="28" t="str">
        <f>LOOKUP(AS3,'Input-Stress Parameters'!$C$9:$BJ$9,'Input-Stress Parameters'!$C$11:$BJ$11)</f>
        <v>N</v>
      </c>
      <c r="AT1" s="28" t="str">
        <f>LOOKUP(AT3,'Input-Stress Parameters'!$C$9:$BJ$9,'Input-Stress Parameters'!$C$11:$BJ$11)</f>
        <v>N</v>
      </c>
      <c r="AU1" s="28" t="str">
        <f>LOOKUP(AU3,'Input-Stress Parameters'!$C$9:$BJ$9,'Input-Stress Parameters'!$C$11:$BJ$11)</f>
        <v>N</v>
      </c>
      <c r="AV1" s="28" t="str">
        <f>LOOKUP(AV3,'Input-Stress Parameters'!$C$9:$BJ$9,'Input-Stress Parameters'!$C$11:$BJ$11)</f>
        <v>N</v>
      </c>
      <c r="AW1" s="28" t="str">
        <f>LOOKUP(AW3,'Input-Stress Parameters'!$C$9:$BJ$9,'Input-Stress Parameters'!$C$11:$BJ$11)</f>
        <v>N</v>
      </c>
      <c r="AX1" s="28" t="str">
        <f>LOOKUP(AX3,'Input-Stress Parameters'!$C$9:$BJ$9,'Input-Stress Parameters'!$C$11:$BJ$11)</f>
        <v>N</v>
      </c>
      <c r="AY1" s="28" t="str">
        <f>LOOKUP(AY3,'Input-Stress Parameters'!$C$9:$BJ$9,'Input-Stress Parameters'!$C$11:$BJ$11)</f>
        <v>N</v>
      </c>
      <c r="AZ1" s="28" t="str">
        <f>LOOKUP(AZ3,'Input-Stress Parameters'!$C$9:$BJ$9,'Input-Stress Parameters'!$C$11:$BJ$11)</f>
        <v>N</v>
      </c>
      <c r="BA1" s="28" t="str">
        <f>LOOKUP(BA3,'Input-Stress Parameters'!$C$9:$BJ$9,'Input-Stress Parameters'!$C$11:$BJ$11)</f>
        <v>N</v>
      </c>
      <c r="BB1" s="28" t="str">
        <f>LOOKUP(BB3,'Input-Stress Parameters'!$C$9:$BJ$9,'Input-Stress Parameters'!$C$11:$BJ$11)</f>
        <v>N</v>
      </c>
      <c r="BC1" s="28" t="str">
        <f>LOOKUP(BC3,'Input-Stress Parameters'!$C$9:$BJ$9,'Input-Stress Parameters'!$C$11:$BJ$11)</f>
        <v>N</v>
      </c>
      <c r="BD1" s="28" t="str">
        <f>LOOKUP(BD3,'Input-Stress Parameters'!$C$9:$BJ$9,'Input-Stress Parameters'!$C$11:$BJ$11)</f>
        <v>N</v>
      </c>
      <c r="BE1" s="28" t="str">
        <f>LOOKUP(BE3,'Input-Stress Parameters'!$C$9:$BJ$9,'Input-Stress Parameters'!$C$11:$BJ$11)</f>
        <v>N</v>
      </c>
      <c r="BF1" s="28" t="str">
        <f>LOOKUP(BF3,'Input-Stress Parameters'!$C$9:$BJ$9,'Input-Stress Parameters'!$C$11:$BJ$11)</f>
        <v>N</v>
      </c>
      <c r="BG1" s="28" t="str">
        <f>LOOKUP(BG3,'Input-Stress Parameters'!$C$9:$BJ$9,'Input-Stress Parameters'!$C$11:$BJ$11)</f>
        <v>N</v>
      </c>
      <c r="BH1" s="28" t="str">
        <f>LOOKUP(BH3,'Input-Stress Parameters'!$C$9:$BJ$9,'Input-Stress Parameters'!$C$11:$BJ$11)</f>
        <v>N</v>
      </c>
      <c r="BI1" s="28" t="str">
        <f>LOOKUP(BI3,'Input-Stress Parameters'!$C$9:$BJ$9,'Input-Stress Parameters'!$C$11:$BJ$11)</f>
        <v>N</v>
      </c>
      <c r="BJ1" s="28" t="str">
        <f>LOOKUP(BJ3,'Input-Stress Parameters'!$C$9:$BJ$9,'Input-Stress Parameters'!$C$11:$BJ$11)</f>
        <v>N</v>
      </c>
    </row>
    <row r="2" spans="1:62" x14ac:dyDescent="0.35">
      <c r="A2" s="122"/>
      <c r="C2" s="28" t="str">
        <f>LOOKUP($C$3:$BJ$3,'Input-Stress Parameters'!$C$27:$BJ$27,'Input-Stress Parameters'!$C$28:$BJ$28)</f>
        <v>N</v>
      </c>
      <c r="D2" s="28" t="str">
        <f>LOOKUP($C$3:$BJ$3,'Input-Stress Parameters'!$C$27:$BJ$27,'Input-Stress Parameters'!$C$28:$BJ$28)</f>
        <v>SL1</v>
      </c>
      <c r="E2" s="28" t="str">
        <f>LOOKUP($C$3:$BJ$3,'Input-Stress Parameters'!$C$27:$BJ$27,'Input-Stress Parameters'!$C$28:$BJ$28)</f>
        <v>SL1</v>
      </c>
      <c r="F2" s="28" t="str">
        <f>LOOKUP($C$3:$BJ$3,'Input-Stress Parameters'!$C$27:$BJ$27,'Input-Stress Parameters'!$C$28:$BJ$28)</f>
        <v>SL1</v>
      </c>
      <c r="G2" s="28" t="str">
        <f>LOOKUP($C$3:$BJ$3,'Input-Stress Parameters'!$C$27:$BJ$27,'Input-Stress Parameters'!$C$28:$BJ$28)</f>
        <v>SL1</v>
      </c>
      <c r="H2" s="28" t="str">
        <f>LOOKUP($C$3:$BJ$3,'Input-Stress Parameters'!$C$27:$BJ$27,'Input-Stress Parameters'!$C$28:$BJ$28)</f>
        <v>SL1</v>
      </c>
      <c r="I2" s="28" t="str">
        <f>LOOKUP($C$3:$BJ$3,'Input-Stress Parameters'!$C$27:$BJ$27,'Input-Stress Parameters'!$C$28:$BJ$28)</f>
        <v>SL1</v>
      </c>
      <c r="J2" s="28" t="str">
        <f>LOOKUP($C$3:$BJ$3,'Input-Stress Parameters'!$C$27:$BJ$27,'Input-Stress Parameters'!$C$28:$BJ$28)</f>
        <v>SL2</v>
      </c>
      <c r="K2" s="28" t="str">
        <f>LOOKUP($C$3:$BJ$3,'Input-Stress Parameters'!$C$27:$BJ$27,'Input-Stress Parameters'!$C$28:$BJ$28)</f>
        <v>SL2</v>
      </c>
      <c r="L2" s="28" t="str">
        <f>LOOKUP($C$3:$BJ$3,'Input-Stress Parameters'!$C$27:$BJ$27,'Input-Stress Parameters'!$C$28:$BJ$28)</f>
        <v>SL2</v>
      </c>
      <c r="M2" s="28" t="str">
        <f>LOOKUP($C$3:$BJ$3,'Input-Stress Parameters'!$C$27:$BJ$27,'Input-Stress Parameters'!$C$28:$BJ$28)</f>
        <v>SL2</v>
      </c>
      <c r="N2" s="28" t="str">
        <f>LOOKUP($C$3:$BJ$3,'Input-Stress Parameters'!$C$27:$BJ$27,'Input-Stress Parameters'!$C$28:$BJ$28)</f>
        <v>SL2</v>
      </c>
      <c r="O2" s="28" t="str">
        <f>LOOKUP($C$3:$BJ$3,'Input-Stress Parameters'!$C$27:$BJ$27,'Input-Stress Parameters'!$C$28:$BJ$28)</f>
        <v>SL2</v>
      </c>
      <c r="P2" s="28" t="str">
        <f>LOOKUP($C$3:$BJ$3,'Input-Stress Parameters'!$C$27:$BJ$27,'Input-Stress Parameters'!$C$28:$BJ$28)</f>
        <v>SL2</v>
      </c>
      <c r="Q2" s="28" t="str">
        <f>LOOKUP($C$3:$BJ$3,'Input-Stress Parameters'!$C$27:$BJ$27,'Input-Stress Parameters'!$C$28:$BJ$28)</f>
        <v>SL2</v>
      </c>
      <c r="R2" s="28" t="str">
        <f>LOOKUP($C$3:$BJ$3,'Input-Stress Parameters'!$C$27:$BJ$27,'Input-Stress Parameters'!$C$28:$BJ$28)</f>
        <v>SL2</v>
      </c>
      <c r="S2" s="28" t="str">
        <f>LOOKUP($C$3:$BJ$3,'Input-Stress Parameters'!$C$27:$BJ$27,'Input-Stress Parameters'!$C$28:$BJ$28)</f>
        <v>SL2</v>
      </c>
      <c r="T2" s="28" t="str">
        <f>LOOKUP($C$3:$BJ$3,'Input-Stress Parameters'!$C$27:$BJ$27,'Input-Stress Parameters'!$C$28:$BJ$28)</f>
        <v>SL2</v>
      </c>
      <c r="U2" s="28" t="str">
        <f>LOOKUP($C$3:$BJ$3,'Input-Stress Parameters'!$C$27:$BJ$27,'Input-Stress Parameters'!$C$28:$BJ$28)</f>
        <v>SL2</v>
      </c>
      <c r="V2" s="28" t="str">
        <f>LOOKUP($C$3:$BJ$3,'Input-Stress Parameters'!$C$27:$BJ$27,'Input-Stress Parameters'!$C$28:$BJ$28)</f>
        <v>SL31</v>
      </c>
      <c r="W2" s="28" t="str">
        <f>LOOKUP($C$3:$BJ$3,'Input-Stress Parameters'!$C$27:$BJ$27,'Input-Stress Parameters'!$C$28:$BJ$28)</f>
        <v>SL31</v>
      </c>
      <c r="X2" s="28" t="str">
        <f>LOOKUP($C$3:$BJ$3,'Input-Stress Parameters'!$C$27:$BJ$27,'Input-Stress Parameters'!$C$28:$BJ$28)</f>
        <v>SL31</v>
      </c>
      <c r="Y2" s="28" t="str">
        <f>LOOKUP($C$3:$BJ$3,'Input-Stress Parameters'!$C$27:$BJ$27,'Input-Stress Parameters'!$C$28:$BJ$28)</f>
        <v>SL31</v>
      </c>
      <c r="Z2" s="28" t="str">
        <f>LOOKUP($C$3:$BJ$3,'Input-Stress Parameters'!$C$27:$BJ$27,'Input-Stress Parameters'!$C$28:$BJ$28)</f>
        <v>SL31</v>
      </c>
      <c r="AA2" s="28" t="str">
        <f>LOOKUP($C$3:$BJ$3,'Input-Stress Parameters'!$C$27:$BJ$27,'Input-Stress Parameters'!$C$28:$BJ$28)</f>
        <v>SL31</v>
      </c>
      <c r="AB2" s="28" t="str">
        <f>LOOKUP($C$3:$BJ$3,'Input-Stress Parameters'!$C$27:$BJ$27,'Input-Stress Parameters'!$C$28:$BJ$28)</f>
        <v>SL32</v>
      </c>
      <c r="AC2" s="28" t="str">
        <f>LOOKUP($C$3:$BJ$3,'Input-Stress Parameters'!$C$27:$BJ$27,'Input-Stress Parameters'!$C$28:$BJ$28)</f>
        <v>SL32</v>
      </c>
      <c r="AD2" s="28" t="str">
        <f>LOOKUP($C$3:$BJ$3,'Input-Stress Parameters'!$C$27:$BJ$27,'Input-Stress Parameters'!$C$28:$BJ$28)</f>
        <v>SL32</v>
      </c>
      <c r="AE2" s="28" t="str">
        <f>LOOKUP($C$3:$BJ$3,'Input-Stress Parameters'!$C$27:$BJ$27,'Input-Stress Parameters'!$C$28:$BJ$28)</f>
        <v>SL32</v>
      </c>
      <c r="AF2" s="28" t="str">
        <f>LOOKUP($C$3:$BJ$3,'Input-Stress Parameters'!$C$27:$BJ$27,'Input-Stress Parameters'!$C$28:$BJ$28)</f>
        <v>SL32</v>
      </c>
      <c r="AG2" s="28" t="str">
        <f>LOOKUP($C$3:$BJ$3,'Input-Stress Parameters'!$C$27:$BJ$27,'Input-Stress Parameters'!$C$28:$BJ$28)</f>
        <v>SL32</v>
      </c>
      <c r="AH2" s="28" t="str">
        <f>LOOKUP($C$3:$BJ$3,'Input-Stress Parameters'!$C$27:$BJ$27,'Input-Stress Parameters'!$C$28:$BJ$28)</f>
        <v>N</v>
      </c>
      <c r="AI2" s="28" t="str">
        <f>LOOKUP($C$3:$BJ$3,'Input-Stress Parameters'!$C$27:$BJ$27,'Input-Stress Parameters'!$C$28:$BJ$28)</f>
        <v>N</v>
      </c>
      <c r="AJ2" s="28" t="str">
        <f>LOOKUP($C$3:$BJ$3,'Input-Stress Parameters'!$C$27:$BJ$27,'Input-Stress Parameters'!$C$28:$BJ$28)</f>
        <v>N</v>
      </c>
      <c r="AK2" s="28" t="str">
        <f>LOOKUP($C$3:$BJ$3,'Input-Stress Parameters'!$C$27:$BJ$27,'Input-Stress Parameters'!$C$28:$BJ$28)</f>
        <v>N</v>
      </c>
      <c r="AL2" s="28" t="str">
        <f>LOOKUP($C$3:$BJ$3,'Input-Stress Parameters'!$C$27:$BJ$27,'Input-Stress Parameters'!$C$28:$BJ$28)</f>
        <v>N</v>
      </c>
      <c r="AM2" s="28" t="str">
        <f>LOOKUP($C$3:$BJ$3,'Input-Stress Parameters'!$C$27:$BJ$27,'Input-Stress Parameters'!$C$28:$BJ$28)</f>
        <v>N</v>
      </c>
      <c r="AN2" s="28" t="str">
        <f>LOOKUP($C$3:$BJ$3,'Input-Stress Parameters'!$C$27:$BJ$27,'Input-Stress Parameters'!$C$28:$BJ$28)</f>
        <v>N</v>
      </c>
      <c r="AO2" s="28" t="str">
        <f>LOOKUP($C$3:$BJ$3,'Input-Stress Parameters'!$C$27:$BJ$27,'Input-Stress Parameters'!$C$28:$BJ$28)</f>
        <v>N</v>
      </c>
      <c r="AP2" s="28" t="str">
        <f>LOOKUP($C$3:$BJ$3,'Input-Stress Parameters'!$C$27:$BJ$27,'Input-Stress Parameters'!$C$28:$BJ$28)</f>
        <v>N</v>
      </c>
      <c r="AQ2" s="28" t="str">
        <f>LOOKUP($C$3:$BJ$3,'Input-Stress Parameters'!$C$27:$BJ$27,'Input-Stress Parameters'!$C$28:$BJ$28)</f>
        <v>N</v>
      </c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</row>
    <row r="3" spans="1:62" x14ac:dyDescent="0.35">
      <c r="A3" s="25" t="s">
        <v>48</v>
      </c>
      <c r="B3" s="4" t="s">
        <v>3</v>
      </c>
      <c r="C3" s="19">
        <f>'Input-Stress Parameters'!C2</f>
        <v>45352</v>
      </c>
      <c r="D3" s="20">
        <f>EDATE(C3,1)</f>
        <v>45383</v>
      </c>
      <c r="E3" s="20">
        <f>EDATE(D3,1)</f>
        <v>45413</v>
      </c>
      <c r="F3" s="20">
        <f>EDATE(E3,1)</f>
        <v>45444</v>
      </c>
      <c r="G3" s="20">
        <f t="shared" ref="G3:BJ3" si="0">EDATE(F3,1)</f>
        <v>45474</v>
      </c>
      <c r="H3" s="20">
        <f t="shared" si="0"/>
        <v>45505</v>
      </c>
      <c r="I3" s="20">
        <f t="shared" si="0"/>
        <v>45536</v>
      </c>
      <c r="J3" s="20">
        <f t="shared" si="0"/>
        <v>45566</v>
      </c>
      <c r="K3" s="20">
        <f t="shared" si="0"/>
        <v>45597</v>
      </c>
      <c r="L3" s="20">
        <f t="shared" si="0"/>
        <v>45627</v>
      </c>
      <c r="M3" s="20">
        <f t="shared" si="0"/>
        <v>45658</v>
      </c>
      <c r="N3" s="20">
        <f t="shared" si="0"/>
        <v>45689</v>
      </c>
      <c r="O3" s="21">
        <f t="shared" si="0"/>
        <v>45717</v>
      </c>
      <c r="P3" s="20">
        <f t="shared" si="0"/>
        <v>45748</v>
      </c>
      <c r="Q3" s="20">
        <f t="shared" si="0"/>
        <v>45778</v>
      </c>
      <c r="R3" s="20">
        <f t="shared" si="0"/>
        <v>45809</v>
      </c>
      <c r="S3" s="20">
        <f t="shared" si="0"/>
        <v>45839</v>
      </c>
      <c r="T3" s="20">
        <f t="shared" si="0"/>
        <v>45870</v>
      </c>
      <c r="U3" s="20">
        <f t="shared" si="0"/>
        <v>45901</v>
      </c>
      <c r="V3" s="20">
        <f t="shared" si="0"/>
        <v>45931</v>
      </c>
      <c r="W3" s="20">
        <f t="shared" si="0"/>
        <v>45962</v>
      </c>
      <c r="X3" s="20">
        <f t="shared" si="0"/>
        <v>45992</v>
      </c>
      <c r="Y3" s="20">
        <f t="shared" si="0"/>
        <v>46023</v>
      </c>
      <c r="Z3" s="20">
        <f t="shared" si="0"/>
        <v>46054</v>
      </c>
      <c r="AA3" s="21">
        <f t="shared" si="0"/>
        <v>46082</v>
      </c>
      <c r="AB3" s="20">
        <f t="shared" si="0"/>
        <v>46113</v>
      </c>
      <c r="AC3" s="20">
        <f t="shared" si="0"/>
        <v>46143</v>
      </c>
      <c r="AD3" s="20">
        <f t="shared" si="0"/>
        <v>46174</v>
      </c>
      <c r="AE3" s="20">
        <f t="shared" si="0"/>
        <v>46204</v>
      </c>
      <c r="AF3" s="20">
        <f t="shared" si="0"/>
        <v>46235</v>
      </c>
      <c r="AG3" s="20">
        <f t="shared" si="0"/>
        <v>46266</v>
      </c>
      <c r="AH3" s="20">
        <f t="shared" si="0"/>
        <v>46296</v>
      </c>
      <c r="AI3" s="20">
        <f t="shared" si="0"/>
        <v>46327</v>
      </c>
      <c r="AJ3" s="20">
        <f t="shared" si="0"/>
        <v>46357</v>
      </c>
      <c r="AK3" s="20">
        <f t="shared" si="0"/>
        <v>46388</v>
      </c>
      <c r="AL3" s="20">
        <f t="shared" si="0"/>
        <v>46419</v>
      </c>
      <c r="AM3" s="21">
        <f t="shared" si="0"/>
        <v>46447</v>
      </c>
      <c r="AN3" s="20">
        <f t="shared" si="0"/>
        <v>46478</v>
      </c>
      <c r="AO3" s="20">
        <f t="shared" si="0"/>
        <v>46508</v>
      </c>
      <c r="AP3" s="20">
        <f t="shared" si="0"/>
        <v>46539</v>
      </c>
      <c r="AQ3" s="20">
        <f t="shared" si="0"/>
        <v>46569</v>
      </c>
      <c r="AR3" s="20">
        <f t="shared" si="0"/>
        <v>46600</v>
      </c>
      <c r="AS3" s="20">
        <f t="shared" si="0"/>
        <v>46631</v>
      </c>
      <c r="AT3" s="20">
        <f t="shared" si="0"/>
        <v>46661</v>
      </c>
      <c r="AU3" s="20">
        <f t="shared" si="0"/>
        <v>46692</v>
      </c>
      <c r="AV3" s="20">
        <f t="shared" si="0"/>
        <v>46722</v>
      </c>
      <c r="AW3" s="20">
        <f t="shared" si="0"/>
        <v>46753</v>
      </c>
      <c r="AX3" s="21">
        <f t="shared" si="0"/>
        <v>46784</v>
      </c>
      <c r="AY3" s="20">
        <f t="shared" si="0"/>
        <v>46813</v>
      </c>
      <c r="AZ3" s="20">
        <f t="shared" si="0"/>
        <v>46844</v>
      </c>
      <c r="BA3" s="20">
        <f t="shared" si="0"/>
        <v>46874</v>
      </c>
      <c r="BB3" s="20">
        <f t="shared" si="0"/>
        <v>46905</v>
      </c>
      <c r="BC3" s="20">
        <f t="shared" si="0"/>
        <v>46935</v>
      </c>
      <c r="BD3" s="20">
        <f t="shared" si="0"/>
        <v>46966</v>
      </c>
      <c r="BE3" s="20">
        <f t="shared" si="0"/>
        <v>46997</v>
      </c>
      <c r="BF3" s="20">
        <f t="shared" si="0"/>
        <v>47027</v>
      </c>
      <c r="BG3" s="20">
        <f t="shared" si="0"/>
        <v>47058</v>
      </c>
      <c r="BH3" s="20">
        <f t="shared" si="0"/>
        <v>47088</v>
      </c>
      <c r="BI3" s="20">
        <f t="shared" si="0"/>
        <v>47119</v>
      </c>
      <c r="BJ3" s="21">
        <f t="shared" si="0"/>
        <v>47150</v>
      </c>
    </row>
    <row r="4" spans="1:62" x14ac:dyDescent="0.35">
      <c r="A4" s="15" t="s">
        <v>48</v>
      </c>
      <c r="B4" s="15" t="s">
        <v>188</v>
      </c>
      <c r="C4" s="16">
        <f>SUM(C5:C7)</f>
        <v>66.31761060686307</v>
      </c>
      <c r="D4" s="17">
        <f t="shared" ref="D4:BJ4" si="1">SUM(D5:D7)</f>
        <v>51.307871255424573</v>
      </c>
      <c r="E4" s="17">
        <f t="shared" si="1"/>
        <v>25.675156296275546</v>
      </c>
      <c r="F4" s="17">
        <f t="shared" si="1"/>
        <v>31.629913628535306</v>
      </c>
      <c r="G4" s="17">
        <f t="shared" si="1"/>
        <v>30.590689564699815</v>
      </c>
      <c r="H4" s="17">
        <f t="shared" si="1"/>
        <v>32.489024621378725</v>
      </c>
      <c r="I4" s="17">
        <f t="shared" si="1"/>
        <v>25.750284208365322</v>
      </c>
      <c r="J4" s="17">
        <f t="shared" si="1"/>
        <v>40.713513754974493</v>
      </c>
      <c r="K4" s="17">
        <f t="shared" si="1"/>
        <v>24.306124231818536</v>
      </c>
      <c r="L4" s="17">
        <f t="shared" si="1"/>
        <v>52.413117102826071</v>
      </c>
      <c r="M4" s="17">
        <f t="shared" si="1"/>
        <v>61.406336414163775</v>
      </c>
      <c r="N4" s="17">
        <f t="shared" si="1"/>
        <v>23.489753094520424</v>
      </c>
      <c r="O4" s="18">
        <f t="shared" si="1"/>
        <v>24.056205591496024</v>
      </c>
      <c r="P4" s="17">
        <f t="shared" si="1"/>
        <v>28.647890734691419</v>
      </c>
      <c r="Q4" s="17">
        <f t="shared" si="1"/>
        <v>36.436676858570252</v>
      </c>
      <c r="R4" s="17">
        <f t="shared" si="1"/>
        <v>52.407338086687211</v>
      </c>
      <c r="S4" s="17">
        <f t="shared" si="1"/>
        <v>74.342890649535121</v>
      </c>
      <c r="T4" s="17">
        <f t="shared" si="1"/>
        <v>34.118660732586385</v>
      </c>
      <c r="U4" s="17">
        <f t="shared" si="1"/>
        <v>37.804545925516472</v>
      </c>
      <c r="V4" s="17">
        <f t="shared" si="1"/>
        <v>13.095760275830312</v>
      </c>
      <c r="W4" s="17">
        <f t="shared" si="1"/>
        <v>21.801990523169991</v>
      </c>
      <c r="X4" s="17">
        <f t="shared" si="1"/>
        <v>22.417395670746934</v>
      </c>
      <c r="Y4" s="17">
        <f t="shared" si="1"/>
        <v>23.042723087261855</v>
      </c>
      <c r="Z4" s="17">
        <f t="shared" si="1"/>
        <v>19.806281822727904</v>
      </c>
      <c r="AA4" s="18">
        <f t="shared" si="1"/>
        <v>19.713714867644672</v>
      </c>
      <c r="AB4" s="17">
        <f t="shared" si="1"/>
        <v>57.261384630208468</v>
      </c>
      <c r="AC4" s="17">
        <f t="shared" si="1"/>
        <v>29.090697136512741</v>
      </c>
      <c r="AD4" s="17">
        <f t="shared" si="1"/>
        <v>37.240992764531832</v>
      </c>
      <c r="AE4" s="17">
        <f t="shared" si="1"/>
        <v>43.114229039957777</v>
      </c>
      <c r="AF4" s="17">
        <f t="shared" si="1"/>
        <v>38.766236466113561</v>
      </c>
      <c r="AG4" s="17">
        <f t="shared" si="1"/>
        <v>33.903692916280725</v>
      </c>
      <c r="AH4" s="17">
        <f t="shared" si="1"/>
        <v>48.807195646759311</v>
      </c>
      <c r="AI4" s="17">
        <f t="shared" si="1"/>
        <v>44.738249694582066</v>
      </c>
      <c r="AJ4" s="17">
        <f t="shared" si="1"/>
        <v>44.903368961268939</v>
      </c>
      <c r="AK4" s="17">
        <f t="shared" si="1"/>
        <v>47.831503614291499</v>
      </c>
      <c r="AL4" s="17">
        <f t="shared" si="1"/>
        <v>49.101167485892894</v>
      </c>
      <c r="AM4" s="18">
        <f t="shared" si="1"/>
        <v>53.078238252947656</v>
      </c>
      <c r="AN4" s="17" t="e">
        <f t="shared" si="1"/>
        <v>#DIV/0!</v>
      </c>
      <c r="AO4" s="17" t="e">
        <f t="shared" si="1"/>
        <v>#DIV/0!</v>
      </c>
      <c r="AP4" s="17" t="e">
        <f t="shared" si="1"/>
        <v>#DIV/0!</v>
      </c>
      <c r="AQ4" s="17" t="e">
        <f t="shared" si="1"/>
        <v>#DIV/0!</v>
      </c>
      <c r="AR4" s="17" t="e">
        <f t="shared" si="1"/>
        <v>#DIV/0!</v>
      </c>
      <c r="AS4" s="17" t="e">
        <f t="shared" si="1"/>
        <v>#DIV/0!</v>
      </c>
      <c r="AT4" s="17" t="e">
        <f t="shared" si="1"/>
        <v>#DIV/0!</v>
      </c>
      <c r="AU4" s="17" t="e">
        <f t="shared" si="1"/>
        <v>#DIV/0!</v>
      </c>
      <c r="AV4" s="17" t="e">
        <f t="shared" si="1"/>
        <v>#DIV/0!</v>
      </c>
      <c r="AW4" s="17" t="e">
        <f t="shared" si="1"/>
        <v>#DIV/0!</v>
      </c>
      <c r="AX4" s="18" t="e">
        <f t="shared" si="1"/>
        <v>#DIV/0!</v>
      </c>
      <c r="AY4" s="17" t="e">
        <f t="shared" si="1"/>
        <v>#DIV/0!</v>
      </c>
      <c r="AZ4" s="17" t="e">
        <f t="shared" si="1"/>
        <v>#DIV/0!</v>
      </c>
      <c r="BA4" s="17" t="e">
        <f t="shared" si="1"/>
        <v>#DIV/0!</v>
      </c>
      <c r="BB4" s="17" t="e">
        <f t="shared" si="1"/>
        <v>#DIV/0!</v>
      </c>
      <c r="BC4" s="17" t="e">
        <f t="shared" si="1"/>
        <v>#DIV/0!</v>
      </c>
      <c r="BD4" s="17" t="e">
        <f t="shared" si="1"/>
        <v>#DIV/0!</v>
      </c>
      <c r="BE4" s="17" t="e">
        <f t="shared" si="1"/>
        <v>#DIV/0!</v>
      </c>
      <c r="BF4" s="17" t="e">
        <f t="shared" si="1"/>
        <v>#DIV/0!</v>
      </c>
      <c r="BG4" s="17" t="e">
        <f t="shared" si="1"/>
        <v>#DIV/0!</v>
      </c>
      <c r="BH4" s="17" t="e">
        <f t="shared" si="1"/>
        <v>#DIV/0!</v>
      </c>
      <c r="BI4" s="17" t="e">
        <f t="shared" si="1"/>
        <v>#DIV/0!</v>
      </c>
      <c r="BJ4" s="18" t="e">
        <f t="shared" si="1"/>
        <v>#DIV/0!</v>
      </c>
    </row>
    <row r="5" spans="1:62" x14ac:dyDescent="0.35">
      <c r="A5" s="1" t="s">
        <v>48</v>
      </c>
      <c r="B5" s="1" t="s">
        <v>157</v>
      </c>
      <c r="C5" s="251">
        <f>'Input - ENR'!C4*C11/'Input - ENR'!C10</f>
        <v>27.583751918216553</v>
      </c>
      <c r="D5" s="44">
        <f>'Input - ENR'!D4*D11/'Input - ENR'!D10</f>
        <v>36.14611963399841</v>
      </c>
      <c r="E5" s="44">
        <f>'Input - ENR'!E4*E11/'Input - ENR'!E10</f>
        <v>10.858758401270087</v>
      </c>
      <c r="F5" s="44">
        <f>'Input - ENR'!F4*F11/'Input - ENR'!F10</f>
        <v>16.20542000510401</v>
      </c>
      <c r="G5" s="44">
        <f>'Input - ENR'!G4*G11/'Input - ENR'!G10</f>
        <v>12.178064580183181</v>
      </c>
      <c r="H5" s="44">
        <f>'Input - ENR'!H4*H11/'Input - ENR'!H10</f>
        <v>16.900141152958685</v>
      </c>
      <c r="I5" s="44">
        <f>'Input - ENR'!I4*I11/'Input - ENR'!I10</f>
        <v>10.938921582717326</v>
      </c>
      <c r="J5" s="44">
        <f>'Input - ENR'!J4*J11/'Input - ENR'!J10</f>
        <v>22.338596932335523</v>
      </c>
      <c r="K5" s="44">
        <f>'Input - ENR'!K4*K11/'Input - ENR'!K10</f>
        <v>12.264258587869136</v>
      </c>
      <c r="L5" s="44">
        <f>'Input - ENR'!L4*L11/'Input - ENR'!L10</f>
        <v>11.206526143259547</v>
      </c>
      <c r="M5" s="44">
        <f>'Input - ENR'!M4*M11/'Input - ENR'!M10</f>
        <v>13.010698044124684</v>
      </c>
      <c r="N5" s="44">
        <f>'Input - ENR'!N4*N11/'Input - ENR'!N10</f>
        <v>11.06861515891123</v>
      </c>
      <c r="O5" s="45">
        <f>'Input - ENR'!O4*O11/'Input - ENR'!O10</f>
        <v>11.917303381887926</v>
      </c>
      <c r="P5" s="44">
        <f>'Input - ENR'!P4*P11/'Input - ENR'!P10</f>
        <v>14.734924188391233</v>
      </c>
      <c r="Q5" s="44">
        <f>'Input - ENR'!Q4*Q11/'Input - ENR'!Q10</f>
        <v>20.718119695314478</v>
      </c>
      <c r="R5" s="44">
        <f>'Input - ENR'!R4*R11/'Input - ENR'!R10</f>
        <v>23.373465493135964</v>
      </c>
      <c r="S5" s="44">
        <f>'Input - ENR'!S4*S11/'Input - ENR'!S10</f>
        <v>61.274185292232225</v>
      </c>
      <c r="T5" s="44">
        <f>'Input - ENR'!T4*T11/'Input - ENR'!T10</f>
        <v>16.486290941464798</v>
      </c>
      <c r="U5" s="44">
        <f>'Input - ENR'!U4*U11/'Input - ENR'!U10</f>
        <v>15.362983149180401</v>
      </c>
      <c r="V5" s="44">
        <f>'Input - ENR'!V4*V11/'Input - ENR'!V10</f>
        <v>8.3493541456732689</v>
      </c>
      <c r="W5" s="44">
        <f>'Input - ENR'!W4*W11/'Input - ENR'!W10</f>
        <v>16.064621567739138</v>
      </c>
      <c r="X5" s="44">
        <f>'Input - ENR'!X4*X11/'Input - ENR'!X10</f>
        <v>12.966708224929198</v>
      </c>
      <c r="Y5" s="44">
        <f>'Input - ENR'!Y4*Y11/'Input - ENR'!Y10</f>
        <v>14.483071579694807</v>
      </c>
      <c r="Z5" s="44">
        <f>'Input - ENR'!Z4*Z11/'Input - ENR'!Z10</f>
        <v>11.845518714564632</v>
      </c>
      <c r="AA5" s="45">
        <f>'Input - ENR'!AA4*AA11/'Input - ENR'!AA10</f>
        <v>14.01694065025397</v>
      </c>
      <c r="AB5" s="44">
        <f>'Input - ENR'!AB4*AB11/'Input - ENR'!AB10</f>
        <v>46.998083681864564</v>
      </c>
      <c r="AC5" s="44">
        <f>'Input - ENR'!AC4*AC11/'Input - ENR'!AC10</f>
        <v>18.486572248598033</v>
      </c>
      <c r="AD5" s="44">
        <f>'Input - ENR'!AD4*AD11/'Input - ENR'!AD10</f>
        <v>21.051100594359333</v>
      </c>
      <c r="AE5" s="44">
        <f>'Input - ENR'!AE4*AE11/'Input - ENR'!AE10</f>
        <v>30.175022087313742</v>
      </c>
      <c r="AF5" s="44">
        <f>'Input - ENR'!AF4*AF11/'Input - ENR'!AF10</f>
        <v>28.864041782871425</v>
      </c>
      <c r="AG5" s="44">
        <f>'Input - ENR'!AG4*AG11/'Input - ENR'!AG10</f>
        <v>23.492273730251362</v>
      </c>
      <c r="AH5" s="44">
        <f>AH11</f>
        <v>35.40599185854763</v>
      </c>
      <c r="AI5" s="44">
        <f t="shared" ref="AI5:AM5" si="2">AI11</f>
        <v>29.69593560149233</v>
      </c>
      <c r="AJ5" s="44">
        <f t="shared" si="2"/>
        <v>31.494280011866945</v>
      </c>
      <c r="AK5" s="44">
        <f t="shared" si="2"/>
        <v>34.208306030585447</v>
      </c>
      <c r="AL5" s="44">
        <f t="shared" si="2"/>
        <v>34.609581262686561</v>
      </c>
      <c r="AM5" s="45">
        <f t="shared" si="2"/>
        <v>38.102161261348769</v>
      </c>
      <c r="AN5" s="44" t="e">
        <f>'Input - ENR'!AN4*AN11/'Input - ENR'!AN10</f>
        <v>#DIV/0!</v>
      </c>
      <c r="AO5" s="44" t="e">
        <f>'Input - ENR'!AO4*AO11/'Input - ENR'!AO10</f>
        <v>#DIV/0!</v>
      </c>
      <c r="AP5" s="44" t="e">
        <f>'Input - ENR'!AP4*AP11/'Input - ENR'!AP10</f>
        <v>#DIV/0!</v>
      </c>
      <c r="AQ5" s="44" t="e">
        <f>'Input - ENR'!AQ4*AQ11/'Input - ENR'!AQ10</f>
        <v>#DIV/0!</v>
      </c>
      <c r="AR5" s="44" t="e">
        <f>'Input - ENR'!AR4*AR11/'Input - ENR'!AR10</f>
        <v>#DIV/0!</v>
      </c>
      <c r="AS5" s="44" t="e">
        <f>'Input - ENR'!AS4*AS11/'Input - ENR'!AS10</f>
        <v>#DIV/0!</v>
      </c>
      <c r="AT5" s="44" t="e">
        <f>'Input - ENR'!AT4*AT11/'Input - ENR'!AT10</f>
        <v>#DIV/0!</v>
      </c>
      <c r="AU5" s="44" t="e">
        <f>'Input - ENR'!AU4*AU11/'Input - ENR'!AU10</f>
        <v>#DIV/0!</v>
      </c>
      <c r="AV5" s="44" t="e">
        <f>'Input - ENR'!AV4*AV11/'Input - ENR'!AV10</f>
        <v>#DIV/0!</v>
      </c>
      <c r="AW5" s="44" t="e">
        <f>'Input - ENR'!AW4*AW11/'Input - ENR'!AW10</f>
        <v>#DIV/0!</v>
      </c>
      <c r="AX5" s="45" t="e">
        <f>'Input - ENR'!AX4*AX11/'Input - ENR'!AX10</f>
        <v>#DIV/0!</v>
      </c>
      <c r="AY5" s="44" t="e">
        <f>'Input - ENR'!AY4*AY11/'Input - ENR'!AY10</f>
        <v>#DIV/0!</v>
      </c>
      <c r="AZ5" s="44" t="e">
        <f>'Input - ENR'!AZ4*AZ11/'Input - ENR'!AZ10</f>
        <v>#DIV/0!</v>
      </c>
      <c r="BA5" s="44" t="e">
        <f>'Input - ENR'!BA4*BA11/'Input - ENR'!BA10</f>
        <v>#DIV/0!</v>
      </c>
      <c r="BB5" s="44" t="e">
        <f>'Input - ENR'!BB4*BB11/'Input - ENR'!BB10</f>
        <v>#DIV/0!</v>
      </c>
      <c r="BC5" s="44" t="e">
        <f>'Input - ENR'!BC4*BC11/'Input - ENR'!BC10</f>
        <v>#DIV/0!</v>
      </c>
      <c r="BD5" s="44" t="e">
        <f>'Input - ENR'!BD4*BD11/'Input - ENR'!BD10</f>
        <v>#DIV/0!</v>
      </c>
      <c r="BE5" s="44" t="e">
        <f>'Input - ENR'!BE4*BE11/'Input - ENR'!BE10</f>
        <v>#DIV/0!</v>
      </c>
      <c r="BF5" s="44" t="e">
        <f>'Input - ENR'!BF4*BF11/'Input - ENR'!BF10</f>
        <v>#DIV/0!</v>
      </c>
      <c r="BG5" s="44" t="e">
        <f>'Input - ENR'!BG4*BG11/'Input - ENR'!BG10</f>
        <v>#DIV/0!</v>
      </c>
      <c r="BH5" s="44" t="e">
        <f>'Input - ENR'!BH4*BH11/'Input - ENR'!BH10</f>
        <v>#DIV/0!</v>
      </c>
      <c r="BI5" s="44" t="e">
        <f>'Input - ENR'!BI4*BI11/'Input - ENR'!BI10</f>
        <v>#DIV/0!</v>
      </c>
      <c r="BJ5" s="45" t="e">
        <f>'Input - ENR'!BJ4*BJ11/'Input - ENR'!BJ10</f>
        <v>#DIV/0!</v>
      </c>
    </row>
    <row r="6" spans="1:62" x14ac:dyDescent="0.35">
      <c r="A6" s="2" t="s">
        <v>48</v>
      </c>
      <c r="B6" s="2" t="s">
        <v>158</v>
      </c>
      <c r="C6" s="249">
        <f>'Input - ENR'!C5*C12/'Input - ENR'!C11</f>
        <v>38.733858688646514</v>
      </c>
      <c r="D6" s="47">
        <f>'Input - ENR'!D5*D12/'Input - ENR'!D11</f>
        <v>15.161751621426159</v>
      </c>
      <c r="E6" s="47">
        <f>'Input - ENR'!E5*E12/'Input - ENR'!E11</f>
        <v>14.816397895005457</v>
      </c>
      <c r="F6" s="47">
        <f>'Input - ENR'!F5*F12/'Input - ENR'!F11</f>
        <v>15.424493623431298</v>
      </c>
      <c r="G6" s="47">
        <f>'Input - ENR'!G5*G12/'Input - ENR'!G11</f>
        <v>18.412624984516636</v>
      </c>
      <c r="H6" s="47">
        <f>'Input - ENR'!H5*H12/'Input - ENR'!H11</f>
        <v>15.588883468420041</v>
      </c>
      <c r="I6" s="47">
        <f>'Input - ENR'!I5*I12/'Input - ENR'!I11</f>
        <v>14.811362625647996</v>
      </c>
      <c r="J6" s="47">
        <f>'Input - ENR'!J5*J12/'Input - ENR'!J11</f>
        <v>18.374916822638969</v>
      </c>
      <c r="K6" s="47">
        <f>'Input - ENR'!K5*K12/'Input - ENR'!K11</f>
        <v>12.0418656439494</v>
      </c>
      <c r="L6" s="47">
        <f>'Input - ENR'!L5*L12/'Input - ENR'!L11</f>
        <v>41.206590959566526</v>
      </c>
      <c r="M6" s="47">
        <f>'Input - ENR'!M5*M12/'Input - ENR'!M11</f>
        <v>48.395638370039087</v>
      </c>
      <c r="N6" s="47">
        <f>'Input - ENR'!N5*N12/'Input - ENR'!N11</f>
        <v>12.421137935609194</v>
      </c>
      <c r="O6" s="48">
        <f>'Input - ENR'!O5*O12/'Input - ENR'!O11</f>
        <v>12.138902209608096</v>
      </c>
      <c r="P6" s="47">
        <f>'Input - ENR'!P5*P12/'Input - ENR'!P11</f>
        <v>13.912966546300186</v>
      </c>
      <c r="Q6" s="47">
        <f>'Input - ENR'!Q5*Q12/'Input - ENR'!Q11</f>
        <v>15.718557163255774</v>
      </c>
      <c r="R6" s="47">
        <f>'Input - ENR'!R5*R12/'Input - ENR'!R11</f>
        <v>29.033872593551248</v>
      </c>
      <c r="S6" s="47">
        <f>'Input - ENR'!S5*S12/'Input - ENR'!S11</f>
        <v>13.068705357302893</v>
      </c>
      <c r="T6" s="47">
        <f>'Input - ENR'!T5*T12/'Input - ENR'!T11</f>
        <v>17.632369791121587</v>
      </c>
      <c r="U6" s="47">
        <f>'Input - ENR'!U5*U12/'Input - ENR'!U11</f>
        <v>22.44156277633607</v>
      </c>
      <c r="V6" s="47">
        <f>'Input - ENR'!V5*V12/'Input - ENR'!V11</f>
        <v>4.7464061301570437</v>
      </c>
      <c r="W6" s="47">
        <f>'Input - ENR'!W5*W12/'Input - ENR'!W11</f>
        <v>5.7373689554308545</v>
      </c>
      <c r="X6" s="47">
        <f>'Input - ENR'!X5*X12/'Input - ENR'!X11</f>
        <v>9.450687445817735</v>
      </c>
      <c r="Y6" s="47">
        <f>'Input - ENR'!Y5*Y12/'Input - ENR'!Y11</f>
        <v>8.5596515075670485</v>
      </c>
      <c r="Z6" s="47">
        <f>'Input - ENR'!Z5*Z12/'Input - ENR'!Z11</f>
        <v>7.9607631081632722</v>
      </c>
      <c r="AA6" s="48">
        <f>'Input - ENR'!AA5*AA12/'Input - ENR'!AA11</f>
        <v>5.6967742173907023</v>
      </c>
      <c r="AB6" s="47">
        <f>'Input - ENR'!AB5*AB12/'Input - ENR'!AB11</f>
        <v>10.263300948343907</v>
      </c>
      <c r="AC6" s="47">
        <f>'Input - ENR'!AC5*AC12/'Input - ENR'!AC11</f>
        <v>10.604124887914708</v>
      </c>
      <c r="AD6" s="47">
        <f>'Input - ENR'!AD5*AD12/'Input - ENR'!AD11</f>
        <v>16.189892170172499</v>
      </c>
      <c r="AE6" s="47">
        <f>'Input - ENR'!AE5*AE12/'Input - ENR'!AE11</f>
        <v>12.939206952644035</v>
      </c>
      <c r="AF6" s="47">
        <f>'Input - ENR'!AF5*AF12/'Input - ENR'!AF11</f>
        <v>9.9021946832421346</v>
      </c>
      <c r="AG6" s="47">
        <f>'Input - ENR'!AG5*AG12/'Input - ENR'!AG11</f>
        <v>10.411419186029361</v>
      </c>
      <c r="AH6" s="47">
        <f t="shared" ref="AH6:AM6" si="3">AH12</f>
        <v>13.40120378821168</v>
      </c>
      <c r="AI6" s="47">
        <f t="shared" si="3"/>
        <v>15.04231409308974</v>
      </c>
      <c r="AJ6" s="47">
        <f t="shared" si="3"/>
        <v>13.40908894940199</v>
      </c>
      <c r="AK6" s="47">
        <f t="shared" si="3"/>
        <v>13.623197583706053</v>
      </c>
      <c r="AL6" s="47">
        <f t="shared" si="3"/>
        <v>14.491586223206333</v>
      </c>
      <c r="AM6" s="48">
        <f t="shared" si="3"/>
        <v>14.976076991598886</v>
      </c>
      <c r="AN6" s="47" t="e">
        <f>'Input - ENR'!AN5*AN12/'Input - ENR'!AN11</f>
        <v>#DIV/0!</v>
      </c>
      <c r="AO6" s="47" t="e">
        <f>'Input - ENR'!AO5*AO12/'Input - ENR'!AO11</f>
        <v>#DIV/0!</v>
      </c>
      <c r="AP6" s="47" t="e">
        <f>'Input - ENR'!AP5*AP12/'Input - ENR'!AP11</f>
        <v>#DIV/0!</v>
      </c>
      <c r="AQ6" s="47" t="e">
        <f>'Input - ENR'!AQ5*AQ12/'Input - ENR'!AQ11</f>
        <v>#DIV/0!</v>
      </c>
      <c r="AR6" s="47" t="e">
        <f>'Input - ENR'!AR5*AR12/'Input - ENR'!AR11</f>
        <v>#DIV/0!</v>
      </c>
      <c r="AS6" s="47" t="e">
        <f>'Input - ENR'!AS5*AS12/'Input - ENR'!AS11</f>
        <v>#DIV/0!</v>
      </c>
      <c r="AT6" s="47" t="e">
        <f>'Input - ENR'!AT5*AT12/'Input - ENR'!AT11</f>
        <v>#DIV/0!</v>
      </c>
      <c r="AU6" s="47" t="e">
        <f>'Input - ENR'!AU5*AU12/'Input - ENR'!AU11</f>
        <v>#DIV/0!</v>
      </c>
      <c r="AV6" s="47" t="e">
        <f>'Input - ENR'!AV5*AV12/'Input - ENR'!AV11</f>
        <v>#DIV/0!</v>
      </c>
      <c r="AW6" s="47" t="e">
        <f>'Input - ENR'!AW5*AW12/'Input - ENR'!AW11</f>
        <v>#DIV/0!</v>
      </c>
      <c r="AX6" s="48" t="e">
        <f>'Input - ENR'!AX5*AX12/'Input - ENR'!AX11</f>
        <v>#DIV/0!</v>
      </c>
      <c r="AY6" s="47" t="e">
        <f>'Input - ENR'!AY5*AY12/'Input - ENR'!AY11</f>
        <v>#DIV/0!</v>
      </c>
      <c r="AZ6" s="47" t="e">
        <f>'Input - ENR'!AZ5*AZ12/'Input - ENR'!AZ11</f>
        <v>#DIV/0!</v>
      </c>
      <c r="BA6" s="47" t="e">
        <f>'Input - ENR'!BA5*BA12/'Input - ENR'!BA11</f>
        <v>#DIV/0!</v>
      </c>
      <c r="BB6" s="47" t="e">
        <f>'Input - ENR'!BB5*BB12/'Input - ENR'!BB11</f>
        <v>#DIV/0!</v>
      </c>
      <c r="BC6" s="47" t="e">
        <f>'Input - ENR'!BC5*BC12/'Input - ENR'!BC11</f>
        <v>#DIV/0!</v>
      </c>
      <c r="BD6" s="47" t="e">
        <f>'Input - ENR'!BD5*BD12/'Input - ENR'!BD11</f>
        <v>#DIV/0!</v>
      </c>
      <c r="BE6" s="47" t="e">
        <f>'Input - ENR'!BE5*BE12/'Input - ENR'!BE11</f>
        <v>#DIV/0!</v>
      </c>
      <c r="BF6" s="47" t="e">
        <f>'Input - ENR'!BF5*BF12/'Input - ENR'!BF11</f>
        <v>#DIV/0!</v>
      </c>
      <c r="BG6" s="47" t="e">
        <f>'Input - ENR'!BG5*BG12/'Input - ENR'!BG11</f>
        <v>#DIV/0!</v>
      </c>
      <c r="BH6" s="47" t="e">
        <f>'Input - ENR'!BH5*BH12/'Input - ENR'!BH11</f>
        <v>#DIV/0!</v>
      </c>
      <c r="BI6" s="47" t="e">
        <f>'Input - ENR'!BI5*BI12/'Input - ENR'!BI11</f>
        <v>#DIV/0!</v>
      </c>
      <c r="BJ6" s="48" t="e">
        <f>'Input - ENR'!BJ5*BJ12/'Input - ENR'!BJ11</f>
        <v>#DIV/0!</v>
      </c>
    </row>
    <row r="7" spans="1:62" x14ac:dyDescent="0.35">
      <c r="A7" s="3" t="s">
        <v>48</v>
      </c>
      <c r="B7" s="3" t="s">
        <v>159</v>
      </c>
      <c r="C7" s="250">
        <f>IFERROR('Input - ENR'!C18*C13/'Input - ENR'!C12,0)</f>
        <v>0</v>
      </c>
      <c r="D7" s="50">
        <f>IFERROR('Input - ENR'!D18*D13/'Input - ENR'!D12,0)</f>
        <v>0</v>
      </c>
      <c r="E7" s="50">
        <f>IFERROR('Input - ENR'!E18*E13/'Input - ENR'!E12,0)</f>
        <v>0</v>
      </c>
      <c r="F7" s="50">
        <f>IFERROR('Input - ENR'!F18*F13/'Input - ENR'!F12,0)</f>
        <v>0</v>
      </c>
      <c r="G7" s="50">
        <f>IFERROR('Input - ENR'!G18*G13/'Input - ENR'!G12,0)</f>
        <v>0</v>
      </c>
      <c r="H7" s="50">
        <f>IFERROR('Input - ENR'!H18*H13/'Input - ENR'!H12,0)</f>
        <v>0</v>
      </c>
      <c r="I7" s="50">
        <f>IFERROR('Input - ENR'!I18*I13/'Input - ENR'!I12,0)</f>
        <v>0</v>
      </c>
      <c r="J7" s="50">
        <f>IFERROR('Input - ENR'!J18*J13/'Input - ENR'!J12,0)</f>
        <v>0</v>
      </c>
      <c r="K7" s="50">
        <f>IFERROR('Input - ENR'!K18*K13/'Input - ENR'!K12,0)</f>
        <v>0</v>
      </c>
      <c r="L7" s="50">
        <f>IFERROR('Input - ENR'!L18*L13/'Input - ENR'!L12,0)</f>
        <v>0</v>
      </c>
      <c r="M7" s="50">
        <f>IFERROR('Input - ENR'!M18*M13/'Input - ENR'!M12,0)</f>
        <v>0</v>
      </c>
      <c r="N7" s="50">
        <f>IFERROR('Input - ENR'!N18*N13/'Input - ENR'!N12,0)</f>
        <v>0</v>
      </c>
      <c r="O7" s="51">
        <f>IFERROR('Input - ENR'!O18*O13/'Input - ENR'!O12,0)</f>
        <v>0</v>
      </c>
      <c r="P7" s="50">
        <f>IFERROR('Input - ENR'!P18*P13/'Input - ENR'!P12,0)</f>
        <v>0</v>
      </c>
      <c r="Q7" s="50">
        <f>IFERROR('Input - ENR'!Q18*Q13/'Input - ENR'!Q12,0)</f>
        <v>0</v>
      </c>
      <c r="R7" s="50">
        <f>IFERROR('Input - ENR'!R18*R13/'Input - ENR'!R12,0)</f>
        <v>0</v>
      </c>
      <c r="S7" s="50">
        <f>IFERROR('Input - ENR'!S18*S13/'Input - ENR'!S12,0)</f>
        <v>0</v>
      </c>
      <c r="T7" s="50">
        <f>IFERROR('Input - ENR'!T18*T13/'Input - ENR'!T12,0)</f>
        <v>0</v>
      </c>
      <c r="U7" s="50">
        <f>IFERROR('Input - ENR'!U18*U13/'Input - ENR'!U12,0)</f>
        <v>0</v>
      </c>
      <c r="V7" s="50">
        <f>IFERROR('Input - ENR'!V18*V13/'Input - ENR'!V12,0)</f>
        <v>0</v>
      </c>
      <c r="W7" s="50">
        <f>IFERROR('Input - ENR'!W18*W13/'Input - ENR'!W12,0)</f>
        <v>0</v>
      </c>
      <c r="X7" s="50">
        <f>IFERROR('Input - ENR'!X18*X13/'Input - ENR'!X12,0)</f>
        <v>0</v>
      </c>
      <c r="Y7" s="50">
        <f>IFERROR('Input - ENR'!Y18*Y13/'Input - ENR'!Y12,0)</f>
        <v>0</v>
      </c>
      <c r="Z7" s="50">
        <f>IFERROR('Input - ENR'!Z18*Z13/'Input - ENR'!Z12,0)</f>
        <v>0</v>
      </c>
      <c r="AA7" s="51">
        <f>IFERROR('Input - ENR'!AA18*AA13/'Input - ENR'!AA12,0)</f>
        <v>0</v>
      </c>
      <c r="AB7" s="50">
        <f>IFERROR('Input - ENR'!AB18*AB13/'Input - ENR'!AB12,0)</f>
        <v>0</v>
      </c>
      <c r="AC7" s="50">
        <f>IFERROR('Input - ENR'!AC18*AC13/'Input - ENR'!AC12,0)</f>
        <v>0</v>
      </c>
      <c r="AD7" s="50">
        <f>IFERROR('Input - ENR'!AD18*AD13/'Input - ENR'!AD12,0)</f>
        <v>0</v>
      </c>
      <c r="AE7" s="50">
        <f>IFERROR('Input - ENR'!AE18*AE13/'Input - ENR'!AE12,0)</f>
        <v>0</v>
      </c>
      <c r="AF7" s="50">
        <f>IFERROR('Input - ENR'!AF18*AF13/'Input - ENR'!AF12,0)</f>
        <v>0</v>
      </c>
      <c r="AG7" s="50">
        <f>IFERROR('Input - ENR'!AG18*AG13/'Input - ENR'!AG12,0)</f>
        <v>0</v>
      </c>
      <c r="AH7" s="50">
        <f t="shared" ref="AH7:AM7" si="4">AH13</f>
        <v>0</v>
      </c>
      <c r="AI7" s="50">
        <f t="shared" si="4"/>
        <v>0</v>
      </c>
      <c r="AJ7" s="50">
        <f t="shared" si="4"/>
        <v>0</v>
      </c>
      <c r="AK7" s="50">
        <f t="shared" si="4"/>
        <v>0</v>
      </c>
      <c r="AL7" s="50">
        <f t="shared" si="4"/>
        <v>0</v>
      </c>
      <c r="AM7" s="51">
        <f t="shared" si="4"/>
        <v>0</v>
      </c>
      <c r="AN7" s="50">
        <f>IFERROR('Input - ENR'!AN18*AN13/'Input - ENR'!AN12,0)</f>
        <v>0</v>
      </c>
      <c r="AO7" s="50">
        <f>IFERROR('Input - ENR'!AO18*AO13/'Input - ENR'!AO12,0)</f>
        <v>0</v>
      </c>
      <c r="AP7" s="50">
        <f>IFERROR('Input - ENR'!AP18*AP13/'Input - ENR'!AP12,0)</f>
        <v>0</v>
      </c>
      <c r="AQ7" s="50">
        <f>IFERROR('Input - ENR'!AQ18*AQ13/'Input - ENR'!AQ12,0)</f>
        <v>0</v>
      </c>
      <c r="AR7" s="50">
        <f>IFERROR('Input - ENR'!AR18*AR13/'Input - ENR'!AR12,0)</f>
        <v>0</v>
      </c>
      <c r="AS7" s="50">
        <f>IFERROR('Input - ENR'!AS18*AS13/'Input - ENR'!AS12,0)</f>
        <v>0</v>
      </c>
      <c r="AT7" s="50">
        <f>IFERROR('Input - ENR'!AT18*AT13/'Input - ENR'!AT12,0)</f>
        <v>0</v>
      </c>
      <c r="AU7" s="50">
        <f>IFERROR('Input - ENR'!AU18*AU13/'Input - ENR'!AU12,0)</f>
        <v>0</v>
      </c>
      <c r="AV7" s="50">
        <f>IFERROR('Input - ENR'!AV18*AV13/'Input - ENR'!AV12,0)</f>
        <v>0</v>
      </c>
      <c r="AW7" s="50">
        <f>IFERROR('Input - ENR'!AW18*AW13/'Input - ENR'!AW12,0)</f>
        <v>0</v>
      </c>
      <c r="AX7" s="51">
        <f>IFERROR('Input - ENR'!AX18*AX13/'Input - ENR'!AX12,0)</f>
        <v>0</v>
      </c>
      <c r="AY7" s="50">
        <f>IFERROR('Input - ENR'!AY18*AY13/'Input - ENR'!AY12,0)</f>
        <v>0</v>
      </c>
      <c r="AZ7" s="50">
        <f>IFERROR('Input - ENR'!AZ18*AZ13/'Input - ENR'!AZ12,0)</f>
        <v>0</v>
      </c>
      <c r="BA7" s="50">
        <f>IFERROR('Input - ENR'!BA18*BA13/'Input - ENR'!BA12,0)</f>
        <v>0</v>
      </c>
      <c r="BB7" s="50">
        <f>IFERROR('Input - ENR'!BB18*BB13/'Input - ENR'!BB12,0)</f>
        <v>0</v>
      </c>
      <c r="BC7" s="50">
        <f>IFERROR('Input - ENR'!BC18*BC13/'Input - ENR'!BC12,0)</f>
        <v>0</v>
      </c>
      <c r="BD7" s="50">
        <f>IFERROR('Input - ENR'!BD18*BD13/'Input - ENR'!BD12,0)</f>
        <v>0</v>
      </c>
      <c r="BE7" s="50">
        <f>IFERROR('Input - ENR'!BE18*BE13/'Input - ENR'!BE12,0)</f>
        <v>0</v>
      </c>
      <c r="BF7" s="50">
        <f>IFERROR('Input - ENR'!BF18*BF13/'Input - ENR'!BF12,0)</f>
        <v>0</v>
      </c>
      <c r="BG7" s="50">
        <f>IFERROR('Input - ENR'!BG18*BG13/'Input - ENR'!BG12,0)</f>
        <v>0</v>
      </c>
      <c r="BH7" s="50">
        <f>IFERROR('Input - ENR'!BH18*BH13/'Input - ENR'!BH12,0)</f>
        <v>0</v>
      </c>
      <c r="BI7" s="50">
        <f>IFERROR('Input - ENR'!BI18*BI13/'Input - ENR'!BI12,0)</f>
        <v>0</v>
      </c>
      <c r="BJ7" s="51">
        <f>IFERROR('Input - ENR'!BJ18*BJ13/'Input - ENR'!BJ12,0)</f>
        <v>0</v>
      </c>
    </row>
    <row r="9" spans="1:62" x14ac:dyDescent="0.35">
      <c r="A9" s="25" t="s">
        <v>27</v>
      </c>
      <c r="B9" s="4" t="s">
        <v>3</v>
      </c>
      <c r="C9" s="19">
        <f>$C$3</f>
        <v>45352</v>
      </c>
      <c r="D9" s="20">
        <f>EDATE(C9,1)</f>
        <v>45383</v>
      </c>
      <c r="E9" s="20">
        <f>EDATE(D9,1)</f>
        <v>45413</v>
      </c>
      <c r="F9" s="20">
        <f>EDATE(E9,1)</f>
        <v>45444</v>
      </c>
      <c r="G9" s="20">
        <f t="shared" ref="G9" si="5">EDATE(F9,1)</f>
        <v>45474</v>
      </c>
      <c r="H9" s="20">
        <f t="shared" ref="H9" si="6">EDATE(G9,1)</f>
        <v>45505</v>
      </c>
      <c r="I9" s="20">
        <f t="shared" ref="I9" si="7">EDATE(H9,1)</f>
        <v>45536</v>
      </c>
      <c r="J9" s="20">
        <f t="shared" ref="J9" si="8">EDATE(I9,1)</f>
        <v>45566</v>
      </c>
      <c r="K9" s="20">
        <f t="shared" ref="K9" si="9">EDATE(J9,1)</f>
        <v>45597</v>
      </c>
      <c r="L9" s="20">
        <f t="shared" ref="L9" si="10">EDATE(K9,1)</f>
        <v>45627</v>
      </c>
      <c r="M9" s="20">
        <f t="shared" ref="M9" si="11">EDATE(L9,1)</f>
        <v>45658</v>
      </c>
      <c r="N9" s="20">
        <f t="shared" ref="N9" si="12">EDATE(M9,1)</f>
        <v>45689</v>
      </c>
      <c r="O9" s="21">
        <f t="shared" ref="O9" si="13">EDATE(N9,1)</f>
        <v>45717</v>
      </c>
      <c r="P9" s="20">
        <f t="shared" ref="P9" si="14">EDATE(O9,1)</f>
        <v>45748</v>
      </c>
      <c r="Q9" s="20">
        <f t="shared" ref="Q9" si="15">EDATE(P9,1)</f>
        <v>45778</v>
      </c>
      <c r="R9" s="20">
        <f t="shared" ref="R9" si="16">EDATE(Q9,1)</f>
        <v>45809</v>
      </c>
      <c r="S9" s="20">
        <f t="shared" ref="S9" si="17">EDATE(R9,1)</f>
        <v>45839</v>
      </c>
      <c r="T9" s="20">
        <f t="shared" ref="T9" si="18">EDATE(S9,1)</f>
        <v>45870</v>
      </c>
      <c r="U9" s="20">
        <f t="shared" ref="U9" si="19">EDATE(T9,1)</f>
        <v>45901</v>
      </c>
      <c r="V9" s="20">
        <f t="shared" ref="V9" si="20">EDATE(U9,1)</f>
        <v>45931</v>
      </c>
      <c r="W9" s="20">
        <f t="shared" ref="W9" si="21">EDATE(V9,1)</f>
        <v>45962</v>
      </c>
      <c r="X9" s="20">
        <f t="shared" ref="X9" si="22">EDATE(W9,1)</f>
        <v>45992</v>
      </c>
      <c r="Y9" s="20">
        <f t="shared" ref="Y9" si="23">EDATE(X9,1)</f>
        <v>46023</v>
      </c>
      <c r="Z9" s="20">
        <f t="shared" ref="Z9" si="24">EDATE(Y9,1)</f>
        <v>46054</v>
      </c>
      <c r="AA9" s="21">
        <f t="shared" ref="AA9" si="25">EDATE(Z9,1)</f>
        <v>46082</v>
      </c>
      <c r="AB9" s="20">
        <f t="shared" ref="AB9" si="26">EDATE(AA9,1)</f>
        <v>46113</v>
      </c>
      <c r="AC9" s="20">
        <f t="shared" ref="AC9" si="27">EDATE(AB9,1)</f>
        <v>46143</v>
      </c>
      <c r="AD9" s="20">
        <f t="shared" ref="AD9" si="28">EDATE(AC9,1)</f>
        <v>46174</v>
      </c>
      <c r="AE9" s="20">
        <f t="shared" ref="AE9" si="29">EDATE(AD9,1)</f>
        <v>46204</v>
      </c>
      <c r="AF9" s="20">
        <f t="shared" ref="AF9" si="30">EDATE(AE9,1)</f>
        <v>46235</v>
      </c>
      <c r="AG9" s="20">
        <f t="shared" ref="AG9" si="31">EDATE(AF9,1)</f>
        <v>46266</v>
      </c>
      <c r="AH9" s="20">
        <f t="shared" ref="AH9" si="32">EDATE(AG9,1)</f>
        <v>46296</v>
      </c>
      <c r="AI9" s="20">
        <f t="shared" ref="AI9" si="33">EDATE(AH9,1)</f>
        <v>46327</v>
      </c>
      <c r="AJ9" s="20">
        <f t="shared" ref="AJ9" si="34">EDATE(AI9,1)</f>
        <v>46357</v>
      </c>
      <c r="AK9" s="20">
        <f t="shared" ref="AK9" si="35">EDATE(AJ9,1)</f>
        <v>46388</v>
      </c>
      <c r="AL9" s="20">
        <f t="shared" ref="AL9" si="36">EDATE(AK9,1)</f>
        <v>46419</v>
      </c>
      <c r="AM9" s="21">
        <f t="shared" ref="AM9" si="37">EDATE(AL9,1)</f>
        <v>46447</v>
      </c>
      <c r="AN9" s="20">
        <f t="shared" ref="AN9" si="38">EDATE(AM9,1)</f>
        <v>46478</v>
      </c>
      <c r="AO9" s="20">
        <f t="shared" ref="AO9" si="39">EDATE(AN9,1)</f>
        <v>46508</v>
      </c>
      <c r="AP9" s="20">
        <f t="shared" ref="AP9" si="40">EDATE(AO9,1)</f>
        <v>46539</v>
      </c>
      <c r="AQ9" s="20">
        <f t="shared" ref="AQ9" si="41">EDATE(AP9,1)</f>
        <v>46569</v>
      </c>
      <c r="AR9" s="20">
        <f t="shared" ref="AR9" si="42">EDATE(AQ9,1)</f>
        <v>46600</v>
      </c>
      <c r="AS9" s="20">
        <f t="shared" ref="AS9" si="43">EDATE(AR9,1)</f>
        <v>46631</v>
      </c>
      <c r="AT9" s="20">
        <f t="shared" ref="AT9" si="44">EDATE(AS9,1)</f>
        <v>46661</v>
      </c>
      <c r="AU9" s="20">
        <f t="shared" ref="AU9" si="45">EDATE(AT9,1)</f>
        <v>46692</v>
      </c>
      <c r="AV9" s="20">
        <f t="shared" ref="AV9" si="46">EDATE(AU9,1)</f>
        <v>46722</v>
      </c>
      <c r="AW9" s="20">
        <f t="shared" ref="AW9" si="47">EDATE(AV9,1)</f>
        <v>46753</v>
      </c>
      <c r="AX9" s="21">
        <f t="shared" ref="AX9" si="48">EDATE(AW9,1)</f>
        <v>46784</v>
      </c>
      <c r="AY9" s="20">
        <f t="shared" ref="AY9" si="49">EDATE(AX9,1)</f>
        <v>46813</v>
      </c>
      <c r="AZ9" s="20">
        <f t="shared" ref="AZ9" si="50">EDATE(AY9,1)</f>
        <v>46844</v>
      </c>
      <c r="BA9" s="20">
        <f t="shared" ref="BA9" si="51">EDATE(AZ9,1)</f>
        <v>46874</v>
      </c>
      <c r="BB9" s="20">
        <f t="shared" ref="BB9" si="52">EDATE(BA9,1)</f>
        <v>46905</v>
      </c>
      <c r="BC9" s="20">
        <f t="shared" ref="BC9" si="53">EDATE(BB9,1)</f>
        <v>46935</v>
      </c>
      <c r="BD9" s="20">
        <f t="shared" ref="BD9" si="54">EDATE(BC9,1)</f>
        <v>46966</v>
      </c>
      <c r="BE9" s="20">
        <f t="shared" ref="BE9" si="55">EDATE(BD9,1)</f>
        <v>46997</v>
      </c>
      <c r="BF9" s="20">
        <f t="shared" ref="BF9" si="56">EDATE(BE9,1)</f>
        <v>47027</v>
      </c>
      <c r="BG9" s="20">
        <f t="shared" ref="BG9" si="57">EDATE(BF9,1)</f>
        <v>47058</v>
      </c>
      <c r="BH9" s="20">
        <f t="shared" ref="BH9" si="58">EDATE(BG9,1)</f>
        <v>47088</v>
      </c>
      <c r="BI9" s="20">
        <f t="shared" ref="BI9" si="59">EDATE(BH9,1)</f>
        <v>47119</v>
      </c>
      <c r="BJ9" s="21">
        <f t="shared" ref="BJ9" si="60">EDATE(BI9,1)</f>
        <v>47150</v>
      </c>
    </row>
    <row r="10" spans="1:62" x14ac:dyDescent="0.35">
      <c r="A10" s="15" t="s">
        <v>27</v>
      </c>
      <c r="B10" s="15" t="s">
        <v>188</v>
      </c>
      <c r="C10" s="16">
        <f>SUM(C11:C13)</f>
        <v>66.31761060686307</v>
      </c>
      <c r="D10" s="17">
        <f t="shared" ref="D10" si="61">SUM(D11:D13)</f>
        <v>51.607950145629594</v>
      </c>
      <c r="E10" s="17">
        <f t="shared" ref="E10" si="62">SUM(E11:E13)</f>
        <v>25.876003424820698</v>
      </c>
      <c r="F10" s="17">
        <f t="shared" ref="F10" si="63">SUM(F11:F13)</f>
        <v>30.896596136540218</v>
      </c>
      <c r="G10" s="17">
        <f t="shared" ref="G10" si="64">SUM(G11:G13)</f>
        <v>29.972194276677321</v>
      </c>
      <c r="H10" s="17">
        <f t="shared" ref="H10" si="65">SUM(H11:H13)</f>
        <v>32.88425582515287</v>
      </c>
      <c r="I10" s="17">
        <f t="shared" ref="I10" si="66">SUM(I11:I13)</f>
        <v>26.335322127072793</v>
      </c>
      <c r="J10" s="17">
        <f t="shared" ref="J10" si="67">SUM(J11:J13)</f>
        <v>43.200752683991062</v>
      </c>
      <c r="K10" s="17">
        <f t="shared" ref="K10" si="68">SUM(K11:K13)</f>
        <v>26.409102860942838</v>
      </c>
      <c r="L10" s="17">
        <f t="shared" ref="L10" si="69">SUM(L11:L13)</f>
        <v>57.923200674452303</v>
      </c>
      <c r="M10" s="17">
        <f t="shared" ref="M10" si="70">SUM(M11:M13)</f>
        <v>70.310406770461697</v>
      </c>
      <c r="N10" s="17">
        <f t="shared" ref="N10" si="71">SUM(N11:N13)</f>
        <v>28.434938216382236</v>
      </c>
      <c r="O10" s="18">
        <f t="shared" ref="O10" si="72">SUM(O11:O13)</f>
        <v>30.096644494057152</v>
      </c>
      <c r="P10" s="17">
        <f t="shared" ref="P10" si="73">SUM(P11:P13)</f>
        <v>36.536447482835044</v>
      </c>
      <c r="Q10" s="17">
        <f t="shared" ref="Q10" si="74">SUM(Q11:Q13)</f>
        <v>47.475255835714407</v>
      </c>
      <c r="R10" s="17">
        <f t="shared" ref="R10" si="75">SUM(R11:R13)</f>
        <v>66.457516176867486</v>
      </c>
      <c r="S10" s="17">
        <f t="shared" ref="S10" si="76">SUM(S11:S13)</f>
        <v>99.355126149382954</v>
      </c>
      <c r="T10" s="17">
        <f t="shared" ref="T10" si="77">SUM(T11:T13)</f>
        <v>46.009589271189895</v>
      </c>
      <c r="U10" s="17">
        <f t="shared" ref="U10" si="78">SUM(U11:U13)</f>
        <v>49.775620607854933</v>
      </c>
      <c r="V10" s="17">
        <f t="shared" ref="V10" si="79">SUM(V11:V13)</f>
        <v>18.237385648437485</v>
      </c>
      <c r="W10" s="17">
        <f t="shared" ref="W10" si="80">SUM(W11:W13)</f>
        <v>31.427571677906901</v>
      </c>
      <c r="X10" s="17">
        <f t="shared" ref="X10" si="81">SUM(X11:X13)</f>
        <v>33.093690287348096</v>
      </c>
      <c r="Y10" s="17">
        <f t="shared" ref="Y10" si="82">SUM(Y11:Y13)</f>
        <v>34.698941605260003</v>
      </c>
      <c r="Z10" s="17">
        <f t="shared" ref="Z10" si="83">SUM(Z11:Z13)</f>
        <v>30.822157953982202</v>
      </c>
      <c r="AA10" s="18">
        <f t="shared" ref="AA10" si="84">SUM(AA11:AA13)</f>
        <v>30.829475151770787</v>
      </c>
      <c r="AB10" s="17">
        <f t="shared" ref="AB10" si="85">SUM(AB11:AB13)</f>
        <v>89.583703424440571</v>
      </c>
      <c r="AC10" s="17">
        <f t="shared" ref="AC10" si="86">SUM(AC11:AC13)</f>
        <v>45.502775072597018</v>
      </c>
      <c r="AD10" s="17">
        <f t="shared" ref="AD10" si="87">SUM(AD11:AD13)</f>
        <v>55.878115761816638</v>
      </c>
      <c r="AE10" s="17">
        <f t="shared" ref="AE10" si="88">SUM(AE11:AE13)</f>
        <v>65.007392412616809</v>
      </c>
      <c r="AF10" s="17">
        <f t="shared" ref="AF10" si="89">SUM(AF11:AF13)</f>
        <v>58.135696706214304</v>
      </c>
      <c r="AG10" s="17">
        <f t="shared" ref="AG10" si="90">SUM(AG11:AG13)</f>
        <v>49.295988146121061</v>
      </c>
      <c r="AH10" s="17">
        <f t="shared" ref="AH10" si="91">SUM(AH11:AH13)</f>
        <v>48.807195646759311</v>
      </c>
      <c r="AI10" s="17">
        <f t="shared" ref="AI10" si="92">SUM(AI11:AI13)</f>
        <v>44.738249694582066</v>
      </c>
      <c r="AJ10" s="17">
        <f t="shared" ref="AJ10" si="93">SUM(AJ11:AJ13)</f>
        <v>44.903368961268939</v>
      </c>
      <c r="AK10" s="17">
        <f t="shared" ref="AK10" si="94">SUM(AK11:AK13)</f>
        <v>47.831503614291499</v>
      </c>
      <c r="AL10" s="17">
        <f t="shared" ref="AL10" si="95">SUM(AL11:AL13)</f>
        <v>49.101167485892894</v>
      </c>
      <c r="AM10" s="18">
        <f t="shared" ref="AM10" si="96">SUM(AM11:AM13)</f>
        <v>53.078238252947656</v>
      </c>
      <c r="AN10" s="17">
        <f t="shared" ref="AN10" si="97">SUM(AN11:AN13)</f>
        <v>0</v>
      </c>
      <c r="AO10" s="17">
        <f t="shared" ref="AO10" si="98">SUM(AO11:AO13)</f>
        <v>0</v>
      </c>
      <c r="AP10" s="17">
        <f t="shared" ref="AP10" si="99">SUM(AP11:AP13)</f>
        <v>0</v>
      </c>
      <c r="AQ10" s="17">
        <f t="shared" ref="AQ10" si="100">SUM(AQ11:AQ13)</f>
        <v>0</v>
      </c>
      <c r="AR10" s="17">
        <f t="shared" ref="AR10" si="101">SUM(AR11:AR13)</f>
        <v>0</v>
      </c>
      <c r="AS10" s="17">
        <f t="shared" ref="AS10" si="102">SUM(AS11:AS13)</f>
        <v>0</v>
      </c>
      <c r="AT10" s="17">
        <f t="shared" ref="AT10" si="103">SUM(AT11:AT13)</f>
        <v>0</v>
      </c>
      <c r="AU10" s="17">
        <f t="shared" ref="AU10" si="104">SUM(AU11:AU13)</f>
        <v>0</v>
      </c>
      <c r="AV10" s="17">
        <f t="shared" ref="AV10" si="105">SUM(AV11:AV13)</f>
        <v>0</v>
      </c>
      <c r="AW10" s="17">
        <f t="shared" ref="AW10" si="106">SUM(AW11:AW13)</f>
        <v>0</v>
      </c>
      <c r="AX10" s="18">
        <f t="shared" ref="AX10" si="107">SUM(AX11:AX13)</f>
        <v>0</v>
      </c>
      <c r="AY10" s="17">
        <f t="shared" ref="AY10" si="108">SUM(AY11:AY13)</f>
        <v>0</v>
      </c>
      <c r="AZ10" s="17">
        <f t="shared" ref="AZ10" si="109">SUM(AZ11:AZ13)</f>
        <v>0</v>
      </c>
      <c r="BA10" s="17">
        <f t="shared" ref="BA10" si="110">SUM(BA11:BA13)</f>
        <v>0</v>
      </c>
      <c r="BB10" s="17">
        <f t="shared" ref="BB10" si="111">SUM(BB11:BB13)</f>
        <v>0</v>
      </c>
      <c r="BC10" s="17">
        <f t="shared" ref="BC10" si="112">SUM(BC11:BC13)</f>
        <v>0</v>
      </c>
      <c r="BD10" s="17">
        <f t="shared" ref="BD10" si="113">SUM(BD11:BD13)</f>
        <v>0</v>
      </c>
      <c r="BE10" s="17">
        <f t="shared" ref="BE10" si="114">SUM(BE11:BE13)</f>
        <v>0</v>
      </c>
      <c r="BF10" s="17">
        <f t="shared" ref="BF10" si="115">SUM(BF11:BF13)</f>
        <v>0</v>
      </c>
      <c r="BG10" s="17">
        <f t="shared" ref="BG10" si="116">SUM(BG11:BG13)</f>
        <v>0</v>
      </c>
      <c r="BH10" s="17">
        <f t="shared" ref="BH10" si="117">SUM(BH11:BH13)</f>
        <v>0</v>
      </c>
      <c r="BI10" s="17">
        <f t="shared" ref="BI10" si="118">SUM(BI11:BI13)</f>
        <v>0</v>
      </c>
      <c r="BJ10" s="18">
        <f t="shared" ref="BJ10" si="119">SUM(BJ11:BJ13)</f>
        <v>0</v>
      </c>
    </row>
    <row r="11" spans="1:62" x14ac:dyDescent="0.35">
      <c r="A11" s="1" t="s">
        <v>27</v>
      </c>
      <c r="B11" s="1" t="s">
        <v>157</v>
      </c>
      <c r="C11" s="52">
        <v>27.583751918216553</v>
      </c>
      <c r="D11" s="53">
        <v>36.625230958033136</v>
      </c>
      <c r="E11" s="53">
        <v>11.101823575206151</v>
      </c>
      <c r="F11" s="53">
        <v>16.751330790261733</v>
      </c>
      <c r="G11" s="53">
        <v>12.75059191073224</v>
      </c>
      <c r="H11" s="53">
        <v>17.970251929530001</v>
      </c>
      <c r="I11" s="53">
        <v>11.839389045025989</v>
      </c>
      <c r="J11" s="53">
        <v>24.668373939294494</v>
      </c>
      <c r="K11" s="53">
        <v>13.858880010182482</v>
      </c>
      <c r="L11" s="53">
        <v>12.984125993715855</v>
      </c>
      <c r="M11" s="53">
        <v>15.469309812159471</v>
      </c>
      <c r="N11" s="53">
        <v>13.49347586183119</v>
      </c>
      <c r="O11" s="54">
        <v>14.912047481674055</v>
      </c>
      <c r="P11" s="53">
        <v>18.728287445449961</v>
      </c>
      <c r="Q11" s="53">
        <v>26.828643434740002</v>
      </c>
      <c r="R11" s="53">
        <v>30.888675375282038</v>
      </c>
      <c r="S11" s="53">
        <v>82.776032995241579</v>
      </c>
      <c r="T11" s="53">
        <v>22.807431074388518</v>
      </c>
      <c r="U11" s="53">
        <v>21.800398436665603</v>
      </c>
      <c r="V11" s="53">
        <v>12.098567320946792</v>
      </c>
      <c r="W11" s="53">
        <v>23.747628636476261</v>
      </c>
      <c r="X11" s="53">
        <v>19.507188566793452</v>
      </c>
      <c r="Y11" s="53">
        <v>22.101247160768651</v>
      </c>
      <c r="Z11" s="53">
        <v>18.264384770859937</v>
      </c>
      <c r="AA11" s="54">
        <v>21.768584957994833</v>
      </c>
      <c r="AB11" s="53">
        <v>73.249019690101932</v>
      </c>
      <c r="AC11" s="53">
        <v>28.677115332651027</v>
      </c>
      <c r="AD11" s="53">
        <v>32.592922256163462</v>
      </c>
      <c r="AE11" s="53">
        <v>46.492841829109345</v>
      </c>
      <c r="AF11" s="53">
        <v>44.101537118585604</v>
      </c>
      <c r="AG11" s="53">
        <v>35.434391521702601</v>
      </c>
      <c r="AH11" s="53">
        <v>35.40599185854763</v>
      </c>
      <c r="AI11" s="53">
        <v>29.69593560149233</v>
      </c>
      <c r="AJ11" s="53">
        <v>31.494280011866945</v>
      </c>
      <c r="AK11" s="53">
        <v>34.208306030585447</v>
      </c>
      <c r="AL11" s="53">
        <v>34.609581262686561</v>
      </c>
      <c r="AM11" s="54">
        <v>38.102161261348769</v>
      </c>
      <c r="AN11" s="53">
        <f>'Plan - CoC'!AN4-'Plan - CoC'!AN10</f>
        <v>0</v>
      </c>
      <c r="AO11" s="53">
        <f>'Plan - CoC'!AO4-'Plan - CoC'!AO10</f>
        <v>0</v>
      </c>
      <c r="AP11" s="53">
        <f>'Plan - CoC'!AP4-'Plan - CoC'!AP10</f>
        <v>0</v>
      </c>
      <c r="AQ11" s="53">
        <f>'Plan - CoC'!AQ4-'Plan - CoC'!AQ10</f>
        <v>0</v>
      </c>
      <c r="AR11" s="53">
        <f>'Plan - CoC'!AR4-'Plan - CoC'!AR10</f>
        <v>0</v>
      </c>
      <c r="AS11" s="53">
        <f>'Plan - CoC'!AS4-'Plan - CoC'!AS10</f>
        <v>0</v>
      </c>
      <c r="AT11" s="53">
        <f>'Plan - CoC'!AT4-'Plan - CoC'!AT10</f>
        <v>0</v>
      </c>
      <c r="AU11" s="53">
        <f>'Plan - CoC'!AU4-'Plan - CoC'!AU10</f>
        <v>0</v>
      </c>
      <c r="AV11" s="53">
        <f>'Plan - CoC'!AV4-'Plan - CoC'!AV10</f>
        <v>0</v>
      </c>
      <c r="AW11" s="53">
        <f>'Plan - CoC'!AW4-'Plan - CoC'!AW10</f>
        <v>0</v>
      </c>
      <c r="AX11" s="54">
        <f>'Plan - CoC'!AX4-'Plan - CoC'!AX10</f>
        <v>0</v>
      </c>
      <c r="AY11" s="53">
        <f>'Plan - CoC'!AY4-'Plan - CoC'!AY10</f>
        <v>0</v>
      </c>
      <c r="AZ11" s="53">
        <f>'Plan - CoC'!AZ4-'Plan - CoC'!AZ10</f>
        <v>0</v>
      </c>
      <c r="BA11" s="53">
        <f>'Plan - CoC'!BA4-'Plan - CoC'!BA10</f>
        <v>0</v>
      </c>
      <c r="BB11" s="53">
        <f>'Plan - CoC'!BB4-'Plan - CoC'!BB10</f>
        <v>0</v>
      </c>
      <c r="BC11" s="53">
        <f>'Plan - CoC'!BC4-'Plan - CoC'!BC10</f>
        <v>0</v>
      </c>
      <c r="BD11" s="53">
        <f>'Plan - CoC'!BD4-'Plan - CoC'!BD10</f>
        <v>0</v>
      </c>
      <c r="BE11" s="53">
        <f>'Plan - CoC'!BE4-'Plan - CoC'!BE10</f>
        <v>0</v>
      </c>
      <c r="BF11" s="53">
        <f>'Plan - CoC'!BF4-'Plan - CoC'!BF10</f>
        <v>0</v>
      </c>
      <c r="BG11" s="53">
        <f>'Plan - CoC'!BG4-'Plan - CoC'!BG10</f>
        <v>0</v>
      </c>
      <c r="BH11" s="53">
        <f>'Plan - CoC'!BH4-'Plan - CoC'!BH10</f>
        <v>0</v>
      </c>
      <c r="BI11" s="53">
        <f>'Plan - CoC'!BI4-'Plan - CoC'!BI10</f>
        <v>0</v>
      </c>
      <c r="BJ11" s="54">
        <f>'Plan - CoC'!BJ4-'Plan - CoC'!BJ10</f>
        <v>0</v>
      </c>
    </row>
    <row r="12" spans="1:62" x14ac:dyDescent="0.35">
      <c r="A12" s="2" t="s">
        <v>27</v>
      </c>
      <c r="B12" s="2" t="s">
        <v>158</v>
      </c>
      <c r="C12" s="55">
        <v>38.733858688646514</v>
      </c>
      <c r="D12" s="56">
        <v>14.98271918759646</v>
      </c>
      <c r="E12" s="56">
        <v>14.774179849614548</v>
      </c>
      <c r="F12" s="56">
        <v>14.145265346278487</v>
      </c>
      <c r="G12" s="56">
        <v>17.221602365945081</v>
      </c>
      <c r="H12" s="56">
        <v>14.914003895622871</v>
      </c>
      <c r="I12" s="56">
        <v>14.495933082046802</v>
      </c>
      <c r="J12" s="56">
        <v>18.532378744696569</v>
      </c>
      <c r="K12" s="56">
        <v>12.550222850760356</v>
      </c>
      <c r="L12" s="56">
        <v>44.939074680736447</v>
      </c>
      <c r="M12" s="56">
        <v>54.841096958302224</v>
      </c>
      <c r="N12" s="56">
        <v>14.941462354551046</v>
      </c>
      <c r="O12" s="57">
        <v>15.184597012383097</v>
      </c>
      <c r="P12" s="56">
        <v>17.808160037385079</v>
      </c>
      <c r="Q12" s="56">
        <v>20.646612400974405</v>
      </c>
      <c r="R12" s="56">
        <v>35.568840801585445</v>
      </c>
      <c r="S12" s="56">
        <v>16.579093154141383</v>
      </c>
      <c r="T12" s="56">
        <v>23.202158196801381</v>
      </c>
      <c r="U12" s="56">
        <v>27.975222171189333</v>
      </c>
      <c r="V12" s="56">
        <v>6.1388183274906938</v>
      </c>
      <c r="W12" s="56">
        <v>7.67994304143064</v>
      </c>
      <c r="X12" s="56">
        <v>13.586501720554644</v>
      </c>
      <c r="Y12" s="56">
        <v>12.597694444491353</v>
      </c>
      <c r="Z12" s="56">
        <v>12.557773183122265</v>
      </c>
      <c r="AA12" s="57">
        <v>9.0608901937759541</v>
      </c>
      <c r="AB12" s="56">
        <v>16.33468373433864</v>
      </c>
      <c r="AC12" s="56">
        <v>16.825659739945987</v>
      </c>
      <c r="AD12" s="56">
        <v>23.285193505653176</v>
      </c>
      <c r="AE12" s="56">
        <v>18.514550583507464</v>
      </c>
      <c r="AF12" s="56">
        <v>14.034159587628704</v>
      </c>
      <c r="AG12" s="56">
        <v>13.861596624418461</v>
      </c>
      <c r="AH12" s="56">
        <v>13.40120378821168</v>
      </c>
      <c r="AI12" s="56">
        <v>15.04231409308974</v>
      </c>
      <c r="AJ12" s="56">
        <v>13.40908894940199</v>
      </c>
      <c r="AK12" s="56">
        <v>13.623197583706053</v>
      </c>
      <c r="AL12" s="56">
        <v>14.491586223206333</v>
      </c>
      <c r="AM12" s="57">
        <v>14.976076991598886</v>
      </c>
      <c r="AN12" s="56">
        <f>'Plan - CoC'!AN5-'Plan - CoC'!AN11</f>
        <v>0</v>
      </c>
      <c r="AO12" s="56">
        <f>'Plan - CoC'!AO5-'Plan - CoC'!AO11</f>
        <v>0</v>
      </c>
      <c r="AP12" s="56">
        <f>'Plan - CoC'!AP5-'Plan - CoC'!AP11</f>
        <v>0</v>
      </c>
      <c r="AQ12" s="56">
        <f>'Plan - CoC'!AQ5-'Plan - CoC'!AQ11</f>
        <v>0</v>
      </c>
      <c r="AR12" s="56">
        <f>'Plan - CoC'!AR5-'Plan - CoC'!AR11</f>
        <v>0</v>
      </c>
      <c r="AS12" s="56">
        <f>'Plan - CoC'!AS5-'Plan - CoC'!AS11</f>
        <v>0</v>
      </c>
      <c r="AT12" s="56">
        <f>'Plan - CoC'!AT5-'Plan - CoC'!AT11</f>
        <v>0</v>
      </c>
      <c r="AU12" s="56">
        <f>'Plan - CoC'!AU5-'Plan - CoC'!AU11</f>
        <v>0</v>
      </c>
      <c r="AV12" s="56">
        <f>'Plan - CoC'!AV5-'Plan - CoC'!AV11</f>
        <v>0</v>
      </c>
      <c r="AW12" s="56">
        <f>'Plan - CoC'!AW5-'Plan - CoC'!AW11</f>
        <v>0</v>
      </c>
      <c r="AX12" s="57">
        <f>'Plan - CoC'!AX5-'Plan - CoC'!AX11</f>
        <v>0</v>
      </c>
      <c r="AY12" s="56">
        <f>'Plan - CoC'!AY5-'Plan - CoC'!AY11</f>
        <v>0</v>
      </c>
      <c r="AZ12" s="56">
        <f>'Plan - CoC'!AZ5-'Plan - CoC'!AZ11</f>
        <v>0</v>
      </c>
      <c r="BA12" s="56">
        <f>'Plan - CoC'!BA5-'Plan - CoC'!BA11</f>
        <v>0</v>
      </c>
      <c r="BB12" s="56">
        <f>'Plan - CoC'!BB5-'Plan - CoC'!BB11</f>
        <v>0</v>
      </c>
      <c r="BC12" s="56">
        <f>'Plan - CoC'!BC5-'Plan - CoC'!BC11</f>
        <v>0</v>
      </c>
      <c r="BD12" s="56">
        <f>'Plan - CoC'!BD5-'Plan - CoC'!BD11</f>
        <v>0</v>
      </c>
      <c r="BE12" s="56">
        <f>'Plan - CoC'!BE5-'Plan - CoC'!BE11</f>
        <v>0</v>
      </c>
      <c r="BF12" s="56">
        <f>'Plan - CoC'!BF5-'Plan - CoC'!BF11</f>
        <v>0</v>
      </c>
      <c r="BG12" s="56">
        <f>'Plan - CoC'!BG5-'Plan - CoC'!BG11</f>
        <v>0</v>
      </c>
      <c r="BH12" s="56">
        <f>'Plan - CoC'!BH5-'Plan - CoC'!BH11</f>
        <v>0</v>
      </c>
      <c r="BI12" s="56">
        <f>'Plan - CoC'!BI5-'Plan - CoC'!BI11</f>
        <v>0</v>
      </c>
      <c r="BJ12" s="57">
        <f>'Plan - CoC'!BJ5-'Plan - CoC'!BJ11</f>
        <v>0</v>
      </c>
    </row>
    <row r="13" spans="1:62" x14ac:dyDescent="0.35">
      <c r="A13" s="3" t="s">
        <v>27</v>
      </c>
      <c r="B13" s="3" t="s">
        <v>159</v>
      </c>
      <c r="C13" s="58">
        <v>0</v>
      </c>
      <c r="D13" s="59">
        <v>0</v>
      </c>
      <c r="E13" s="59">
        <v>0</v>
      </c>
      <c r="F13" s="59">
        <v>0</v>
      </c>
      <c r="G13" s="59">
        <v>0</v>
      </c>
      <c r="H13" s="59">
        <v>0</v>
      </c>
      <c r="I13" s="59">
        <v>0</v>
      </c>
      <c r="J13" s="59">
        <v>0</v>
      </c>
      <c r="K13" s="59">
        <v>0</v>
      </c>
      <c r="L13" s="59">
        <v>0</v>
      </c>
      <c r="M13" s="59">
        <v>0</v>
      </c>
      <c r="N13" s="59">
        <v>0</v>
      </c>
      <c r="O13" s="60">
        <v>0</v>
      </c>
      <c r="P13" s="59">
        <v>0</v>
      </c>
      <c r="Q13" s="59">
        <v>0</v>
      </c>
      <c r="R13" s="59">
        <v>0</v>
      </c>
      <c r="S13" s="59">
        <v>0</v>
      </c>
      <c r="T13" s="59">
        <v>0</v>
      </c>
      <c r="U13" s="59">
        <v>0</v>
      </c>
      <c r="V13" s="59">
        <v>0</v>
      </c>
      <c r="W13" s="59">
        <v>0</v>
      </c>
      <c r="X13" s="59">
        <v>0</v>
      </c>
      <c r="Y13" s="59">
        <v>0</v>
      </c>
      <c r="Z13" s="59">
        <v>0</v>
      </c>
      <c r="AA13" s="60">
        <v>0</v>
      </c>
      <c r="AB13" s="59">
        <v>0</v>
      </c>
      <c r="AC13" s="59">
        <v>0</v>
      </c>
      <c r="AD13" s="59">
        <v>0</v>
      </c>
      <c r="AE13" s="59">
        <v>0</v>
      </c>
      <c r="AF13" s="59">
        <v>0</v>
      </c>
      <c r="AG13" s="59">
        <v>0</v>
      </c>
      <c r="AH13" s="59">
        <v>0</v>
      </c>
      <c r="AI13" s="59">
        <v>0</v>
      </c>
      <c r="AJ13" s="59">
        <v>0</v>
      </c>
      <c r="AK13" s="59">
        <v>0</v>
      </c>
      <c r="AL13" s="59">
        <v>0</v>
      </c>
      <c r="AM13" s="60">
        <v>0</v>
      </c>
      <c r="AN13" s="59">
        <f>'Plan - CoC'!AN6-'Plan - CoC'!AN12</f>
        <v>0</v>
      </c>
      <c r="AO13" s="59">
        <f>'Plan - CoC'!AO6-'Plan - CoC'!AO12</f>
        <v>0</v>
      </c>
      <c r="AP13" s="59">
        <f>'Plan - CoC'!AP6-'Plan - CoC'!AP12</f>
        <v>0</v>
      </c>
      <c r="AQ13" s="59">
        <f>'Plan - CoC'!AQ6-'Plan - CoC'!AQ12</f>
        <v>0</v>
      </c>
      <c r="AR13" s="59">
        <f>'Plan - CoC'!AR6-'Plan - CoC'!AR12</f>
        <v>0</v>
      </c>
      <c r="AS13" s="59">
        <f>'Plan - CoC'!AS6-'Plan - CoC'!AS12</f>
        <v>0</v>
      </c>
      <c r="AT13" s="59">
        <f>'Plan - CoC'!AT6-'Plan - CoC'!AT12</f>
        <v>0</v>
      </c>
      <c r="AU13" s="59">
        <f>'Plan - CoC'!AU6-'Plan - CoC'!AU12</f>
        <v>0</v>
      </c>
      <c r="AV13" s="59">
        <f>'Plan - CoC'!AV6-'Plan - CoC'!AV12</f>
        <v>0</v>
      </c>
      <c r="AW13" s="59">
        <f>'Plan - CoC'!AW6-'Plan - CoC'!AW12</f>
        <v>0</v>
      </c>
      <c r="AX13" s="60">
        <f>'Plan - CoC'!AX6-'Plan - CoC'!AX12</f>
        <v>0</v>
      </c>
      <c r="AY13" s="59">
        <f>'Plan - CoC'!AY6-'Plan - CoC'!AY12</f>
        <v>0</v>
      </c>
      <c r="AZ13" s="59">
        <f>'Plan - CoC'!AZ6-'Plan - CoC'!AZ12</f>
        <v>0</v>
      </c>
      <c r="BA13" s="59">
        <f>'Plan - CoC'!BA6-'Plan - CoC'!BA12</f>
        <v>0</v>
      </c>
      <c r="BB13" s="59">
        <f>'Plan - CoC'!BB6-'Plan - CoC'!BB12</f>
        <v>0</v>
      </c>
      <c r="BC13" s="59">
        <f>'Plan - CoC'!BC6-'Plan - CoC'!BC12</f>
        <v>0</v>
      </c>
      <c r="BD13" s="59">
        <f>'Plan - CoC'!BD6-'Plan - CoC'!BD12</f>
        <v>0</v>
      </c>
      <c r="BE13" s="59">
        <f>'Plan - CoC'!BE6-'Plan - CoC'!BE12</f>
        <v>0</v>
      </c>
      <c r="BF13" s="59">
        <f>'Plan - CoC'!BF6-'Plan - CoC'!BF12</f>
        <v>0</v>
      </c>
      <c r="BG13" s="59">
        <f>'Plan - CoC'!BG6-'Plan - CoC'!BG12</f>
        <v>0</v>
      </c>
      <c r="BH13" s="59">
        <f>'Plan - CoC'!BH6-'Plan - CoC'!BH12</f>
        <v>0</v>
      </c>
      <c r="BI13" s="59">
        <f>'Plan - CoC'!BI6-'Plan - CoC'!BI12</f>
        <v>0</v>
      </c>
      <c r="BJ13" s="60">
        <f>'Plan - CoC'!BJ6-'Plan - CoC'!BJ12</f>
        <v>0</v>
      </c>
    </row>
    <row r="15" spans="1:62" x14ac:dyDescent="0.35">
      <c r="N15" s="231"/>
      <c r="Z15" s="231"/>
      <c r="AL15" s="231"/>
    </row>
  </sheetData>
  <conditionalFormatting sqref="C4:BJ4">
    <cfRule type="expression" dxfId="221" priority="4">
      <formula>C$1="SL3"</formula>
    </cfRule>
    <cfRule type="expression" dxfId="220" priority="5">
      <formula>C$1="SL2"</formula>
    </cfRule>
    <cfRule type="expression" dxfId="219" priority="6">
      <formula>C$1="SL1"</formula>
    </cfRule>
  </conditionalFormatting>
  <conditionalFormatting sqref="C10:BJ10">
    <cfRule type="expression" dxfId="218" priority="1">
      <formula>C$1="SL3"</formula>
    </cfRule>
    <cfRule type="expression" dxfId="217" priority="2">
      <formula>C$1="SL2"</formula>
    </cfRule>
    <cfRule type="expression" dxfId="216" priority="3">
      <formula>C$1="SL1"</formula>
    </cfRule>
  </conditionalFormatting>
  <hyperlinks>
    <hyperlink ref="A1" location="Index!C9" display="Back - Index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AO42"/>
  <sheetViews>
    <sheetView showGridLines="0" workbookViewId="0">
      <pane xSplit="4" ySplit="3" topLeftCell="E4" activePane="bottomRight" state="frozen"/>
      <selection pane="topRight" activeCell="E1" sqref="E1"/>
      <selection pane="bottomLeft" activeCell="A3" sqref="A3"/>
      <selection pane="bottomRight" activeCell="A11" sqref="A11"/>
    </sheetView>
  </sheetViews>
  <sheetFormatPr defaultRowHeight="14.5" x14ac:dyDescent="0.35"/>
  <cols>
    <col min="2" max="2" width="26.54296875" bestFit="1" customWidth="1"/>
    <col min="3" max="3" width="12.453125" bestFit="1" customWidth="1"/>
    <col min="4" max="4" width="11.54296875" bestFit="1" customWidth="1"/>
    <col min="5" max="5" width="11" bestFit="1" customWidth="1"/>
    <col min="6" max="9" width="10.54296875" bestFit="1" customWidth="1"/>
    <col min="10" max="10" width="11.54296875" bestFit="1" customWidth="1"/>
    <col min="11" max="40" width="10.54296875" bestFit="1" customWidth="1"/>
  </cols>
  <sheetData>
    <row r="1" spans="1:41" x14ac:dyDescent="0.35">
      <c r="A1" s="121" t="s">
        <v>117</v>
      </c>
      <c r="E1" s="175" t="str">
        <f>LOOKUP(E3,'Input-Stress Parameters'!$C$9:$BJ$9,'Input-Stress Parameters'!$C$11:$BJ$11)</f>
        <v>N</v>
      </c>
      <c r="F1" s="175" t="str">
        <f>LOOKUP(F3,'Input-Stress Parameters'!$C$9:$BJ$9,'Input-Stress Parameters'!$C$11:$BJ$11)</f>
        <v>SL1</v>
      </c>
      <c r="G1" s="175" t="str">
        <f>LOOKUP(G3,'Input-Stress Parameters'!$C$9:$BJ$9,'Input-Stress Parameters'!$C$11:$BJ$11)</f>
        <v>SL1</v>
      </c>
      <c r="H1" s="175" t="str">
        <f>LOOKUP(H3,'Input-Stress Parameters'!$C$9:$BJ$9,'Input-Stress Parameters'!$C$11:$BJ$11)</f>
        <v>SL1</v>
      </c>
      <c r="I1" s="175" t="str">
        <f>LOOKUP(I3,'Input-Stress Parameters'!$C$9:$BJ$9,'Input-Stress Parameters'!$C$11:$BJ$11)</f>
        <v>SL1</v>
      </c>
      <c r="J1" s="175" t="str">
        <f>LOOKUP(J3,'Input-Stress Parameters'!$C$9:$BJ$9,'Input-Stress Parameters'!$C$11:$BJ$11)</f>
        <v>SL1</v>
      </c>
      <c r="K1" s="175" t="str">
        <f>LOOKUP(K3,'Input-Stress Parameters'!$C$9:$BJ$9,'Input-Stress Parameters'!$C$11:$BJ$11)</f>
        <v>SL1</v>
      </c>
      <c r="L1" s="175" t="str">
        <f>LOOKUP(L3,'Input-Stress Parameters'!$C$9:$BJ$9,'Input-Stress Parameters'!$C$11:$BJ$11)</f>
        <v>SL2</v>
      </c>
      <c r="M1" s="175" t="str">
        <f>LOOKUP(M3,'Input-Stress Parameters'!$C$9:$BJ$9,'Input-Stress Parameters'!$C$11:$BJ$11)</f>
        <v>SL2</v>
      </c>
      <c r="N1" s="175" t="str">
        <f>LOOKUP(N3,'Input-Stress Parameters'!$C$9:$BJ$9,'Input-Stress Parameters'!$C$11:$BJ$11)</f>
        <v>SL2</v>
      </c>
      <c r="O1" s="175" t="str">
        <f>LOOKUP(O3,'Input-Stress Parameters'!$C$9:$BJ$9,'Input-Stress Parameters'!$C$11:$BJ$11)</f>
        <v>SL2</v>
      </c>
      <c r="P1" s="175" t="str">
        <f>LOOKUP(P3,'Input-Stress Parameters'!$C$9:$BJ$9,'Input-Stress Parameters'!$C$11:$BJ$11)</f>
        <v>SL2</v>
      </c>
      <c r="Q1" s="175" t="str">
        <f>LOOKUP(Q3,'Input-Stress Parameters'!$C$9:$BJ$9,'Input-Stress Parameters'!$C$11:$BJ$11)</f>
        <v>SL2</v>
      </c>
      <c r="R1" s="175" t="str">
        <f>LOOKUP(R3,'Input-Stress Parameters'!$C$9:$BJ$9,'Input-Stress Parameters'!$C$11:$BJ$11)</f>
        <v>SL2</v>
      </c>
      <c r="S1" s="175" t="str">
        <f>LOOKUP(S3,'Input-Stress Parameters'!$C$9:$BJ$9,'Input-Stress Parameters'!$C$11:$BJ$11)</f>
        <v>SL2</v>
      </c>
      <c r="T1" s="175" t="str">
        <f>LOOKUP(T3,'Input-Stress Parameters'!$C$9:$BJ$9,'Input-Stress Parameters'!$C$11:$BJ$11)</f>
        <v>SL2</v>
      </c>
      <c r="U1" s="175" t="str">
        <f>LOOKUP(U3,'Input-Stress Parameters'!$C$9:$BJ$9,'Input-Stress Parameters'!$C$11:$BJ$11)</f>
        <v>SL2</v>
      </c>
      <c r="V1" s="175" t="str">
        <f>LOOKUP(V3,'Input-Stress Parameters'!$C$9:$BJ$9,'Input-Stress Parameters'!$C$11:$BJ$11)</f>
        <v>SL2</v>
      </c>
      <c r="W1" s="175" t="str">
        <f>LOOKUP(W3,'Input-Stress Parameters'!$C$9:$BJ$9,'Input-Stress Parameters'!$C$11:$BJ$11)</f>
        <v>SL2</v>
      </c>
      <c r="X1" s="175" t="str">
        <f>LOOKUP(X3,'Input-Stress Parameters'!$C$9:$BJ$9,'Input-Stress Parameters'!$C$11:$BJ$11)</f>
        <v>SL3</v>
      </c>
      <c r="Y1" s="175" t="str">
        <f>LOOKUP(Y3,'Input-Stress Parameters'!$C$9:$BJ$9,'Input-Stress Parameters'!$C$11:$BJ$11)</f>
        <v>SL3</v>
      </c>
      <c r="Z1" s="175" t="str">
        <f>LOOKUP(Z3,'Input-Stress Parameters'!$C$9:$BJ$9,'Input-Stress Parameters'!$C$11:$BJ$11)</f>
        <v>SL3</v>
      </c>
      <c r="AA1" s="175" t="str">
        <f>LOOKUP(AA3,'Input-Stress Parameters'!$C$9:$BJ$9,'Input-Stress Parameters'!$C$11:$BJ$11)</f>
        <v>SL3</v>
      </c>
      <c r="AB1" s="175" t="str">
        <f>LOOKUP(AB3,'Input-Stress Parameters'!$C$9:$BJ$9,'Input-Stress Parameters'!$C$11:$BJ$11)</f>
        <v>SL3</v>
      </c>
      <c r="AC1" s="175" t="str">
        <f>LOOKUP(AC3,'Input-Stress Parameters'!$C$9:$BJ$9,'Input-Stress Parameters'!$C$11:$BJ$11)</f>
        <v>SL3</v>
      </c>
      <c r="AD1" s="175" t="str">
        <f>LOOKUP(AD3,'Input-Stress Parameters'!$C$9:$BJ$9,'Input-Stress Parameters'!$C$11:$BJ$11)</f>
        <v>SL3</v>
      </c>
      <c r="AE1" s="175" t="str">
        <f>LOOKUP(AE3,'Input-Stress Parameters'!$C$9:$BJ$9,'Input-Stress Parameters'!$C$11:$BJ$11)</f>
        <v>SL3</v>
      </c>
      <c r="AF1" s="175" t="str">
        <f>LOOKUP(AF3,'Input-Stress Parameters'!$C$9:$BJ$9,'Input-Stress Parameters'!$C$11:$BJ$11)</f>
        <v>SL3</v>
      </c>
      <c r="AG1" s="175" t="str">
        <f>LOOKUP(AG3,'Input-Stress Parameters'!$C$9:$BJ$9,'Input-Stress Parameters'!$C$11:$BJ$11)</f>
        <v>SL3</v>
      </c>
      <c r="AH1" s="175" t="str">
        <f>LOOKUP(AH3,'Input-Stress Parameters'!$C$9:$BJ$9,'Input-Stress Parameters'!$C$11:$BJ$11)</f>
        <v>SL3</v>
      </c>
      <c r="AI1" s="175" t="str">
        <f>LOOKUP(AI3,'Input-Stress Parameters'!$C$9:$BJ$9,'Input-Stress Parameters'!$C$11:$BJ$11)</f>
        <v>SL3</v>
      </c>
      <c r="AJ1" s="175" t="str">
        <f>LOOKUP(AJ3,'Input-Stress Parameters'!$C$9:$BJ$9,'Input-Stress Parameters'!$C$11:$BJ$11)</f>
        <v>N</v>
      </c>
      <c r="AK1" s="175" t="str">
        <f>LOOKUP(AK3,'Input-Stress Parameters'!$C$9:$BJ$9,'Input-Stress Parameters'!$C$11:$BJ$11)</f>
        <v>N</v>
      </c>
      <c r="AL1" s="175" t="str">
        <f>LOOKUP(AL3,'Input-Stress Parameters'!$C$9:$BJ$9,'Input-Stress Parameters'!$C$11:$BJ$11)</f>
        <v>N</v>
      </c>
      <c r="AM1" s="175" t="str">
        <f>LOOKUP(AM3,'Input-Stress Parameters'!$C$9:$BJ$9,'Input-Stress Parameters'!$C$11:$BJ$11)</f>
        <v>N</v>
      </c>
      <c r="AN1" s="175" t="str">
        <f>LOOKUP(AN3,'Input-Stress Parameters'!$C$9:$BJ$9,'Input-Stress Parameters'!$C$11:$BJ$11)</f>
        <v>N</v>
      </c>
      <c r="AO1" s="175" t="str">
        <f>LOOKUP(AO3,'Input-Stress Parameters'!$C$9:$BJ$9,'Input-Stress Parameters'!$C$11:$BJ$11)</f>
        <v>N</v>
      </c>
    </row>
    <row r="2" spans="1:41" x14ac:dyDescent="0.35">
      <c r="A2" s="121"/>
      <c r="E2" s="175" t="str">
        <f>LOOKUP(E3,'Input-Stress Parameters'!$C$27:$BJ$27,'Input-Stress Parameters'!$C$28:$BJ$28)</f>
        <v>N</v>
      </c>
      <c r="F2" s="175" t="str">
        <f>LOOKUP(F3,'Input-Stress Parameters'!$C$27:$BJ$27,'Input-Stress Parameters'!$C$28:$BJ$28)</f>
        <v>SL1</v>
      </c>
      <c r="G2" s="175" t="str">
        <f>LOOKUP(G3,'Input-Stress Parameters'!$C$27:$BJ$27,'Input-Stress Parameters'!$C$28:$BJ$28)</f>
        <v>SL1</v>
      </c>
      <c r="H2" s="175" t="str">
        <f>LOOKUP(H3,'Input-Stress Parameters'!$C$27:$BJ$27,'Input-Stress Parameters'!$C$28:$BJ$28)</f>
        <v>SL1</v>
      </c>
      <c r="I2" s="175" t="str">
        <f>LOOKUP(I3,'Input-Stress Parameters'!$C$27:$BJ$27,'Input-Stress Parameters'!$C$28:$BJ$28)</f>
        <v>SL1</v>
      </c>
      <c r="J2" s="175" t="str">
        <f>LOOKUP(J3,'Input-Stress Parameters'!$C$27:$BJ$27,'Input-Stress Parameters'!$C$28:$BJ$28)</f>
        <v>SL1</v>
      </c>
      <c r="K2" s="175" t="str">
        <f>LOOKUP(K3,'Input-Stress Parameters'!$C$27:$BJ$27,'Input-Stress Parameters'!$C$28:$BJ$28)</f>
        <v>SL1</v>
      </c>
      <c r="L2" s="175" t="str">
        <f>LOOKUP(L3,'Input-Stress Parameters'!$C$27:$BJ$27,'Input-Stress Parameters'!$C$28:$BJ$28)</f>
        <v>SL2</v>
      </c>
      <c r="M2" s="175" t="str">
        <f>LOOKUP(M3,'Input-Stress Parameters'!$C$27:$BJ$27,'Input-Stress Parameters'!$C$28:$BJ$28)</f>
        <v>SL2</v>
      </c>
      <c r="N2" s="175" t="str">
        <f>LOOKUP(N3,'Input-Stress Parameters'!$C$27:$BJ$27,'Input-Stress Parameters'!$C$28:$BJ$28)</f>
        <v>SL2</v>
      </c>
      <c r="O2" s="175" t="str">
        <f>LOOKUP(O3,'Input-Stress Parameters'!$C$27:$BJ$27,'Input-Stress Parameters'!$C$28:$BJ$28)</f>
        <v>SL2</v>
      </c>
      <c r="P2" s="175" t="str">
        <f>LOOKUP(P3,'Input-Stress Parameters'!$C$27:$BJ$27,'Input-Stress Parameters'!$C$28:$BJ$28)</f>
        <v>SL2</v>
      </c>
      <c r="Q2" s="175" t="str">
        <f>LOOKUP(Q3,'Input-Stress Parameters'!$C$27:$BJ$27,'Input-Stress Parameters'!$C$28:$BJ$28)</f>
        <v>SL2</v>
      </c>
      <c r="R2" s="175" t="str">
        <f>LOOKUP(R3,'Input-Stress Parameters'!$C$27:$BJ$27,'Input-Stress Parameters'!$C$28:$BJ$28)</f>
        <v>SL2</v>
      </c>
      <c r="S2" s="175" t="str">
        <f>LOOKUP(S3,'Input-Stress Parameters'!$C$27:$BJ$27,'Input-Stress Parameters'!$C$28:$BJ$28)</f>
        <v>SL2</v>
      </c>
      <c r="T2" s="175" t="str">
        <f>LOOKUP(T3,'Input-Stress Parameters'!$C$27:$BJ$27,'Input-Stress Parameters'!$C$28:$BJ$28)</f>
        <v>SL2</v>
      </c>
      <c r="U2" s="175" t="str">
        <f>LOOKUP(U3,'Input-Stress Parameters'!$C$27:$BJ$27,'Input-Stress Parameters'!$C$28:$BJ$28)</f>
        <v>SL2</v>
      </c>
      <c r="V2" s="175" t="str">
        <f>LOOKUP(V3,'Input-Stress Parameters'!$C$27:$BJ$27,'Input-Stress Parameters'!$C$28:$BJ$28)</f>
        <v>SL2</v>
      </c>
      <c r="W2" s="175" t="str">
        <f>LOOKUP(W3,'Input-Stress Parameters'!$C$27:$BJ$27,'Input-Stress Parameters'!$C$28:$BJ$28)</f>
        <v>SL2</v>
      </c>
      <c r="X2" s="175" t="str">
        <f>LOOKUP(X3,'Input-Stress Parameters'!$C$27:$BJ$27,'Input-Stress Parameters'!$C$28:$BJ$28)</f>
        <v>SL31</v>
      </c>
      <c r="Y2" s="175" t="str">
        <f>LOOKUP(Y3,'Input-Stress Parameters'!$C$27:$BJ$27,'Input-Stress Parameters'!$C$28:$BJ$28)</f>
        <v>SL31</v>
      </c>
      <c r="Z2" s="175" t="str">
        <f>LOOKUP(Z3,'Input-Stress Parameters'!$C$27:$BJ$27,'Input-Stress Parameters'!$C$28:$BJ$28)</f>
        <v>SL31</v>
      </c>
      <c r="AA2" s="175" t="str">
        <f>LOOKUP(AA3,'Input-Stress Parameters'!$C$27:$BJ$27,'Input-Stress Parameters'!$C$28:$BJ$28)</f>
        <v>SL31</v>
      </c>
      <c r="AB2" s="175" t="str">
        <f>LOOKUP(AB3,'Input-Stress Parameters'!$C$27:$BJ$27,'Input-Stress Parameters'!$C$28:$BJ$28)</f>
        <v>SL31</v>
      </c>
      <c r="AC2" s="175" t="str">
        <f>LOOKUP(AC3,'Input-Stress Parameters'!$C$27:$BJ$27,'Input-Stress Parameters'!$C$28:$BJ$28)</f>
        <v>SL31</v>
      </c>
      <c r="AD2" s="175" t="str">
        <f>LOOKUP(AD3,'Input-Stress Parameters'!$C$27:$BJ$27,'Input-Stress Parameters'!$C$28:$BJ$28)</f>
        <v>SL32</v>
      </c>
      <c r="AE2" s="175" t="str">
        <f>LOOKUP(AE3,'Input-Stress Parameters'!$C$27:$BJ$27,'Input-Stress Parameters'!$C$28:$BJ$28)</f>
        <v>SL32</v>
      </c>
      <c r="AF2" s="175" t="str">
        <f>LOOKUP(AF3,'Input-Stress Parameters'!$C$27:$BJ$27,'Input-Stress Parameters'!$C$28:$BJ$28)</f>
        <v>SL32</v>
      </c>
      <c r="AG2" s="175" t="str">
        <f>LOOKUP(AG3,'Input-Stress Parameters'!$C$27:$BJ$27,'Input-Stress Parameters'!$C$28:$BJ$28)</f>
        <v>SL32</v>
      </c>
      <c r="AH2" s="175" t="str">
        <f>LOOKUP(AH3,'Input-Stress Parameters'!$C$27:$BJ$27,'Input-Stress Parameters'!$C$28:$BJ$28)</f>
        <v>SL32</v>
      </c>
      <c r="AI2" s="175" t="str">
        <f>LOOKUP(AI3,'Input-Stress Parameters'!$C$27:$BJ$27,'Input-Stress Parameters'!$C$28:$BJ$28)</f>
        <v>SL32</v>
      </c>
      <c r="AJ2" s="175" t="str">
        <f>LOOKUP(AJ3,'Input-Stress Parameters'!$C$27:$BJ$27,'Input-Stress Parameters'!$C$28:$BJ$28)</f>
        <v>N</v>
      </c>
      <c r="AK2" s="175" t="str">
        <f>LOOKUP(AK3,'Input-Stress Parameters'!$C$27:$BJ$27,'Input-Stress Parameters'!$C$28:$BJ$28)</f>
        <v>N</v>
      </c>
      <c r="AL2" s="175" t="str">
        <f>LOOKUP(AL3,'Input-Stress Parameters'!$C$27:$BJ$27,'Input-Stress Parameters'!$C$28:$BJ$28)</f>
        <v>N</v>
      </c>
      <c r="AM2" s="175" t="str">
        <f>LOOKUP(AM3,'Input-Stress Parameters'!$C$27:$BJ$27,'Input-Stress Parameters'!$C$28:$BJ$28)</f>
        <v>N</v>
      </c>
      <c r="AN2" s="175" t="str">
        <f>LOOKUP(AN3,'Input-Stress Parameters'!$C$27:$BJ$27,'Input-Stress Parameters'!$C$28:$BJ$28)</f>
        <v>N</v>
      </c>
      <c r="AO2" s="175" t="str">
        <f>LOOKUP(AO3,'Input-Stress Parameters'!$C$27:$BJ$27,'Input-Stress Parameters'!$C$28:$BJ$28)</f>
        <v>N</v>
      </c>
    </row>
    <row r="3" spans="1:41" x14ac:dyDescent="0.35">
      <c r="B3" s="14" t="s">
        <v>13</v>
      </c>
      <c r="C3" s="14" t="s">
        <v>18</v>
      </c>
      <c r="D3" s="14" t="s">
        <v>14</v>
      </c>
      <c r="E3" s="110">
        <f>'Input-Stress Parameters'!C2</f>
        <v>45352</v>
      </c>
      <c r="F3" s="111">
        <f>EDATE(E3,1)</f>
        <v>45383</v>
      </c>
      <c r="G3" s="111">
        <f>EDATE(F3,1)</f>
        <v>45413</v>
      </c>
      <c r="H3" s="111">
        <f>EDATE(G3,1)</f>
        <v>45444</v>
      </c>
      <c r="I3" s="111">
        <f t="shared" ref="I3:AO3" si="0">EDATE(H3,1)</f>
        <v>45474</v>
      </c>
      <c r="J3" s="111">
        <f t="shared" si="0"/>
        <v>45505</v>
      </c>
      <c r="K3" s="111">
        <f t="shared" si="0"/>
        <v>45536</v>
      </c>
      <c r="L3" s="111">
        <f t="shared" si="0"/>
        <v>45566</v>
      </c>
      <c r="M3" s="111">
        <f t="shared" si="0"/>
        <v>45597</v>
      </c>
      <c r="N3" s="111">
        <f t="shared" si="0"/>
        <v>45627</v>
      </c>
      <c r="O3" s="111">
        <f t="shared" si="0"/>
        <v>45658</v>
      </c>
      <c r="P3" s="112">
        <f t="shared" si="0"/>
        <v>45689</v>
      </c>
      <c r="Q3" s="111">
        <f t="shared" si="0"/>
        <v>45717</v>
      </c>
      <c r="R3" s="111">
        <f t="shared" si="0"/>
        <v>45748</v>
      </c>
      <c r="S3" s="111">
        <f t="shared" si="0"/>
        <v>45778</v>
      </c>
      <c r="T3" s="111">
        <f t="shared" si="0"/>
        <v>45809</v>
      </c>
      <c r="U3" s="111">
        <f t="shared" si="0"/>
        <v>45839</v>
      </c>
      <c r="V3" s="111">
        <f t="shared" si="0"/>
        <v>45870</v>
      </c>
      <c r="W3" s="111">
        <f t="shared" si="0"/>
        <v>45901</v>
      </c>
      <c r="X3" s="111">
        <f t="shared" si="0"/>
        <v>45931</v>
      </c>
      <c r="Y3" s="111">
        <f t="shared" si="0"/>
        <v>45962</v>
      </c>
      <c r="Z3" s="111">
        <f t="shared" si="0"/>
        <v>45992</v>
      </c>
      <c r="AA3" s="111">
        <f t="shared" si="0"/>
        <v>46023</v>
      </c>
      <c r="AB3" s="112">
        <f t="shared" si="0"/>
        <v>46054</v>
      </c>
      <c r="AC3" s="111">
        <f t="shared" si="0"/>
        <v>46082</v>
      </c>
      <c r="AD3" s="111">
        <f t="shared" si="0"/>
        <v>46113</v>
      </c>
      <c r="AE3" s="111">
        <f t="shared" si="0"/>
        <v>46143</v>
      </c>
      <c r="AF3" s="111">
        <f t="shared" si="0"/>
        <v>46174</v>
      </c>
      <c r="AG3" s="111">
        <f t="shared" si="0"/>
        <v>46204</v>
      </c>
      <c r="AH3" s="111">
        <f t="shared" si="0"/>
        <v>46235</v>
      </c>
      <c r="AI3" s="111">
        <f t="shared" si="0"/>
        <v>46266</v>
      </c>
      <c r="AJ3" s="111">
        <f t="shared" si="0"/>
        <v>46296</v>
      </c>
      <c r="AK3" s="111">
        <f t="shared" si="0"/>
        <v>46327</v>
      </c>
      <c r="AL3" s="111">
        <f t="shared" si="0"/>
        <v>46357</v>
      </c>
      <c r="AM3" s="111">
        <f t="shared" si="0"/>
        <v>46388</v>
      </c>
      <c r="AN3" s="111">
        <f t="shared" si="0"/>
        <v>46419</v>
      </c>
      <c r="AO3" s="112">
        <f t="shared" si="0"/>
        <v>46447</v>
      </c>
    </row>
    <row r="4" spans="1:41" x14ac:dyDescent="0.35">
      <c r="B4" s="1" t="s">
        <v>8</v>
      </c>
      <c r="C4" s="1" t="s">
        <v>157</v>
      </c>
      <c r="D4" s="1" t="s">
        <v>15</v>
      </c>
      <c r="E4" s="5">
        <f>'Input - ENR'!C10</f>
        <v>52026.135628996468</v>
      </c>
      <c r="F4" s="6">
        <f>'Input - ENR'!D10</f>
        <v>53122.125815351996</v>
      </c>
      <c r="G4" s="6">
        <f>'Input - ENR'!E10</f>
        <v>54537.357663136383</v>
      </c>
      <c r="H4" s="6">
        <f>'Input - ENR'!F10</f>
        <v>56131.077956348076</v>
      </c>
      <c r="I4" s="6">
        <f>'Input - ENR'!G10</f>
        <v>57882.285814306131</v>
      </c>
      <c r="J4" s="6">
        <f>'Input - ENR'!H10</f>
        <v>59903.92163520991</v>
      </c>
      <c r="K4" s="6">
        <f>'Input - ENR'!I10</f>
        <v>62171.724108479808</v>
      </c>
      <c r="L4" s="6">
        <f>'Input - ENR'!J10</f>
        <v>64281.553740035597</v>
      </c>
      <c r="M4" s="6">
        <f>'Input - ENR'!K10</f>
        <v>66819.502661620645</v>
      </c>
      <c r="N4" s="6">
        <f>'Input - ENR'!L10</f>
        <v>69659.502041674525</v>
      </c>
      <c r="O4" s="6">
        <f>'Input - ENR'!M10</f>
        <v>72546.099697516183</v>
      </c>
      <c r="P4" s="6">
        <f>'Input - ENR'!N10</f>
        <v>75386.351684501729</v>
      </c>
      <c r="Q4" s="6">
        <f>'Input - ENR'!O10</f>
        <v>78457.532984202116</v>
      </c>
      <c r="R4" s="6">
        <f>'Input - ENR'!P10</f>
        <v>79519.981139796422</v>
      </c>
      <c r="S4" s="6">
        <f>'Input - ENR'!Q10</f>
        <v>80956.827117634137</v>
      </c>
      <c r="T4" s="6">
        <f>'Input - ENR'!R10</f>
        <v>82624.562289331021</v>
      </c>
      <c r="U4" s="6">
        <f>'Input - ENR'!S10</f>
        <v>84420.557639227103</v>
      </c>
      <c r="V4" s="6">
        <f>'Input - ENR'!T10</f>
        <v>86618.50569523219</v>
      </c>
      <c r="W4" s="6">
        <f>'Input - ENR'!U10</f>
        <v>89116.611439742264</v>
      </c>
      <c r="X4" s="6">
        <f>'Input - ENR'!V10</f>
        <v>91456.307372413838</v>
      </c>
      <c r="Y4" s="6">
        <f>'Input - ENR'!W10</f>
        <v>94293.670887324784</v>
      </c>
      <c r="Z4" s="6">
        <f>'Input - ENR'!X10</f>
        <v>97508.76547126098</v>
      </c>
      <c r="AA4" s="6">
        <f>'Input - ENR'!Y10</f>
        <v>100838.6126031715</v>
      </c>
      <c r="AB4" s="6">
        <f>'Input - ENR'!Z10</f>
        <v>104111.31454869072</v>
      </c>
      <c r="AC4" s="6">
        <f>'Input - ENR'!AA10</f>
        <v>107662.78619623838</v>
      </c>
      <c r="AD4" s="6">
        <f>'Input - ENR'!AB10</f>
        <v>108590.62344738512</v>
      </c>
      <c r="AE4" s="6">
        <f>'Input - ENR'!AC10</f>
        <v>111090.54813952436</v>
      </c>
      <c r="AF4" s="6">
        <f>'Input - ENR'!AD10</f>
        <v>112758.54533353513</v>
      </c>
      <c r="AG4" s="6">
        <f>'Input - ENR'!AE10</f>
        <v>114652.41540832316</v>
      </c>
      <c r="AH4" s="6">
        <f>'Input - ENR'!AF10</f>
        <v>116957.82026474871</v>
      </c>
      <c r="AI4" s="6">
        <f>'Input - ENR'!AG10</f>
        <v>119640.4579319203</v>
      </c>
      <c r="AJ4" s="6">
        <f>'Input - ENR'!AH10</f>
        <v>122144.02098364236</v>
      </c>
      <c r="AK4" s="6">
        <f>'Input - ENR'!AI10</f>
        <v>125253.07717721196</v>
      </c>
      <c r="AL4" s="6">
        <f>'Input - ENR'!AJ10</f>
        <v>128812.10211765191</v>
      </c>
      <c r="AM4" s="6">
        <f>'Input - ENR'!AK10</f>
        <v>132474.85432067487</v>
      </c>
      <c r="AN4" s="6">
        <f>'Input - ENR'!AL10</f>
        <v>136093.94402657251</v>
      </c>
      <c r="AO4" s="7">
        <f>'Input - ENR'!AM10</f>
        <v>140058.07690881961</v>
      </c>
    </row>
    <row r="5" spans="1:41" x14ac:dyDescent="0.35">
      <c r="B5" s="2" t="s">
        <v>8</v>
      </c>
      <c r="C5" s="2" t="s">
        <v>158</v>
      </c>
      <c r="D5" s="2" t="s">
        <v>15</v>
      </c>
      <c r="E5" s="8">
        <f>'Input - ENR'!C11</f>
        <v>19204.151739359146</v>
      </c>
      <c r="F5" s="9">
        <f>'Input - ENR'!D11</f>
        <v>19852.382525258636</v>
      </c>
      <c r="G5" s="9">
        <f>'Input - ENR'!E11</f>
        <v>20619.083853420918</v>
      </c>
      <c r="H5" s="9">
        <f>'Input - ENR'!F11</f>
        <v>19514.623175547731</v>
      </c>
      <c r="I5" s="9">
        <f>'Input - ENR'!G11</f>
        <v>20461.874564878537</v>
      </c>
      <c r="J5" s="9">
        <f>'Input - ENR'!H11</f>
        <v>21525.575329686973</v>
      </c>
      <c r="K5" s="9">
        <f>'Input - ENR'!I11</f>
        <v>20739.460220896093</v>
      </c>
      <c r="L5" s="9">
        <f>'Input - ENR'!J11</f>
        <v>21885.919031153495</v>
      </c>
      <c r="M5" s="9">
        <f>'Input - ENR'!K11</f>
        <v>23209.773268979588</v>
      </c>
      <c r="N5" s="9">
        <f>'Input - ENR'!L11</f>
        <v>21707.215355682954</v>
      </c>
      <c r="O5" s="9">
        <f>'Input - ENR'!M11</f>
        <v>23211.35519479627</v>
      </c>
      <c r="P5" s="9">
        <f>'Input - ENR'!N11</f>
        <v>21812.747575996029</v>
      </c>
      <c r="Q5" s="9">
        <f>'Input - ENR'!O11</f>
        <v>23500.450646729885</v>
      </c>
      <c r="R5" s="9">
        <f>'Input - ENR'!P11</f>
        <v>24315.756412761082</v>
      </c>
      <c r="S5" s="9">
        <f>'Input - ENR'!Q11</f>
        <v>25271.391036590077</v>
      </c>
      <c r="T5" s="9">
        <f>'Input - ENR'!R11</f>
        <v>23863.708298063855</v>
      </c>
      <c r="U5" s="9">
        <f>'Input - ENR'!S11</f>
        <v>25062.899061104774</v>
      </c>
      <c r="V5" s="9">
        <f>'Input - ENR'!T11</f>
        <v>26387.313380458108</v>
      </c>
      <c r="W5" s="9">
        <f>'Input - ENR'!U11</f>
        <v>25396.755451963749</v>
      </c>
      <c r="X5" s="9">
        <f>'Input - ENR'!V11</f>
        <v>26841.456994980294</v>
      </c>
      <c r="Y5" s="9">
        <f>'Input - ENR'!W11</f>
        <v>28514.175528588748</v>
      </c>
      <c r="Z5" s="9">
        <f>'Input - ENR'!X11</f>
        <v>27404.885552551634</v>
      </c>
      <c r="AA5" s="9">
        <f>'Input - ENR'!Y11</f>
        <v>29315.981659931447</v>
      </c>
      <c r="AB5" s="9">
        <f>'Input - ENR'!Z11</f>
        <v>28265.072790779908</v>
      </c>
      <c r="AC5" s="9">
        <f>'Input - ENR'!AA11</f>
        <v>30322.580152624301</v>
      </c>
      <c r="AD5" s="9">
        <f>'Input - ENR'!AB11</f>
        <v>31235.808587323801</v>
      </c>
      <c r="AE5" s="9">
        <f>'Input - ENR'!AC11</f>
        <v>32312.83896977792</v>
      </c>
      <c r="AF5" s="9">
        <f>'Input - ENR'!AD11</f>
        <v>30556.771655443572</v>
      </c>
      <c r="AG5" s="9">
        <f>'Input - ENR'!AE11</f>
        <v>31906.784346289282</v>
      </c>
      <c r="AH5" s="9">
        <f>'Input - ENR'!AF11</f>
        <v>33410.3879316288</v>
      </c>
      <c r="AI5" s="9">
        <f>'Input - ENR'!AG11</f>
        <v>32124.717911760865</v>
      </c>
      <c r="AJ5" s="9">
        <f>'Input - ENR'!AH11</f>
        <v>33761.615423892094</v>
      </c>
      <c r="AK5" s="9">
        <f>'Input - ENR'!AI11</f>
        <v>35635.370190117668</v>
      </c>
      <c r="AL5" s="9">
        <f>'Input - ENR'!AJ11</f>
        <v>34756.224437262972</v>
      </c>
      <c r="AM5" s="9">
        <f>'Input - ENR'!AK11</f>
        <v>36918.598828743663</v>
      </c>
      <c r="AN5" s="9">
        <f>'Input - ENR'!AL11</f>
        <v>36109.231457043752</v>
      </c>
      <c r="AO5" s="10">
        <f>'Input - ENR'!AM11</f>
        <v>38420.322271242687</v>
      </c>
    </row>
    <row r="6" spans="1:41" x14ac:dyDescent="0.35">
      <c r="B6" s="2" t="s">
        <v>8</v>
      </c>
      <c r="C6" s="2" t="s">
        <v>159</v>
      </c>
      <c r="D6" s="2" t="s">
        <v>15</v>
      </c>
      <c r="E6" s="8">
        <f>'Input - ENR'!C12</f>
        <v>7547.0547629249413</v>
      </c>
      <c r="F6" s="9">
        <f>'Input - ENR'!D12</f>
        <v>7512.3960607599756</v>
      </c>
      <c r="G6" s="9">
        <f>'Input - ENR'!E12</f>
        <v>7529.9630800370369</v>
      </c>
      <c r="H6" s="9">
        <f>'Input - ENR'!F12</f>
        <v>7596.4019759558905</v>
      </c>
      <c r="I6" s="9">
        <f>'Input - ENR'!G12</f>
        <v>7733.5742817835362</v>
      </c>
      <c r="J6" s="9">
        <f>'Input - ENR'!H12</f>
        <v>7936.9376212257785</v>
      </c>
      <c r="K6" s="9">
        <f>'Input - ENR'!I12</f>
        <v>8177.2413214765565</v>
      </c>
      <c r="L6" s="9">
        <f>'Input - ENR'!J12</f>
        <v>8452.1131369527466</v>
      </c>
      <c r="M6" s="9">
        <f>'Input - ENR'!K12</f>
        <v>8709.3331635476807</v>
      </c>
      <c r="N6" s="9">
        <f>'Input - ENR'!L12</f>
        <v>9000.0349683757941</v>
      </c>
      <c r="O6" s="9">
        <f>'Input - ENR'!M12</f>
        <v>9322.0684099985501</v>
      </c>
      <c r="P6" s="9">
        <f>'Input - ENR'!N12</f>
        <v>9648.421425312843</v>
      </c>
      <c r="Q6" s="9">
        <f>'Input - ENR'!O12</f>
        <v>10178.816618825331</v>
      </c>
      <c r="R6" s="9">
        <f>'Input - ENR'!P12</f>
        <v>10050.150757502875</v>
      </c>
      <c r="S6" s="9">
        <f>'Input - ENR'!Q12</f>
        <v>9988.080926859986</v>
      </c>
      <c r="T6" s="9">
        <f>'Input - ENR'!R12</f>
        <v>9988.3304458850071</v>
      </c>
      <c r="U6" s="9">
        <f>'Input - ENR'!S12</f>
        <v>10076.06394123316</v>
      </c>
      <c r="V6" s="9">
        <f>'Input - ENR'!T12</f>
        <v>10245.663344431787</v>
      </c>
      <c r="W6" s="9">
        <f>'Input - ENR'!U12</f>
        <v>10462.704702906443</v>
      </c>
      <c r="X6" s="9">
        <f>'Input - ENR'!V12</f>
        <v>10724.141376981848</v>
      </c>
      <c r="Y6" s="9">
        <f>'Input - ENR'!W12</f>
        <v>10968.78904353896</v>
      </c>
      <c r="Z6" s="9">
        <f>'Input - ENR'!X12</f>
        <v>11256.059196710265</v>
      </c>
      <c r="AA6" s="9">
        <f>'Input - ENR'!Y12</f>
        <v>11583.21469469749</v>
      </c>
      <c r="AB6" s="9">
        <f>'Input - ENR'!Z12</f>
        <v>11918.527503511068</v>
      </c>
      <c r="AC6" s="9">
        <f>'Input - ENR'!AA12</f>
        <v>12494.807108201467</v>
      </c>
      <c r="AD6" s="9">
        <f>'Input - ENR'!AB12</f>
        <v>12292.412374482117</v>
      </c>
      <c r="AE6" s="9">
        <f>'Input - ENR'!AC12</f>
        <v>12169.681744449677</v>
      </c>
      <c r="AF6" s="9">
        <f>'Input - ENR'!AD12</f>
        <v>12121.499328221951</v>
      </c>
      <c r="AG6" s="9">
        <f>'Input - ENR'!AE12</f>
        <v>12176.411102781181</v>
      </c>
      <c r="AH6" s="9">
        <f>'Input - ENR'!AF12</f>
        <v>12327.796538890851</v>
      </c>
      <c r="AI6" s="9">
        <f>'Input - ENR'!AG12</f>
        <v>12536.126932828922</v>
      </c>
      <c r="AJ6" s="9">
        <f>'Input - ENR'!AH12</f>
        <v>12797.745378660178</v>
      </c>
      <c r="AK6" s="9">
        <f>'Input - ENR'!AI12</f>
        <v>13042.563143907813</v>
      </c>
      <c r="AL6" s="9">
        <f>'Input - ENR'!AJ12</f>
        <v>13338.32580566156</v>
      </c>
      <c r="AM6" s="9">
        <f>'Input - ENR'!AK12</f>
        <v>13681.761771466054</v>
      </c>
      <c r="AN6" s="9">
        <f>'Input - ENR'!AL12</f>
        <v>14036.476211497617</v>
      </c>
      <c r="AO6" s="10">
        <f>'Input - ENR'!AM12</f>
        <v>14668.411508466721</v>
      </c>
    </row>
    <row r="7" spans="1:41" x14ac:dyDescent="0.35">
      <c r="B7" s="1" t="s">
        <v>9</v>
      </c>
      <c r="C7" s="1" t="s">
        <v>157</v>
      </c>
      <c r="D7" s="1" t="s">
        <v>15</v>
      </c>
      <c r="E7" s="5">
        <f>'Input - NCL'!C11</f>
        <v>27.583751918216553</v>
      </c>
      <c r="F7" s="6">
        <f>'Input - NCL'!D11</f>
        <v>36.625230958033136</v>
      </c>
      <c r="G7" s="6">
        <f>'Input - NCL'!E11</f>
        <v>11.101823575206151</v>
      </c>
      <c r="H7" s="6">
        <f>'Input - NCL'!F11</f>
        <v>16.751330790261733</v>
      </c>
      <c r="I7" s="6">
        <f>'Input - NCL'!G11</f>
        <v>12.75059191073224</v>
      </c>
      <c r="J7" s="6">
        <f>'Input - NCL'!H11</f>
        <v>17.970251929530001</v>
      </c>
      <c r="K7" s="6">
        <f>'Input - NCL'!I11</f>
        <v>11.839389045025989</v>
      </c>
      <c r="L7" s="6">
        <f>'Input - NCL'!J11</f>
        <v>24.668373939294494</v>
      </c>
      <c r="M7" s="6">
        <f>'Input - NCL'!K11</f>
        <v>13.858880010182482</v>
      </c>
      <c r="N7" s="6">
        <f>'Input - NCL'!L11</f>
        <v>12.984125993715855</v>
      </c>
      <c r="O7" s="6">
        <f>'Input - NCL'!M11</f>
        <v>15.469309812159471</v>
      </c>
      <c r="P7" s="6">
        <f>'Input - NCL'!N11</f>
        <v>13.49347586183119</v>
      </c>
      <c r="Q7" s="6">
        <f>'Input - NCL'!O11</f>
        <v>14.912047481674055</v>
      </c>
      <c r="R7" s="6">
        <f>'Input - NCL'!P11</f>
        <v>18.728287445449961</v>
      </c>
      <c r="S7" s="6">
        <f>'Input - NCL'!Q11</f>
        <v>26.828643434740002</v>
      </c>
      <c r="T7" s="6">
        <f>'Input - NCL'!R11</f>
        <v>30.888675375282038</v>
      </c>
      <c r="U7" s="6">
        <f>'Input - NCL'!S11</f>
        <v>82.776032995241579</v>
      </c>
      <c r="V7" s="6">
        <f>'Input - NCL'!T11</f>
        <v>22.807431074388518</v>
      </c>
      <c r="W7" s="6">
        <f>'Input - NCL'!U11</f>
        <v>21.800398436665603</v>
      </c>
      <c r="X7" s="6">
        <f>'Input - NCL'!V11</f>
        <v>12.098567320946792</v>
      </c>
      <c r="Y7" s="6">
        <f>'Input - NCL'!W11</f>
        <v>23.747628636476261</v>
      </c>
      <c r="Z7" s="6">
        <f>'Input - NCL'!X11</f>
        <v>19.507188566793452</v>
      </c>
      <c r="AA7" s="6">
        <f>'Input - NCL'!Y11</f>
        <v>22.101247160768651</v>
      </c>
      <c r="AB7" s="6">
        <f>'Input - NCL'!Z11</f>
        <v>18.264384770859937</v>
      </c>
      <c r="AC7" s="6">
        <f>'Input - NCL'!AA11</f>
        <v>21.768584957994833</v>
      </c>
      <c r="AD7" s="6">
        <f>'Input - NCL'!AB11</f>
        <v>73.249019690101932</v>
      </c>
      <c r="AE7" s="6">
        <f>'Input - NCL'!AC11</f>
        <v>28.677115332651027</v>
      </c>
      <c r="AF7" s="6">
        <f>'Input - NCL'!AD11</f>
        <v>32.592922256163462</v>
      </c>
      <c r="AG7" s="6">
        <f>'Input - NCL'!AE11</f>
        <v>46.492841829109345</v>
      </c>
      <c r="AH7" s="6">
        <f>'Input - NCL'!AF11</f>
        <v>44.101537118585604</v>
      </c>
      <c r="AI7" s="6">
        <f>'Input - NCL'!AG11</f>
        <v>35.434391521702601</v>
      </c>
      <c r="AJ7" s="6">
        <f>'Input - NCL'!AH11</f>
        <v>35.40599185854763</v>
      </c>
      <c r="AK7" s="6">
        <f>'Input - NCL'!AI11</f>
        <v>29.69593560149233</v>
      </c>
      <c r="AL7" s="6">
        <f>'Input - NCL'!AJ11</f>
        <v>31.494280011866945</v>
      </c>
      <c r="AM7" s="6">
        <f>'Input - NCL'!AK11</f>
        <v>34.208306030585447</v>
      </c>
      <c r="AN7" s="6">
        <f>'Input - NCL'!AL11</f>
        <v>34.609581262686561</v>
      </c>
      <c r="AO7" s="7">
        <f>'Input - NCL'!AM11</f>
        <v>38.102161261348769</v>
      </c>
    </row>
    <row r="8" spans="1:41" x14ac:dyDescent="0.35">
      <c r="B8" s="2" t="s">
        <v>9</v>
      </c>
      <c r="C8" s="2" t="s">
        <v>158</v>
      </c>
      <c r="D8" s="2" t="s">
        <v>15</v>
      </c>
      <c r="E8" s="8">
        <f>'Input - NCL'!C12</f>
        <v>38.733858688646514</v>
      </c>
      <c r="F8" s="9">
        <f>'Input - NCL'!D12</f>
        <v>14.98271918759646</v>
      </c>
      <c r="G8" s="9">
        <f>'Input - NCL'!E12</f>
        <v>14.774179849614548</v>
      </c>
      <c r="H8" s="9">
        <f>'Input - NCL'!F12</f>
        <v>14.145265346278487</v>
      </c>
      <c r="I8" s="9">
        <f>'Input - NCL'!G12</f>
        <v>17.221602365945081</v>
      </c>
      <c r="J8" s="9">
        <f>'Input - NCL'!H12</f>
        <v>14.914003895622871</v>
      </c>
      <c r="K8" s="9">
        <f>'Input - NCL'!I12</f>
        <v>14.495933082046802</v>
      </c>
      <c r="L8" s="9">
        <f>'Input - NCL'!J12</f>
        <v>18.532378744696569</v>
      </c>
      <c r="M8" s="9">
        <f>'Input - NCL'!K12</f>
        <v>12.550222850760356</v>
      </c>
      <c r="N8" s="9">
        <f>'Input - NCL'!L12</f>
        <v>44.939074680736447</v>
      </c>
      <c r="O8" s="9">
        <f>'Input - NCL'!M12</f>
        <v>54.841096958302224</v>
      </c>
      <c r="P8" s="9">
        <f>'Input - NCL'!N12</f>
        <v>14.941462354551046</v>
      </c>
      <c r="Q8" s="9">
        <f>'Input - NCL'!O12</f>
        <v>15.184597012383097</v>
      </c>
      <c r="R8" s="9">
        <f>'Input - NCL'!P12</f>
        <v>17.808160037385079</v>
      </c>
      <c r="S8" s="9">
        <f>'Input - NCL'!Q12</f>
        <v>20.646612400974405</v>
      </c>
      <c r="T8" s="9">
        <f>'Input - NCL'!R12</f>
        <v>35.568840801585445</v>
      </c>
      <c r="U8" s="9">
        <f>'Input - NCL'!S12</f>
        <v>16.579093154141383</v>
      </c>
      <c r="V8" s="9">
        <f>'Input - NCL'!T12</f>
        <v>23.202158196801381</v>
      </c>
      <c r="W8" s="9">
        <f>'Input - NCL'!U12</f>
        <v>27.975222171189333</v>
      </c>
      <c r="X8" s="9">
        <f>'Input - NCL'!V12</f>
        <v>6.1388183274906938</v>
      </c>
      <c r="Y8" s="9">
        <f>'Input - NCL'!W12</f>
        <v>7.67994304143064</v>
      </c>
      <c r="Z8" s="9">
        <f>'Input - NCL'!X12</f>
        <v>13.586501720554644</v>
      </c>
      <c r="AA8" s="9">
        <f>'Input - NCL'!Y12</f>
        <v>12.597694444491353</v>
      </c>
      <c r="AB8" s="9">
        <f>'Input - NCL'!Z12</f>
        <v>12.557773183122265</v>
      </c>
      <c r="AC8" s="9">
        <f>'Input - NCL'!AA12</f>
        <v>9.0608901937759541</v>
      </c>
      <c r="AD8" s="9">
        <f>'Input - NCL'!AB12</f>
        <v>16.33468373433864</v>
      </c>
      <c r="AE8" s="9">
        <f>'Input - NCL'!AC12</f>
        <v>16.825659739945987</v>
      </c>
      <c r="AF8" s="9">
        <f>'Input - NCL'!AD12</f>
        <v>23.285193505653176</v>
      </c>
      <c r="AG8" s="9">
        <f>'Input - NCL'!AE12</f>
        <v>18.514550583507464</v>
      </c>
      <c r="AH8" s="9">
        <f>'Input - NCL'!AF12</f>
        <v>14.034159587628704</v>
      </c>
      <c r="AI8" s="9">
        <f>'Input - NCL'!AG12</f>
        <v>13.861596624418461</v>
      </c>
      <c r="AJ8" s="9">
        <f>'Input - NCL'!AH12</f>
        <v>13.40120378821168</v>
      </c>
      <c r="AK8" s="9">
        <f>'Input - NCL'!AI12</f>
        <v>15.04231409308974</v>
      </c>
      <c r="AL8" s="9">
        <f>'Input - NCL'!AJ12</f>
        <v>13.40908894940199</v>
      </c>
      <c r="AM8" s="9">
        <f>'Input - NCL'!AK12</f>
        <v>13.623197583706053</v>
      </c>
      <c r="AN8" s="9">
        <f>'Input - NCL'!AL12</f>
        <v>14.491586223206333</v>
      </c>
      <c r="AO8" s="10">
        <f>'Input - NCL'!AM12</f>
        <v>14.976076991598886</v>
      </c>
    </row>
    <row r="9" spans="1:41" x14ac:dyDescent="0.35">
      <c r="B9" s="2" t="s">
        <v>9</v>
      </c>
      <c r="C9" s="2" t="s">
        <v>159</v>
      </c>
      <c r="D9" s="2" t="s">
        <v>15</v>
      </c>
      <c r="E9" s="8">
        <f>'Input - NCL'!C13</f>
        <v>0</v>
      </c>
      <c r="F9" s="9">
        <f>'Input - NCL'!D13</f>
        <v>0</v>
      </c>
      <c r="G9" s="9">
        <f>'Input - NCL'!E13</f>
        <v>0</v>
      </c>
      <c r="H9" s="9">
        <f>'Input - NCL'!F13</f>
        <v>0</v>
      </c>
      <c r="I9" s="9">
        <f>'Input - NCL'!G13</f>
        <v>0</v>
      </c>
      <c r="J9" s="9">
        <f>'Input - NCL'!H13</f>
        <v>0</v>
      </c>
      <c r="K9" s="9">
        <f>'Input - NCL'!I13</f>
        <v>0</v>
      </c>
      <c r="L9" s="9">
        <f>'Input - NCL'!J13</f>
        <v>0</v>
      </c>
      <c r="M9" s="9">
        <f>'Input - NCL'!K13</f>
        <v>0</v>
      </c>
      <c r="N9" s="9">
        <f>'Input - NCL'!L13</f>
        <v>0</v>
      </c>
      <c r="O9" s="9">
        <f>'Input - NCL'!M13</f>
        <v>0</v>
      </c>
      <c r="P9" s="9">
        <f>'Input - NCL'!N13</f>
        <v>0</v>
      </c>
      <c r="Q9" s="9">
        <f>'Input - NCL'!O13</f>
        <v>0</v>
      </c>
      <c r="R9" s="9">
        <f>'Input - NCL'!P13</f>
        <v>0</v>
      </c>
      <c r="S9" s="9">
        <f>'Input - NCL'!Q13</f>
        <v>0</v>
      </c>
      <c r="T9" s="9">
        <f>'Input - NCL'!R13</f>
        <v>0</v>
      </c>
      <c r="U9" s="9">
        <f>'Input - NCL'!S13</f>
        <v>0</v>
      </c>
      <c r="V9" s="9">
        <f>'Input - NCL'!T13</f>
        <v>0</v>
      </c>
      <c r="W9" s="9">
        <f>'Input - NCL'!U13</f>
        <v>0</v>
      </c>
      <c r="X9" s="9">
        <f>'Input - NCL'!V13</f>
        <v>0</v>
      </c>
      <c r="Y9" s="9">
        <f>'Input - NCL'!W13</f>
        <v>0</v>
      </c>
      <c r="Z9" s="9">
        <f>'Input - NCL'!X13</f>
        <v>0</v>
      </c>
      <c r="AA9" s="9">
        <f>'Input - NCL'!Y13</f>
        <v>0</v>
      </c>
      <c r="AB9" s="9">
        <f>'Input - NCL'!Z13</f>
        <v>0</v>
      </c>
      <c r="AC9" s="9">
        <f>'Input - NCL'!AA13</f>
        <v>0</v>
      </c>
      <c r="AD9" s="9">
        <f>'Input - NCL'!AB13</f>
        <v>0</v>
      </c>
      <c r="AE9" s="9">
        <f>'Input - NCL'!AC13</f>
        <v>0</v>
      </c>
      <c r="AF9" s="9">
        <f>'Input - NCL'!AD13</f>
        <v>0</v>
      </c>
      <c r="AG9" s="9">
        <f>'Input - NCL'!AE13</f>
        <v>0</v>
      </c>
      <c r="AH9" s="9">
        <f>'Input - NCL'!AF13</f>
        <v>0</v>
      </c>
      <c r="AI9" s="9">
        <f>'Input - NCL'!AG13</f>
        <v>0</v>
      </c>
      <c r="AJ9" s="9">
        <f>'Input - NCL'!AH13</f>
        <v>0</v>
      </c>
      <c r="AK9" s="9">
        <f>'Input - NCL'!AI13</f>
        <v>0</v>
      </c>
      <c r="AL9" s="9">
        <f>'Input - NCL'!AJ13</f>
        <v>0</v>
      </c>
      <c r="AM9" s="9">
        <f>'Input - NCL'!AK13</f>
        <v>0</v>
      </c>
      <c r="AN9" s="9">
        <f>'Input - NCL'!AL13</f>
        <v>0</v>
      </c>
      <c r="AO9" s="10">
        <f>'Input - NCL'!AM13</f>
        <v>0</v>
      </c>
    </row>
    <row r="10" spans="1:41" x14ac:dyDescent="0.35">
      <c r="B10" s="1" t="s">
        <v>28</v>
      </c>
      <c r="C10" s="1" t="s">
        <v>157</v>
      </c>
      <c r="D10" s="1" t="s">
        <v>16</v>
      </c>
      <c r="E10" s="5">
        <f>'Input - ENR'!C4</f>
        <v>52026.135628996468</v>
      </c>
      <c r="F10" s="6">
        <f>'Input - ENR'!D4</f>
        <v>52427.211097569161</v>
      </c>
      <c r="G10" s="6">
        <f>'Input - ENR'!E4</f>
        <v>53343.307673366362</v>
      </c>
      <c r="H10" s="6">
        <f>'Input - ENR'!F4</f>
        <v>54301.81667421083</v>
      </c>
      <c r="I10" s="6">
        <f>'Input - ENR'!G4</f>
        <v>55283.254270096098</v>
      </c>
      <c r="J10" s="6">
        <f>'Input - ENR'!H4</f>
        <v>56336.702190980432</v>
      </c>
      <c r="K10" s="6">
        <f>'Input - ENR'!I4</f>
        <v>57443.134278176265</v>
      </c>
      <c r="L10" s="6">
        <f>'Input - ENR'!J4</f>
        <v>58210.55423906826</v>
      </c>
      <c r="M10" s="6">
        <f>'Input - ENR'!K4</f>
        <v>59131.160581001037</v>
      </c>
      <c r="N10" s="6">
        <f>'Input - ENR'!L4</f>
        <v>60122.724558764086</v>
      </c>
      <c r="O10" s="6">
        <f>'Input - ENR'!M4</f>
        <v>61015.999349979138</v>
      </c>
      <c r="P10" s="6">
        <f>'Input - ENR'!N4</f>
        <v>61838.960070355817</v>
      </c>
      <c r="Q10" s="6">
        <f>'Input - ENR'!O4</f>
        <v>62701.129695051794</v>
      </c>
      <c r="R10" s="6">
        <f>'Input - ENR'!P4</f>
        <v>62564.230550715438</v>
      </c>
      <c r="S10" s="6">
        <f>'Input - ENR'!Q4</f>
        <v>62518.003881036697</v>
      </c>
      <c r="T10" s="6">
        <f>'Input - ENR'!R4</f>
        <v>62522.019221988347</v>
      </c>
      <c r="U10" s="6">
        <f>'Input - ENR'!S4</f>
        <v>62491.529299995971</v>
      </c>
      <c r="V10" s="6">
        <f>'Input - ENR'!T4</f>
        <v>62611.95665346583</v>
      </c>
      <c r="W10" s="6">
        <f>'Input - ENR'!U4</f>
        <v>62801.46685567747</v>
      </c>
      <c r="X10" s="6">
        <f>'Input - ENR'!V4</f>
        <v>63115.001871814638</v>
      </c>
      <c r="Y10" s="6">
        <f>'Input - ENR'!W4</f>
        <v>63787.09058600905</v>
      </c>
      <c r="Z10" s="6">
        <f>'Input - ENR'!X4</f>
        <v>64815.475941581346</v>
      </c>
      <c r="AA10" s="6">
        <f>'Input - ENR'!Y4</f>
        <v>66080.11003656208</v>
      </c>
      <c r="AB10" s="6">
        <f>'Input - ENR'!Z4</f>
        <v>67522.259323623308</v>
      </c>
      <c r="AC10" s="6">
        <f>'Input - ENR'!AA4</f>
        <v>69324.803944108251</v>
      </c>
      <c r="AD10" s="6">
        <f>'Input - ENR'!AB4</f>
        <v>69673.986483885848</v>
      </c>
      <c r="AE10" s="6">
        <f>'Input - ENR'!AC4</f>
        <v>71614.017675599462</v>
      </c>
      <c r="AF10" s="6">
        <f>'Input - ENR'!AD4</f>
        <v>72828.433794119221</v>
      </c>
      <c r="AG10" s="6">
        <f>'Input - ENR'!AE4</f>
        <v>74412.297274199504</v>
      </c>
      <c r="AH10" s="6">
        <f>'Input - ENR'!AF4</f>
        <v>76547.79473735363</v>
      </c>
      <c r="AI10" s="6">
        <f>'Input - ENR'!AG4</f>
        <v>79319.166105275508</v>
      </c>
      <c r="AJ10" s="6">
        <f>'Input - ENR'!AH4</f>
        <v>82346.272548490742</v>
      </c>
      <c r="AK10" s="6">
        <f>'Input - ENR'!AI4</f>
        <v>85966.850881092425</v>
      </c>
      <c r="AL10" s="6">
        <f>'Input - ENR'!AJ4</f>
        <v>90024.638585567343</v>
      </c>
      <c r="AM10" s="6">
        <f>'Input - ENR'!AK4</f>
        <v>94172.900422237857</v>
      </c>
      <c r="AN10" s="6">
        <f>'Input - ENR'!AL4</f>
        <v>98264.280535458543</v>
      </c>
      <c r="AO10" s="7">
        <f>'Input - ENR'!AM4</f>
        <v>102687.7404967867</v>
      </c>
    </row>
    <row r="11" spans="1:41" x14ac:dyDescent="0.35">
      <c r="B11" s="2" t="s">
        <v>28</v>
      </c>
      <c r="C11" s="2" t="s">
        <v>158</v>
      </c>
      <c r="D11" s="2" t="s">
        <v>16</v>
      </c>
      <c r="E11" s="8">
        <f>'Input - ENR'!C5</f>
        <v>19204.151739359146</v>
      </c>
      <c r="F11" s="9">
        <f>'Input - ENR'!D5</f>
        <v>20089.603841116816</v>
      </c>
      <c r="G11" s="9">
        <f>'Input - ENR'!E5</f>
        <v>20678.004038967825</v>
      </c>
      <c r="H11" s="9">
        <f>'Input - ENR'!F5</f>
        <v>21279.429785606124</v>
      </c>
      <c r="I11" s="9">
        <f>'Input - ENR'!G5</f>
        <v>21876.990005781758</v>
      </c>
      <c r="J11" s="9">
        <f>'Input - ENR'!H5</f>
        <v>22499.637773574093</v>
      </c>
      <c r="K11" s="9">
        <f>'Input - ENR'!I5</f>
        <v>21190.74807073547</v>
      </c>
      <c r="L11" s="9">
        <f>'Input - ENR'!J5</f>
        <v>21699.963470665683</v>
      </c>
      <c r="M11" s="9">
        <f>'Input - ENR'!K5</f>
        <v>22269.642113538059</v>
      </c>
      <c r="N11" s="9">
        <f>'Input - ENR'!L5</f>
        <v>19904.289315869606</v>
      </c>
      <c r="O11" s="9">
        <f>'Input - ENR'!M5</f>
        <v>20483.331194851879</v>
      </c>
      <c r="P11" s="9">
        <f>'Input - ENR'!N5</f>
        <v>18133.375433198205</v>
      </c>
      <c r="Q11" s="9">
        <f>'Input - ENR'!O5</f>
        <v>18786.779263864355</v>
      </c>
      <c r="R11" s="9">
        <f>'Input - ENR'!P5</f>
        <v>18997.1510143956</v>
      </c>
      <c r="S11" s="9">
        <f>'Input - ENR'!Q5</f>
        <v>19239.466353564312</v>
      </c>
      <c r="T11" s="9">
        <f>'Input - ENR'!R5</f>
        <v>19479.292850746329</v>
      </c>
      <c r="U11" s="9">
        <f>'Input - ENR'!S5</f>
        <v>19756.185708359066</v>
      </c>
      <c r="V11" s="9">
        <f>'Input - ENR'!T5</f>
        <v>20052.9133269417</v>
      </c>
      <c r="W11" s="9">
        <f>'Input - ENR'!U5</f>
        <v>20373.131562739232</v>
      </c>
      <c r="X11" s="9">
        <f>'Input - ENR'!V5</f>
        <v>20753.254002126072</v>
      </c>
      <c r="Y11" s="9">
        <f>'Input - ENR'!W5</f>
        <v>21301.765466864206</v>
      </c>
      <c r="Z11" s="9">
        <f>'Input - ENR'!X5</f>
        <v>19062.670669208772</v>
      </c>
      <c r="AA11" s="9">
        <f>'Input - ENR'!Y5</f>
        <v>19919.088188471454</v>
      </c>
      <c r="AB11" s="9">
        <f>'Input - ENR'!Z5</f>
        <v>17918.109002383266</v>
      </c>
      <c r="AC11" s="9">
        <f>'Input - ENR'!AA5</f>
        <v>19064.450525721099</v>
      </c>
      <c r="AD11" s="9">
        <f>'Input - ENR'!AB5</f>
        <v>19625.877617859427</v>
      </c>
      <c r="AE11" s="9">
        <f>'Input - ENR'!AC5</f>
        <v>20364.692096150891</v>
      </c>
      <c r="AF11" s="9">
        <f>'Input - ENR'!AD5</f>
        <v>21245.725875119268</v>
      </c>
      <c r="AG11" s="9">
        <f>'Input - ENR'!AE5</f>
        <v>22298.596122434672</v>
      </c>
      <c r="AH11" s="9">
        <f>'Input - ENR'!AF5</f>
        <v>23573.635719040012</v>
      </c>
      <c r="AI11" s="9">
        <f>'Input - ENR'!AG5</f>
        <v>24128.815278255872</v>
      </c>
      <c r="AJ11" s="9">
        <f>'Input - ENR'!AH5</f>
        <v>25797.845075483609</v>
      </c>
      <c r="AK11" s="9">
        <f>'Input - ENR'!AI5</f>
        <v>27708.108679322497</v>
      </c>
      <c r="AL11" s="9">
        <f>'Input - ENR'!AJ5</f>
        <v>26869.735539128724</v>
      </c>
      <c r="AM11" s="9">
        <f>'Input - ENR'!AK5</f>
        <v>29072.50226009059</v>
      </c>
      <c r="AN11" s="9">
        <f>'Input - ENR'!AL5</f>
        <v>28308.083336390115</v>
      </c>
      <c r="AO11" s="10">
        <f>'Input - ENR'!AM5</f>
        <v>30668.489788218794</v>
      </c>
    </row>
    <row r="12" spans="1:41" x14ac:dyDescent="0.35">
      <c r="B12" s="2" t="s">
        <v>28</v>
      </c>
      <c r="C12" s="2" t="s">
        <v>159</v>
      </c>
      <c r="D12" s="2" t="s">
        <v>16</v>
      </c>
      <c r="E12" s="8">
        <f>'Input - ENR'!C6</f>
        <v>7547.0547629249413</v>
      </c>
      <c r="F12" s="9">
        <f>'Input - ENR'!D6</f>
        <v>7499.2351045468185</v>
      </c>
      <c r="G12" s="9">
        <f>'Input - ENR'!E6</f>
        <v>7242.6472974920052</v>
      </c>
      <c r="H12" s="9">
        <f>'Input - ENR'!F6</f>
        <v>7008.5371121671214</v>
      </c>
      <c r="I12" s="9">
        <f>'Input - ENR'!G6</f>
        <v>6802.2110748837422</v>
      </c>
      <c r="J12" s="9">
        <f>'Input - ENR'!H6</f>
        <v>6617.3849360831255</v>
      </c>
      <c r="K12" s="9">
        <f>'Input - ENR'!I6</f>
        <v>6445.553009759582</v>
      </c>
      <c r="L12" s="9">
        <f>'Input - ENR'!J6</f>
        <v>6271.6308302370808</v>
      </c>
      <c r="M12" s="9">
        <f>'Input - ENR'!K6</f>
        <v>6082.4776299326941</v>
      </c>
      <c r="N12" s="9">
        <f>'Input - ENR'!L6</f>
        <v>5912.8715184529738</v>
      </c>
      <c r="O12" s="9">
        <f>'Input - ENR'!M6</f>
        <v>5740.1572158246772</v>
      </c>
      <c r="P12" s="9">
        <f>'Input - ENR'!N6</f>
        <v>5570.4093246657094</v>
      </c>
      <c r="Q12" s="9">
        <f>'Input - ENR'!O6</f>
        <v>5442.6873472020416</v>
      </c>
      <c r="R12" s="9">
        <f>'Input - ENR'!P6</f>
        <v>5190.2924525084072</v>
      </c>
      <c r="S12" s="9">
        <f>'Input - ENR'!Q6</f>
        <v>4956.1475846878875</v>
      </c>
      <c r="T12" s="9">
        <f>'Input - ENR'!R6</f>
        <v>4737.3307588249563</v>
      </c>
      <c r="U12" s="9">
        <f>'Input - ENR'!S6</f>
        <v>4535.1909681156012</v>
      </c>
      <c r="V12" s="9">
        <f>'Input - ENR'!T6</f>
        <v>4350.1155757640936</v>
      </c>
      <c r="W12" s="9">
        <f>'Input - ENR'!U6</f>
        <v>4175.7587358515757</v>
      </c>
      <c r="X12" s="9">
        <f>'Input - ENR'!V6</f>
        <v>4056.9321216231278</v>
      </c>
      <c r="Y12" s="9">
        <f>'Input - ENR'!W6</f>
        <v>3983.0696787759271</v>
      </c>
      <c r="Z12" s="9">
        <f>'Input - ENR'!X6</f>
        <v>3965.2838865975741</v>
      </c>
      <c r="AA12" s="9">
        <f>'Input - ENR'!Y6</f>
        <v>4004.6402669918225</v>
      </c>
      <c r="AB12" s="9">
        <f>'Input - ENR'!Z6</f>
        <v>4092.8025825696668</v>
      </c>
      <c r="AC12" s="9">
        <f>'Input - ENR'!AA6</f>
        <v>4312.9699345769468</v>
      </c>
      <c r="AD12" s="9">
        <f>'Input - ENR'!AB6</f>
        <v>4298.7985229956621</v>
      </c>
      <c r="AE12" s="9">
        <f>'Input - ENR'!AC6</f>
        <v>4336.0705080983262</v>
      </c>
      <c r="AF12" s="9">
        <f>'Input - ENR'!AD6</f>
        <v>4442.6156179503905</v>
      </c>
      <c r="AG12" s="9">
        <f>'Input - ENR'!AE6</f>
        <v>4640.6519198919486</v>
      </c>
      <c r="AH12" s="9">
        <f>'Input - ENR'!AF6</f>
        <v>4935.3040090385084</v>
      </c>
      <c r="AI12" s="9">
        <f>'Input - ENR'!AG6</f>
        <v>5323.3673879395601</v>
      </c>
      <c r="AJ12" s="9">
        <f>'Input - ENR'!AH6</f>
        <v>6048.1766797186792</v>
      </c>
      <c r="AK12" s="9">
        <f>'Input - ENR'!AI6</f>
        <v>6726.4399821409334</v>
      </c>
      <c r="AL12" s="9">
        <f>'Input - ENR'!AJ6</f>
        <v>7427.8130641786338</v>
      </c>
      <c r="AM12" s="9">
        <f>'Input - ENR'!AK6</f>
        <v>8150.8118560658158</v>
      </c>
      <c r="AN12" s="9">
        <f>'Input - ENR'!AL6</f>
        <v>8860.7142590767799</v>
      </c>
      <c r="AO12" s="10">
        <f>'Input - ENR'!AM6</f>
        <v>9825.0279671444823</v>
      </c>
    </row>
    <row r="13" spans="1:41" x14ac:dyDescent="0.35">
      <c r="B13" s="1" t="s">
        <v>35</v>
      </c>
      <c r="C13" s="1" t="s">
        <v>157</v>
      </c>
      <c r="D13" s="1" t="s">
        <v>17</v>
      </c>
      <c r="E13" s="43">
        <f>'Input - NCL'!C5</f>
        <v>27.583751918216553</v>
      </c>
      <c r="F13" s="44">
        <f>'Input - NCL'!D5</f>
        <v>36.14611963399841</v>
      </c>
      <c r="G13" s="44">
        <f>'Input - NCL'!E5</f>
        <v>10.858758401270087</v>
      </c>
      <c r="H13" s="44">
        <f>'Input - NCL'!F5</f>
        <v>16.20542000510401</v>
      </c>
      <c r="I13" s="44">
        <f>'Input - NCL'!G5</f>
        <v>12.178064580183181</v>
      </c>
      <c r="J13" s="44">
        <f>'Input - NCL'!H5</f>
        <v>16.900141152958685</v>
      </c>
      <c r="K13" s="44">
        <f>'Input - NCL'!I5</f>
        <v>10.938921582717326</v>
      </c>
      <c r="L13" s="44">
        <f>'Input - NCL'!J5</f>
        <v>22.338596932335523</v>
      </c>
      <c r="M13" s="44">
        <f>'Input - NCL'!K5</f>
        <v>12.264258587869136</v>
      </c>
      <c r="N13" s="44">
        <f>'Input - NCL'!L5</f>
        <v>11.206526143259547</v>
      </c>
      <c r="O13" s="44">
        <f>'Input - NCL'!M5</f>
        <v>13.010698044124684</v>
      </c>
      <c r="P13" s="44">
        <f>'Input - NCL'!N5</f>
        <v>11.06861515891123</v>
      </c>
      <c r="Q13" s="44">
        <f>'Input - NCL'!O5</f>
        <v>11.917303381887926</v>
      </c>
      <c r="R13" s="44">
        <f>'Input - NCL'!P5</f>
        <v>14.734924188391233</v>
      </c>
      <c r="S13" s="44">
        <f>'Input - NCL'!Q5</f>
        <v>20.718119695314478</v>
      </c>
      <c r="T13" s="44">
        <f>'Input - NCL'!R5</f>
        <v>23.373465493135964</v>
      </c>
      <c r="U13" s="44">
        <f>'Input - NCL'!S5</f>
        <v>61.274185292232225</v>
      </c>
      <c r="V13" s="44">
        <f>'Input - NCL'!T5</f>
        <v>16.486290941464798</v>
      </c>
      <c r="W13" s="44">
        <f>'Input - NCL'!U5</f>
        <v>15.362983149180401</v>
      </c>
      <c r="X13" s="44">
        <f>'Input - NCL'!V5</f>
        <v>8.3493541456732689</v>
      </c>
      <c r="Y13" s="44">
        <f>'Input - NCL'!W5</f>
        <v>16.064621567739138</v>
      </c>
      <c r="Z13" s="44">
        <f>'Input - NCL'!X5</f>
        <v>12.966708224929198</v>
      </c>
      <c r="AA13" s="44">
        <f>'Input - NCL'!Y5</f>
        <v>14.483071579694807</v>
      </c>
      <c r="AB13" s="44">
        <f>'Input - NCL'!Z5</f>
        <v>11.845518714564632</v>
      </c>
      <c r="AC13" s="44">
        <f>'Input - NCL'!AA5</f>
        <v>14.01694065025397</v>
      </c>
      <c r="AD13" s="44">
        <f>'Input - NCL'!AB5</f>
        <v>46.998083681864564</v>
      </c>
      <c r="AE13" s="44">
        <f>'Input - NCL'!AC5</f>
        <v>18.486572248598033</v>
      </c>
      <c r="AF13" s="44">
        <f>'Input - NCL'!AD5</f>
        <v>21.051100594359333</v>
      </c>
      <c r="AG13" s="44">
        <f>'Input - NCL'!AE5</f>
        <v>30.175022087313742</v>
      </c>
      <c r="AH13" s="44">
        <f>'Input - NCL'!AF5</f>
        <v>28.864041782871425</v>
      </c>
      <c r="AI13" s="44">
        <f>'Input - NCL'!AG5</f>
        <v>23.492273730251362</v>
      </c>
      <c r="AJ13" s="44">
        <f>'Input - NCL'!AH5</f>
        <v>35.40599185854763</v>
      </c>
      <c r="AK13" s="44">
        <f>'Input - NCL'!AI5</f>
        <v>29.69593560149233</v>
      </c>
      <c r="AL13" s="44">
        <f>'Input - NCL'!AJ5</f>
        <v>31.494280011866945</v>
      </c>
      <c r="AM13" s="44">
        <f>'Input - NCL'!AK5</f>
        <v>34.208306030585447</v>
      </c>
      <c r="AN13" s="44">
        <f>'Input - NCL'!AL5</f>
        <v>34.609581262686561</v>
      </c>
      <c r="AO13" s="45">
        <f>'Input - NCL'!AM5</f>
        <v>38.102161261348769</v>
      </c>
    </row>
    <row r="14" spans="1:41" x14ac:dyDescent="0.35">
      <c r="B14" s="2" t="s">
        <v>35</v>
      </c>
      <c r="C14" s="2" t="s">
        <v>158</v>
      </c>
      <c r="D14" s="2" t="s">
        <v>17</v>
      </c>
      <c r="E14" s="46">
        <f>'Input - NCL'!C6</f>
        <v>38.733858688646514</v>
      </c>
      <c r="F14" s="47">
        <f>'Input - NCL'!D6</f>
        <v>15.161751621426159</v>
      </c>
      <c r="G14" s="47">
        <f>'Input - NCL'!E6</f>
        <v>14.816397895005457</v>
      </c>
      <c r="H14" s="47">
        <f>'Input - NCL'!F6</f>
        <v>15.424493623431298</v>
      </c>
      <c r="I14" s="47">
        <f>'Input - NCL'!G6</f>
        <v>18.412624984516636</v>
      </c>
      <c r="J14" s="47">
        <f>'Input - NCL'!H6</f>
        <v>15.588883468420041</v>
      </c>
      <c r="K14" s="47">
        <f>'Input - NCL'!I6</f>
        <v>14.811362625647996</v>
      </c>
      <c r="L14" s="47">
        <f>'Input - NCL'!J6</f>
        <v>18.374916822638969</v>
      </c>
      <c r="M14" s="47">
        <f>'Input - NCL'!K6</f>
        <v>12.0418656439494</v>
      </c>
      <c r="N14" s="47">
        <f>'Input - NCL'!L6</f>
        <v>41.206590959566526</v>
      </c>
      <c r="O14" s="47">
        <f>'Input - NCL'!M6</f>
        <v>48.395638370039087</v>
      </c>
      <c r="P14" s="47">
        <f>'Input - NCL'!N6</f>
        <v>12.421137935609194</v>
      </c>
      <c r="Q14" s="47">
        <f>'Input - NCL'!O6</f>
        <v>12.138902209608096</v>
      </c>
      <c r="R14" s="47">
        <f>'Input - NCL'!P6</f>
        <v>13.912966546300186</v>
      </c>
      <c r="S14" s="47">
        <f>'Input - NCL'!Q6</f>
        <v>15.718557163255774</v>
      </c>
      <c r="T14" s="47">
        <f>'Input - NCL'!R6</f>
        <v>29.033872593551248</v>
      </c>
      <c r="U14" s="47">
        <f>'Input - NCL'!S6</f>
        <v>13.068705357302893</v>
      </c>
      <c r="V14" s="47">
        <f>'Input - NCL'!T6</f>
        <v>17.632369791121587</v>
      </c>
      <c r="W14" s="47">
        <f>'Input - NCL'!U6</f>
        <v>22.44156277633607</v>
      </c>
      <c r="X14" s="47">
        <f>'Input - NCL'!V6</f>
        <v>4.7464061301570437</v>
      </c>
      <c r="Y14" s="47">
        <f>'Input - NCL'!W6</f>
        <v>5.7373689554308545</v>
      </c>
      <c r="Z14" s="47">
        <f>'Input - NCL'!X6</f>
        <v>9.450687445817735</v>
      </c>
      <c r="AA14" s="47">
        <f>'Input - NCL'!Y6</f>
        <v>8.5596515075670485</v>
      </c>
      <c r="AB14" s="47">
        <f>'Input - NCL'!Z6</f>
        <v>7.9607631081632722</v>
      </c>
      <c r="AC14" s="47">
        <f>'Input - NCL'!AA6</f>
        <v>5.6967742173907023</v>
      </c>
      <c r="AD14" s="47">
        <f>'Input - NCL'!AB6</f>
        <v>10.263300948343907</v>
      </c>
      <c r="AE14" s="47">
        <f>'Input - NCL'!AC6</f>
        <v>10.604124887914708</v>
      </c>
      <c r="AF14" s="47">
        <f>'Input - NCL'!AD6</f>
        <v>16.189892170172499</v>
      </c>
      <c r="AG14" s="47">
        <f>'Input - NCL'!AE6</f>
        <v>12.939206952644035</v>
      </c>
      <c r="AH14" s="47">
        <f>'Input - NCL'!AF6</f>
        <v>9.9021946832421346</v>
      </c>
      <c r="AI14" s="47">
        <f>'Input - NCL'!AG6</f>
        <v>10.411419186029361</v>
      </c>
      <c r="AJ14" s="47">
        <f>'Input - NCL'!AH6</f>
        <v>13.40120378821168</v>
      </c>
      <c r="AK14" s="47">
        <f>'Input - NCL'!AI6</f>
        <v>15.04231409308974</v>
      </c>
      <c r="AL14" s="47">
        <f>'Input - NCL'!AJ6</f>
        <v>13.40908894940199</v>
      </c>
      <c r="AM14" s="47">
        <f>'Input - NCL'!AK6</f>
        <v>13.623197583706053</v>
      </c>
      <c r="AN14" s="47">
        <f>'Input - NCL'!AL6</f>
        <v>14.491586223206333</v>
      </c>
      <c r="AO14" s="48">
        <f>'Input - NCL'!AM6</f>
        <v>14.976076991598886</v>
      </c>
    </row>
    <row r="15" spans="1:41" x14ac:dyDescent="0.35">
      <c r="B15" s="2" t="s">
        <v>35</v>
      </c>
      <c r="C15" s="2" t="s">
        <v>159</v>
      </c>
      <c r="D15" s="2" t="s">
        <v>17</v>
      </c>
      <c r="E15" s="46">
        <f>'Input - NCL'!C7</f>
        <v>0</v>
      </c>
      <c r="F15" s="47">
        <f>'Input - NCL'!D7</f>
        <v>0</v>
      </c>
      <c r="G15" s="47">
        <f>'Input - NCL'!E7</f>
        <v>0</v>
      </c>
      <c r="H15" s="47">
        <f>'Input - NCL'!F7</f>
        <v>0</v>
      </c>
      <c r="I15" s="47">
        <f>'Input - NCL'!G7</f>
        <v>0</v>
      </c>
      <c r="J15" s="47">
        <f>'Input - NCL'!H7</f>
        <v>0</v>
      </c>
      <c r="K15" s="47">
        <f>'Input - NCL'!I7</f>
        <v>0</v>
      </c>
      <c r="L15" s="47">
        <f>'Input - NCL'!J7</f>
        <v>0</v>
      </c>
      <c r="M15" s="47">
        <f>'Input - NCL'!K7</f>
        <v>0</v>
      </c>
      <c r="N15" s="47">
        <f>'Input - NCL'!L7</f>
        <v>0</v>
      </c>
      <c r="O15" s="47">
        <f>'Input - NCL'!M7</f>
        <v>0</v>
      </c>
      <c r="P15" s="47">
        <f>'Input - NCL'!N7</f>
        <v>0</v>
      </c>
      <c r="Q15" s="47">
        <f>'Input - NCL'!O7</f>
        <v>0</v>
      </c>
      <c r="R15" s="47">
        <f>'Input - NCL'!P7</f>
        <v>0</v>
      </c>
      <c r="S15" s="47">
        <f>'Input - NCL'!Q7</f>
        <v>0</v>
      </c>
      <c r="T15" s="47">
        <f>'Input - NCL'!R7</f>
        <v>0</v>
      </c>
      <c r="U15" s="47">
        <f>'Input - NCL'!S7</f>
        <v>0</v>
      </c>
      <c r="V15" s="47">
        <f>'Input - NCL'!T7</f>
        <v>0</v>
      </c>
      <c r="W15" s="47">
        <f>'Input - NCL'!U7</f>
        <v>0</v>
      </c>
      <c r="X15" s="47">
        <f>'Input - NCL'!V7</f>
        <v>0</v>
      </c>
      <c r="Y15" s="47">
        <f>'Input - NCL'!W7</f>
        <v>0</v>
      </c>
      <c r="Z15" s="47">
        <f>'Input - NCL'!X7</f>
        <v>0</v>
      </c>
      <c r="AA15" s="47">
        <f>'Input - NCL'!Y7</f>
        <v>0</v>
      </c>
      <c r="AB15" s="47">
        <f>'Input - NCL'!Z7</f>
        <v>0</v>
      </c>
      <c r="AC15" s="47">
        <f>'Input - NCL'!AA7</f>
        <v>0</v>
      </c>
      <c r="AD15" s="47">
        <f>'Input - NCL'!AB7</f>
        <v>0</v>
      </c>
      <c r="AE15" s="47">
        <f>'Input - NCL'!AC7</f>
        <v>0</v>
      </c>
      <c r="AF15" s="47">
        <f>'Input - NCL'!AD7</f>
        <v>0</v>
      </c>
      <c r="AG15" s="47">
        <f>'Input - NCL'!AE7</f>
        <v>0</v>
      </c>
      <c r="AH15" s="47">
        <f>'Input - NCL'!AF7</f>
        <v>0</v>
      </c>
      <c r="AI15" s="47">
        <f>'Input - NCL'!AG7</f>
        <v>0</v>
      </c>
      <c r="AJ15" s="47">
        <f>'Input - NCL'!AH7</f>
        <v>0</v>
      </c>
      <c r="AK15" s="47">
        <f>'Input - NCL'!AI7</f>
        <v>0</v>
      </c>
      <c r="AL15" s="47">
        <f>'Input - NCL'!AJ7</f>
        <v>0</v>
      </c>
      <c r="AM15" s="47">
        <f>'Input - NCL'!AK7</f>
        <v>0</v>
      </c>
      <c r="AN15" s="47">
        <f>'Input - NCL'!AL7</f>
        <v>0</v>
      </c>
      <c r="AO15" s="48">
        <f>'Input - NCL'!AM7</f>
        <v>0</v>
      </c>
    </row>
    <row r="16" spans="1:41" x14ac:dyDescent="0.35">
      <c r="B16" s="1" t="s">
        <v>36</v>
      </c>
      <c r="C16" s="1" t="s">
        <v>157</v>
      </c>
      <c r="D16" s="1" t="s">
        <v>17</v>
      </c>
      <c r="E16" s="43">
        <f>IF(E$2="N",E13,LOOKUP(E$2,'Calculations - Parameters'!$AB$2:$AE$2,'Calculations - Parameters'!$AB3:$AE3)*E13/LOOKUP(E$2,'Calculations - Parameters'!$AB$2:$AE$2,'Calculations - Parameters'!$X3:$AA3))</f>
        <v>27.583751918216553</v>
      </c>
      <c r="F16" s="44">
        <f>F25-F28</f>
        <v>36.827333533055992</v>
      </c>
      <c r="G16" s="44">
        <f t="shared" ref="G16:Q16" si="1">G25-G28</f>
        <v>11.336840289032333</v>
      </c>
      <c r="H16" s="44">
        <f t="shared" si="1"/>
        <v>17.006430720101875</v>
      </c>
      <c r="I16" s="44">
        <f t="shared" si="1"/>
        <v>12.966600574929389</v>
      </c>
      <c r="J16" s="44">
        <f t="shared" si="1"/>
        <v>18.141161712756638</v>
      </c>
      <c r="K16" s="44">
        <f t="shared" si="1"/>
        <v>12.00910556907295</v>
      </c>
      <c r="L16" s="44">
        <f t="shared" si="1"/>
        <v>25.121054713401179</v>
      </c>
      <c r="M16" s="44">
        <f t="shared" si="1"/>
        <v>14.314999079561094</v>
      </c>
      <c r="N16" s="44">
        <f t="shared" si="1"/>
        <v>13.442126393162035</v>
      </c>
      <c r="O16" s="44">
        <f t="shared" si="1"/>
        <v>15.928189506864811</v>
      </c>
      <c r="P16" s="44">
        <f t="shared" si="1"/>
        <v>14.067994242227524</v>
      </c>
      <c r="Q16" s="44">
        <f t="shared" si="1"/>
        <v>15.542658274490883</v>
      </c>
      <c r="R16" s="44">
        <f>IF(R$2="N",R13,LOOKUP(R$2,'Calculations - Parameters'!$AB$2:$AE$2,'Calculations - Parameters'!$AB3:$AE3)*R13/LOOKUP(R$2,'Calculations - Parameters'!$AB$2:$AE$2,'Calculations - Parameters'!$X3:$AA3))</f>
        <v>24.01100568681866</v>
      </c>
      <c r="S16" s="44">
        <f>IF(S$2="N",S13,LOOKUP(S$2,'Calculations - Parameters'!$AB$2:$AE$2,'Calculations - Parameters'!$AB3:$AE3)*S13/LOOKUP(S$2,'Calculations - Parameters'!$AB$2:$AE$2,'Calculations - Parameters'!$X3:$AA3))</f>
        <v>33.760804159162689</v>
      </c>
      <c r="T16" s="44">
        <f>IF(T$2="N",T13,LOOKUP(T$2,'Calculations - Parameters'!$AB$2:$AE$2,'Calculations - Parameters'!$AB3:$AE3)*T13/LOOKUP(T$2,'Calculations - Parameters'!$AB$2:$AE$2,'Calculations - Parameters'!$X3:$AA3))</f>
        <v>38.087770639396943</v>
      </c>
      <c r="U16" s="44">
        <f>IF(U$2="N",U13,LOOKUP(U$2,'Calculations - Parameters'!$AB$2:$AE$2,'Calculations - Parameters'!$AB3:$AE3)*U13/LOOKUP(U$2,'Calculations - Parameters'!$AB$2:$AE$2,'Calculations - Parameters'!$X3:$AA3))</f>
        <v>99.84814259621929</v>
      </c>
      <c r="V16" s="44">
        <f>IF(V$2="N",V13,LOOKUP(V$2,'Calculations - Parameters'!$AB$2:$AE$2,'Calculations - Parameters'!$AB3:$AE3)*V13/LOOKUP(V$2,'Calculations - Parameters'!$AB$2:$AE$2,'Calculations - Parameters'!$X3:$AA3))</f>
        <v>26.864910907510929</v>
      </c>
      <c r="W16" s="44">
        <f>IF(W$2="N",W13,LOOKUP(W$2,'Calculations - Parameters'!$AB$2:$AE$2,'Calculations - Parameters'!$AB3:$AE3)*W13/LOOKUP(W$2,'Calculations - Parameters'!$AB$2:$AE$2,'Calculations - Parameters'!$X3:$AA3))</f>
        <v>25.034446804421901</v>
      </c>
      <c r="X16" s="44">
        <f>IF(X$2="N",X13,LOOKUP(X$2,'Calculations - Parameters'!$AB$2:$AE$2,'Calculations - Parameters'!$AB3:$AE3)*X13/LOOKUP(X$2,'Calculations - Parameters'!$AB$2:$AE$2,'Calculations - Parameters'!$X3:$AA3))</f>
        <v>17.900440766583525</v>
      </c>
      <c r="Y16" s="44">
        <f>IF(Y$2="N",Y13,LOOKUP(Y$2,'Calculations - Parameters'!$AB$2:$AE$2,'Calculations - Parameters'!$AB3:$AE3)*Y13/LOOKUP(Y$2,'Calculations - Parameters'!$AB$2:$AE$2,'Calculations - Parameters'!$X3:$AA3))</f>
        <v>34.441443229463864</v>
      </c>
      <c r="Z16" s="44">
        <f>IF(Z$2="N",Z13,LOOKUP(Z$2,'Calculations - Parameters'!$AB$2:$AE$2,'Calculations - Parameters'!$AB3:$AE3)*Z13/LOOKUP(Z$2,'Calculations - Parameters'!$AB$2:$AE$2,'Calculations - Parameters'!$X3:$AA3))</f>
        <v>27.799730190891296</v>
      </c>
      <c r="AA16" s="44">
        <f>IF(AA$2="N",AA13,LOOKUP(AA$2,'Calculations - Parameters'!$AB$2:$AE$2,'Calculations - Parameters'!$AB3:$AE3)*AA13/LOOKUP(AA$2,'Calculations - Parameters'!$AB$2:$AE$2,'Calculations - Parameters'!$X3:$AA3))</f>
        <v>31.050708882059375</v>
      </c>
      <c r="AB16" s="44">
        <f>IF(AB$2="N",AB13,LOOKUP(AB$2,'Calculations - Parameters'!$AB$2:$AE$2,'Calculations - Parameters'!$AB3:$AE3)*AB13/LOOKUP(AB$2,'Calculations - Parameters'!$AB$2:$AE$2,'Calculations - Parameters'!$X3:$AA3))</f>
        <v>25.395977030079916</v>
      </c>
      <c r="AC16" s="44">
        <f>IF(AC$2="N",AC13,LOOKUP(AC$2,'Calculations - Parameters'!$AB$2:$AE$2,'Calculations - Parameters'!$AB3:$AE3)*AC13/LOOKUP(AC$2,'Calculations - Parameters'!$AB$2:$AE$2,'Calculations - Parameters'!$X3:$AA3))</f>
        <v>30.051356243957162</v>
      </c>
      <c r="AD16" s="44">
        <f>IF(AD$2="N",AD13,LOOKUP(AD$2,'Calculations - Parameters'!$AB$2:$AE$2,'Calculations - Parameters'!$AB3:$AE3)*AD13/LOOKUP(AD$2,'Calculations - Parameters'!$AB$2:$AE$2,'Calculations - Parameters'!$X3:$AA3))</f>
        <v>100.76065746068716</v>
      </c>
      <c r="AE16" s="44">
        <f>IF(AE$2="N",AE13,LOOKUP(AE$2,'Calculations - Parameters'!$AB$2:$AE$2,'Calculations - Parameters'!$AB3:$AE3)*AE13/LOOKUP(AE$2,'Calculations - Parameters'!$AB$2:$AE$2,'Calculations - Parameters'!$X3:$AA3))</f>
        <v>39.633938834021237</v>
      </c>
      <c r="AF16" s="44">
        <f>IF(AF$2="N",AF13,LOOKUP(AF$2,'Calculations - Parameters'!$AB$2:$AE$2,'Calculations - Parameters'!$AB3:$AE3)*AF13/LOOKUP(AF$2,'Calculations - Parameters'!$AB$2:$AE$2,'Calculations - Parameters'!$X3:$AA3))</f>
        <v>45.132111141314454</v>
      </c>
      <c r="AG16" s="44">
        <f>IF(AG$2="N",AG13,LOOKUP(AG$2,'Calculations - Parameters'!$AB$2:$AE$2,'Calculations - Parameters'!$AB3:$AE3)*AG13/LOOKUP(AG$2,'Calculations - Parameters'!$AB$2:$AE$2,'Calculations - Parameters'!$X3:$AA3))</f>
        <v>64.693171002240845</v>
      </c>
      <c r="AH16" s="44">
        <f>IF(AH$2="N",AH13,LOOKUP(AH$2,'Calculations - Parameters'!$AB$2:$AE$2,'Calculations - Parameters'!$AB3:$AE3)*AH13/LOOKUP(AH$2,'Calculations - Parameters'!$AB$2:$AE$2,'Calculations - Parameters'!$X3:$AA3))</f>
        <v>61.882519438492253</v>
      </c>
      <c r="AI16" s="44">
        <f>IF(AI$2="N",AI13,LOOKUP(AI$2,'Calculations - Parameters'!$AB$2:$AE$2,'Calculations - Parameters'!$AB3:$AE3)*AI13/LOOKUP(AI$2,'Calculations - Parameters'!$AB$2:$AE$2,'Calculations - Parameters'!$X3:$AA3))</f>
        <v>50.365818366759555</v>
      </c>
      <c r="AJ16" s="44">
        <f>IF(AJ$2="N",AJ13,LOOKUP(AJ$2,'Calculations - Parameters'!$AB$2:$AE$2,'Calculations - Parameters'!$AB3:$AE3)*AJ13/LOOKUP(AJ$2,'Calculations - Parameters'!$AB$2:$AE$2,'Calculations - Parameters'!$X3:$AA3))</f>
        <v>35.40599185854763</v>
      </c>
      <c r="AK16" s="44">
        <f>IF(AK$2="N",AK13,LOOKUP(AK$2,'Calculations - Parameters'!$AB$2:$AE$2,'Calculations - Parameters'!$AB3:$AE3)*AK13/LOOKUP(AK$2,'Calculations - Parameters'!$AB$2:$AE$2,'Calculations - Parameters'!$X3:$AA3))</f>
        <v>29.69593560149233</v>
      </c>
      <c r="AL16" s="44">
        <f>IF(AL$2="N",AL13,LOOKUP(AL$2,'Calculations - Parameters'!$AB$2:$AE$2,'Calculations - Parameters'!$AB3:$AE3)*AL13/LOOKUP(AL$2,'Calculations - Parameters'!$AB$2:$AE$2,'Calculations - Parameters'!$X3:$AA3))</f>
        <v>31.494280011866945</v>
      </c>
      <c r="AM16" s="44">
        <f>IF(AM$2="N",AM13,LOOKUP(AM$2,'Calculations - Parameters'!$AB$2:$AE$2,'Calculations - Parameters'!$AB3:$AE3)*AM13/LOOKUP(AM$2,'Calculations - Parameters'!$AB$2:$AE$2,'Calculations - Parameters'!$X3:$AA3))</f>
        <v>34.208306030585447</v>
      </c>
      <c r="AN16" s="44">
        <f>IF(AN$2="N",AN13,LOOKUP(AN$2,'Calculations - Parameters'!$AB$2:$AE$2,'Calculations - Parameters'!$AB3:$AE3)*AN13/LOOKUP(AN$2,'Calculations - Parameters'!$AB$2:$AE$2,'Calculations - Parameters'!$X3:$AA3))</f>
        <v>34.609581262686561</v>
      </c>
      <c r="AO16" s="45">
        <f>IF(AO$2="N",AO13,LOOKUP(AO$2,'Calculations - Parameters'!$AB$2:$AE$2,'Calculations - Parameters'!$AB3:$AE3)*AO13/LOOKUP(AO$2,'Calculations - Parameters'!$AB$2:$AE$2,'Calculations - Parameters'!$X3:$AA3))</f>
        <v>38.102161261348769</v>
      </c>
    </row>
    <row r="17" spans="2:41" x14ac:dyDescent="0.35">
      <c r="B17" s="2" t="s">
        <v>36</v>
      </c>
      <c r="C17" s="2" t="s">
        <v>158</v>
      </c>
      <c r="D17" s="2" t="s">
        <v>17</v>
      </c>
      <c r="E17" s="46">
        <f>IF(E$2="N",E14,LOOKUP(E$2,'Calculations - Parameters'!$AB$2:$AE$2,'Calculations - Parameters'!$AB4:$AE4)*E14/LOOKUP(E$2,'Calculations - Parameters'!$AB$2:$AE$2,'Calculations - Parameters'!$X4:$AA4))</f>
        <v>38.733858688646514</v>
      </c>
      <c r="F17" s="47">
        <f t="shared" ref="F17:Q17" si="2">F26-F29</f>
        <v>14.882740869272903</v>
      </c>
      <c r="G17" s="47">
        <f t="shared" si="2"/>
        <v>14.652778223096627</v>
      </c>
      <c r="H17" s="47">
        <f t="shared" si="2"/>
        <v>14.011699690290133</v>
      </c>
      <c r="I17" s="47">
        <f t="shared" si="2"/>
        <v>17.112639330552199</v>
      </c>
      <c r="J17" s="47">
        <f t="shared" si="2"/>
        <v>14.829690075786019</v>
      </c>
      <c r="K17" s="47">
        <f t="shared" si="2"/>
        <v>14.410618511827293</v>
      </c>
      <c r="L17" s="47">
        <f t="shared" si="2"/>
        <v>18.512211149920745</v>
      </c>
      <c r="M17" s="47">
        <f t="shared" si="2"/>
        <v>12.529665136746235</v>
      </c>
      <c r="N17" s="47">
        <f t="shared" si="2"/>
        <v>44.918094088430429</v>
      </c>
      <c r="O17" s="47">
        <f t="shared" si="2"/>
        <v>54.818457281892769</v>
      </c>
      <c r="P17" s="47">
        <f t="shared" si="2"/>
        <v>14.910670853218802</v>
      </c>
      <c r="Q17" s="47">
        <f t="shared" si="2"/>
        <v>15.148162087778278</v>
      </c>
      <c r="R17" s="47">
        <f>IF(R$2="N",R14,LOOKUP(R$2,'Calculations - Parameters'!$AB$2:$AE$2,'Calculations - Parameters'!$AB4:$AE4)*R14/LOOKUP(R$2,'Calculations - Parameters'!$AB$2:$AE$2,'Calculations - Parameters'!$X4:$AA4))</f>
        <v>21.618257883708615</v>
      </c>
      <c r="S17" s="47">
        <f>IF(S$2="N",S14,LOOKUP(S$2,'Calculations - Parameters'!$AB$2:$AE$2,'Calculations - Parameters'!$AB4:$AE4)*S14/LOOKUP(S$2,'Calculations - Parameters'!$AB$2:$AE$2,'Calculations - Parameters'!$X4:$AA4))</f>
        <v>24.423822280047261</v>
      </c>
      <c r="T17" s="47">
        <f>IF(T$2="N",T14,LOOKUP(T$2,'Calculations - Parameters'!$AB$2:$AE$2,'Calculations - Parameters'!$AB4:$AE4)*T14/LOOKUP(T$2,'Calculations - Parameters'!$AB$2:$AE$2,'Calculations - Parameters'!$X4:$AA4))</f>
        <v>45.113437382413757</v>
      </c>
      <c r="U17" s="47">
        <f>IF(U$2="N",U14,LOOKUP(U$2,'Calculations - Parameters'!$AB$2:$AE$2,'Calculations - Parameters'!$AB4:$AE4)*U14/LOOKUP(U$2,'Calculations - Parameters'!$AB$2:$AE$2,'Calculations - Parameters'!$X4:$AA4))</f>
        <v>20.306427222417803</v>
      </c>
      <c r="V17" s="47">
        <f>IF(V$2="N",V14,LOOKUP(V$2,'Calculations - Parameters'!$AB$2:$AE$2,'Calculations - Parameters'!$AB4:$AE4)*V14/LOOKUP(V$2,'Calculations - Parameters'!$AB$2:$AE$2,'Calculations - Parameters'!$X4:$AA4))</f>
        <v>27.397544296312972</v>
      </c>
      <c r="W17" s="47">
        <f>IF(W$2="N",W14,LOOKUP(W$2,'Calculations - Parameters'!$AB$2:$AE$2,'Calculations - Parameters'!$AB4:$AE4)*W14/LOOKUP(W$2,'Calculations - Parameters'!$AB$2:$AE$2,'Calculations - Parameters'!$X4:$AA4))</f>
        <v>34.870168759320578</v>
      </c>
      <c r="X17" s="47">
        <f>IF(X$2="N",X14,LOOKUP(X$2,'Calculations - Parameters'!$AB$2:$AE$2,'Calculations - Parameters'!$AB4:$AE4)*X14/LOOKUP(X$2,'Calculations - Parameters'!$AB$2:$AE$2,'Calculations - Parameters'!$X4:$AA4))</f>
        <v>6.9224965616093712</v>
      </c>
      <c r="Y17" s="47">
        <f>IF(Y$2="N",Y14,LOOKUP(Y$2,'Calculations - Parameters'!$AB$2:$AE$2,'Calculations - Parameters'!$AB4:$AE4)*Y14/LOOKUP(Y$2,'Calculations - Parameters'!$AB$2:$AE$2,'Calculations - Parameters'!$X4:$AA4))</f>
        <v>8.3677872852697348</v>
      </c>
      <c r="Z17" s="47">
        <f>IF(Z$2="N",Z14,LOOKUP(Z$2,'Calculations - Parameters'!$AB$2:$AE$2,'Calculations - Parameters'!$AB4:$AE4)*Z14/LOOKUP(Z$2,'Calculations - Parameters'!$AB$2:$AE$2,'Calculations - Parameters'!$X4:$AA4))</f>
        <v>13.783555295204691</v>
      </c>
      <c r="AA17" s="47">
        <f>IF(AA$2="N",AA14,LOOKUP(AA$2,'Calculations - Parameters'!$AB$2:$AE$2,'Calculations - Parameters'!$AB4:$AE4)*AA14/LOOKUP(AA$2,'Calculations - Parameters'!$AB$2:$AE$2,'Calculations - Parameters'!$X4:$AA4))</f>
        <v>12.484005056631517</v>
      </c>
      <c r="AB17" s="47">
        <f>IF(AB$2="N",AB14,LOOKUP(AB$2,'Calculations - Parameters'!$AB$2:$AE$2,'Calculations - Parameters'!$AB4:$AE4)*AB14/LOOKUP(AB$2,'Calculations - Parameters'!$AB$2:$AE$2,'Calculations - Parameters'!$X4:$AA4))</f>
        <v>11.610543584525418</v>
      </c>
      <c r="AC17" s="47">
        <f>IF(AC$2="N",AC14,LOOKUP(AC$2,'Calculations - Parameters'!$AB$2:$AE$2,'Calculations - Parameters'!$AB4:$AE4)*AC14/LOOKUP(AC$2,'Calculations - Parameters'!$AB$2:$AE$2,'Calculations - Parameters'!$X4:$AA4))</f>
        <v>8.3085810296741816</v>
      </c>
      <c r="AD17" s="47">
        <f>IF(AD$2="N",AD14,LOOKUP(AD$2,'Calculations - Parameters'!$AB$2:$AE$2,'Calculations - Parameters'!$AB4:$AE4)*AD14/LOOKUP(AD$2,'Calculations - Parameters'!$AB$2:$AE$2,'Calculations - Parameters'!$X4:$AA4))</f>
        <v>20.849382818973556</v>
      </c>
      <c r="AE17" s="47">
        <f>IF(AE$2="N",AE14,LOOKUP(AE$2,'Calculations - Parameters'!$AB$2:$AE$2,'Calculations - Parameters'!$AB4:$AE4)*AE14/LOOKUP(AE$2,'Calculations - Parameters'!$AB$2:$AE$2,'Calculations - Parameters'!$X4:$AA4))</f>
        <v>21.541749614583203</v>
      </c>
      <c r="AF17" s="47">
        <f>IF(AF$2="N",AF14,LOOKUP(AF$2,'Calculations - Parameters'!$AB$2:$AE$2,'Calculations - Parameters'!$AB4:$AE4)*AF14/LOOKUP(AF$2,'Calculations - Parameters'!$AB$2:$AE$2,'Calculations - Parameters'!$X4:$AA4))</f>
        <v>32.888956618610713</v>
      </c>
      <c r="AG17" s="47">
        <f>IF(AG$2="N",AG14,LOOKUP(AG$2,'Calculations - Parameters'!$AB$2:$AE$2,'Calculations - Parameters'!$AB4:$AE4)*AG14/LOOKUP(AG$2,'Calculations - Parameters'!$AB$2:$AE$2,'Calculations - Parameters'!$X4:$AA4))</f>
        <v>26.285352099426714</v>
      </c>
      <c r="AH17" s="47">
        <f>IF(AH$2="N",AH14,LOOKUP(AH$2,'Calculations - Parameters'!$AB$2:$AE$2,'Calculations - Parameters'!$AB4:$AE4)*AH14/LOOKUP(AH$2,'Calculations - Parameters'!$AB$2:$AE$2,'Calculations - Parameters'!$X4:$AA4))</f>
        <v>20.115813492951652</v>
      </c>
      <c r="AI17" s="47">
        <f>IF(AI$2="N",AI14,LOOKUP(AI$2,'Calculations - Parameters'!$AB$2:$AE$2,'Calculations - Parameters'!$AB4:$AE4)*AI14/LOOKUP(AI$2,'Calculations - Parameters'!$AB$2:$AE$2,'Calculations - Parameters'!$X4:$AA4))</f>
        <v>21.150277614470518</v>
      </c>
      <c r="AJ17" s="47">
        <f>IF(AJ$2="N",AJ14,LOOKUP(AJ$2,'Calculations - Parameters'!$AB$2:$AE$2,'Calculations - Parameters'!$AB4:$AE4)*AJ14/LOOKUP(AJ$2,'Calculations - Parameters'!$AB$2:$AE$2,'Calculations - Parameters'!$X4:$AA4))</f>
        <v>13.40120378821168</v>
      </c>
      <c r="AK17" s="47">
        <f>IF(AK$2="N",AK14,LOOKUP(AK$2,'Calculations - Parameters'!$AB$2:$AE$2,'Calculations - Parameters'!$AB4:$AE4)*AK14/LOOKUP(AK$2,'Calculations - Parameters'!$AB$2:$AE$2,'Calculations - Parameters'!$X4:$AA4))</f>
        <v>15.04231409308974</v>
      </c>
      <c r="AL17" s="47">
        <f>IF(AL$2="N",AL14,LOOKUP(AL$2,'Calculations - Parameters'!$AB$2:$AE$2,'Calculations - Parameters'!$AB4:$AE4)*AL14/LOOKUP(AL$2,'Calculations - Parameters'!$AB$2:$AE$2,'Calculations - Parameters'!$X4:$AA4))</f>
        <v>13.40908894940199</v>
      </c>
      <c r="AM17" s="47">
        <f>IF(AM$2="N",AM14,LOOKUP(AM$2,'Calculations - Parameters'!$AB$2:$AE$2,'Calculations - Parameters'!$AB4:$AE4)*AM14/LOOKUP(AM$2,'Calculations - Parameters'!$AB$2:$AE$2,'Calculations - Parameters'!$X4:$AA4))</f>
        <v>13.623197583706053</v>
      </c>
      <c r="AN17" s="47">
        <f>IF(AN$2="N",AN14,LOOKUP(AN$2,'Calculations - Parameters'!$AB$2:$AE$2,'Calculations - Parameters'!$AB4:$AE4)*AN14/LOOKUP(AN$2,'Calculations - Parameters'!$AB$2:$AE$2,'Calculations - Parameters'!$X4:$AA4))</f>
        <v>14.491586223206333</v>
      </c>
      <c r="AO17" s="48">
        <f>IF(AO$2="N",AO14,LOOKUP(AO$2,'Calculations - Parameters'!$AB$2:$AE$2,'Calculations - Parameters'!$AB4:$AE4)*AO14/LOOKUP(AO$2,'Calculations - Parameters'!$AB$2:$AE$2,'Calculations - Parameters'!$X4:$AA4))</f>
        <v>14.976076991598886</v>
      </c>
    </row>
    <row r="18" spans="2:41" x14ac:dyDescent="0.35">
      <c r="B18" s="2" t="s">
        <v>36</v>
      </c>
      <c r="C18" s="2" t="s">
        <v>159</v>
      </c>
      <c r="D18" s="2" t="s">
        <v>17</v>
      </c>
      <c r="E18" s="46">
        <f>IF(E$2="N",E15,LOOKUP(E$2,'Calculations - Parameters'!$AB$2:$AE$2,'Calculations - Parameters'!$AB5:$AE5)*E15/LOOKUP(E$2,'Calculations - Parameters'!$AB$2:$AE$2,'Calculations - Parameters'!$X5:$AA5))</f>
        <v>0</v>
      </c>
      <c r="F18" s="47">
        <f t="shared" ref="F18:Q18" si="3">F27-F30</f>
        <v>0</v>
      </c>
      <c r="G18" s="47">
        <f t="shared" si="3"/>
        <v>0</v>
      </c>
      <c r="H18" s="47">
        <f t="shared" si="3"/>
        <v>0</v>
      </c>
      <c r="I18" s="47">
        <f t="shared" si="3"/>
        <v>0</v>
      </c>
      <c r="J18" s="47">
        <f t="shared" si="3"/>
        <v>0</v>
      </c>
      <c r="K18" s="47">
        <f t="shared" si="3"/>
        <v>0</v>
      </c>
      <c r="L18" s="47">
        <f t="shared" si="3"/>
        <v>0</v>
      </c>
      <c r="M18" s="47">
        <f t="shared" si="3"/>
        <v>0</v>
      </c>
      <c r="N18" s="47">
        <f t="shared" si="3"/>
        <v>0</v>
      </c>
      <c r="O18" s="47">
        <f t="shared" si="3"/>
        <v>0</v>
      </c>
      <c r="P18" s="47">
        <f t="shared" si="3"/>
        <v>0</v>
      </c>
      <c r="Q18" s="47">
        <f t="shared" si="3"/>
        <v>0</v>
      </c>
      <c r="R18" s="47">
        <f>IFERROR(IF(R$2="N",R15,LOOKUP(R$2,'Calculations - Parameters'!$AB$2:$AE$2,'Calculations - Parameters'!$AB5:$AE5)*R15/LOOKUP(R$2,'Calculations - Parameters'!$AB$2:$AE$2,'Calculations - Parameters'!$X5:$AA5)),0)</f>
        <v>0</v>
      </c>
      <c r="S18" s="47">
        <f>IFERROR(IF(S$2="N",S15,LOOKUP(S$2,'Calculations - Parameters'!$AB$2:$AE$2,'Calculations - Parameters'!$AB5:$AE5)*S15/LOOKUP(S$2,'Calculations - Parameters'!$AB$2:$AE$2,'Calculations - Parameters'!$X5:$AA5)),0)</f>
        <v>0</v>
      </c>
      <c r="T18" s="47">
        <f>IFERROR(IF(T$2="N",T15,LOOKUP(T$2,'Calculations - Parameters'!$AB$2:$AE$2,'Calculations - Parameters'!$AB5:$AE5)*T15/LOOKUP(T$2,'Calculations - Parameters'!$AB$2:$AE$2,'Calculations - Parameters'!$X5:$AA5)),0)</f>
        <v>0</v>
      </c>
      <c r="U18" s="47">
        <f>IFERROR(IF(U$2="N",U15,LOOKUP(U$2,'Calculations - Parameters'!$AB$2:$AE$2,'Calculations - Parameters'!$AB5:$AE5)*U15/LOOKUP(U$2,'Calculations - Parameters'!$AB$2:$AE$2,'Calculations - Parameters'!$X5:$AA5)),0)</f>
        <v>0</v>
      </c>
      <c r="V18" s="47">
        <f>IFERROR(IF(V$2="N",V15,LOOKUP(V$2,'Calculations - Parameters'!$AB$2:$AE$2,'Calculations - Parameters'!$AB5:$AE5)*V15/LOOKUP(V$2,'Calculations - Parameters'!$AB$2:$AE$2,'Calculations - Parameters'!$X5:$AA5)),0)</f>
        <v>0</v>
      </c>
      <c r="W18" s="47">
        <f>IFERROR(IF(W$2="N",W15,LOOKUP(W$2,'Calculations - Parameters'!$AB$2:$AE$2,'Calculations - Parameters'!$AB5:$AE5)*W15/LOOKUP(W$2,'Calculations - Parameters'!$AB$2:$AE$2,'Calculations - Parameters'!$X5:$AA5)),0)</f>
        <v>0</v>
      </c>
      <c r="X18" s="47">
        <f>IFERROR(IF(X$2="N",X15,LOOKUP(X$2,'Calculations - Parameters'!$AB$2:$AE$2,'Calculations - Parameters'!$AB5:$AE5)*X15/LOOKUP(X$2,'Calculations - Parameters'!$AB$2:$AE$2,'Calculations - Parameters'!$X5:$AA5)),0)</f>
        <v>0</v>
      </c>
      <c r="Y18" s="47">
        <f>IFERROR(IF(Y$2="N",Y15,LOOKUP(Y$2,'Calculations - Parameters'!$AB$2:$AE$2,'Calculations - Parameters'!$AB5:$AE5)*Y15/LOOKUP(Y$2,'Calculations - Parameters'!$AB$2:$AE$2,'Calculations - Parameters'!$X5:$AA5)),0)</f>
        <v>0</v>
      </c>
      <c r="Z18" s="47">
        <f>IFERROR(IF(Z$2="N",Z15,LOOKUP(Z$2,'Calculations - Parameters'!$AB$2:$AE$2,'Calculations - Parameters'!$AB5:$AE5)*Z15/LOOKUP(Z$2,'Calculations - Parameters'!$AB$2:$AE$2,'Calculations - Parameters'!$X5:$AA5)),0)</f>
        <v>0</v>
      </c>
      <c r="AA18" s="47">
        <f>IFERROR(IF(AA$2="N",AA15,LOOKUP(AA$2,'Calculations - Parameters'!$AB$2:$AE$2,'Calculations - Parameters'!$AB5:$AE5)*AA15/LOOKUP(AA$2,'Calculations - Parameters'!$AB$2:$AE$2,'Calculations - Parameters'!$X5:$AA5)),0)</f>
        <v>0</v>
      </c>
      <c r="AB18" s="47">
        <f>IFERROR(IF(AB$2="N",AB15,LOOKUP(AB$2,'Calculations - Parameters'!$AB$2:$AE$2,'Calculations - Parameters'!$AB5:$AE5)*AB15/LOOKUP(AB$2,'Calculations - Parameters'!$AB$2:$AE$2,'Calculations - Parameters'!$X5:$AA5)),0)</f>
        <v>0</v>
      </c>
      <c r="AC18" s="47">
        <f>IFERROR(IF(AC$2="N",AC15,LOOKUP(AC$2,'Calculations - Parameters'!$AB$2:$AE$2,'Calculations - Parameters'!$AB5:$AE5)*AC15/LOOKUP(AC$2,'Calculations - Parameters'!$AB$2:$AE$2,'Calculations - Parameters'!$X5:$AA5)),0)</f>
        <v>0</v>
      </c>
      <c r="AD18" s="47">
        <f>IFERROR(IF(AD$2="N",AD15,LOOKUP(AD$2,'Calculations - Parameters'!$AB$2:$AE$2,'Calculations - Parameters'!$AB5:$AE5)*AD15/LOOKUP(AD$2,'Calculations - Parameters'!$AB$2:$AE$2,'Calculations - Parameters'!$X5:$AA5)),0)</f>
        <v>0</v>
      </c>
      <c r="AE18" s="47">
        <f>IFERROR(IF(AE$2="N",AE15,LOOKUP(AE$2,'Calculations - Parameters'!$AB$2:$AE$2,'Calculations - Parameters'!$AB5:$AE5)*AE15/LOOKUP(AE$2,'Calculations - Parameters'!$AB$2:$AE$2,'Calculations - Parameters'!$X5:$AA5)),0)</f>
        <v>0</v>
      </c>
      <c r="AF18" s="47">
        <f>IFERROR(IF(AF$2="N",AF15,LOOKUP(AF$2,'Calculations - Parameters'!$AB$2:$AE$2,'Calculations - Parameters'!$AB5:$AE5)*AF15/LOOKUP(AF$2,'Calculations - Parameters'!$AB$2:$AE$2,'Calculations - Parameters'!$X5:$AA5)),0)</f>
        <v>0</v>
      </c>
      <c r="AG18" s="47">
        <f>IFERROR(IF(AG$2="N",AG15,LOOKUP(AG$2,'Calculations - Parameters'!$AB$2:$AE$2,'Calculations - Parameters'!$AB5:$AE5)*AG15/LOOKUP(AG$2,'Calculations - Parameters'!$AB$2:$AE$2,'Calculations - Parameters'!$X5:$AA5)),0)</f>
        <v>0</v>
      </c>
      <c r="AH18" s="47">
        <f>IFERROR(IF(AH$2="N",AH15,LOOKUP(AH$2,'Calculations - Parameters'!$AB$2:$AE$2,'Calculations - Parameters'!$AB5:$AE5)*AH15/LOOKUP(AH$2,'Calculations - Parameters'!$AB$2:$AE$2,'Calculations - Parameters'!$X5:$AA5)),0)</f>
        <v>0</v>
      </c>
      <c r="AI18" s="47">
        <f>IFERROR(IF(AI$2="N",AI15,LOOKUP(AI$2,'Calculations - Parameters'!$AB$2:$AE$2,'Calculations - Parameters'!$AB5:$AE5)*AI15/LOOKUP(AI$2,'Calculations - Parameters'!$AB$2:$AE$2,'Calculations - Parameters'!$X5:$AA5)),0)</f>
        <v>0</v>
      </c>
      <c r="AJ18" s="47">
        <f>IFERROR(IF(AJ$2="N",AJ15,LOOKUP(AJ$2,'Calculations - Parameters'!$AB$2:$AE$2,'Calculations - Parameters'!$AB5:$AE5)*AJ15/LOOKUP(AJ$2,'Calculations - Parameters'!$AB$2:$AE$2,'Calculations - Parameters'!$X5:$AA5)),0)</f>
        <v>0</v>
      </c>
      <c r="AK18" s="47">
        <f>IFERROR(IF(AK$2="N",AK15,LOOKUP(AK$2,'Calculations - Parameters'!$AB$2:$AE$2,'Calculations - Parameters'!$AB5:$AE5)*AK15/LOOKUP(AK$2,'Calculations - Parameters'!$AB$2:$AE$2,'Calculations - Parameters'!$X5:$AA5)),0)</f>
        <v>0</v>
      </c>
      <c r="AL18" s="47">
        <f>IFERROR(IF(AL$2="N",AL15,LOOKUP(AL$2,'Calculations - Parameters'!$AB$2:$AE$2,'Calculations - Parameters'!$AB5:$AE5)*AL15/LOOKUP(AL$2,'Calculations - Parameters'!$AB$2:$AE$2,'Calculations - Parameters'!$X5:$AA5)),0)</f>
        <v>0</v>
      </c>
      <c r="AM18" s="47">
        <f>IFERROR(IF(AM$2="N",AM15,LOOKUP(AM$2,'Calculations - Parameters'!$AB$2:$AE$2,'Calculations - Parameters'!$AB5:$AE5)*AM15/LOOKUP(AM$2,'Calculations - Parameters'!$AB$2:$AE$2,'Calculations - Parameters'!$X5:$AA5)),0)</f>
        <v>0</v>
      </c>
      <c r="AN18" s="47">
        <f>IFERROR(IF(AN$2="N",AN15,LOOKUP(AN$2,'Calculations - Parameters'!$AB$2:$AE$2,'Calculations - Parameters'!$AB5:$AE5)*AN15/LOOKUP(AN$2,'Calculations - Parameters'!$AB$2:$AE$2,'Calculations - Parameters'!$X5:$AA5)),0)</f>
        <v>0</v>
      </c>
      <c r="AO18" s="48">
        <f>IFERROR(IF(AO$2="N",AO15,LOOKUP(AO$2,'Calculations - Parameters'!$AB$2:$AE$2,'Calculations - Parameters'!$AB5:$AE5)*AO15/LOOKUP(AO$2,'Calculations - Parameters'!$AB$2:$AE$2,'Calculations - Parameters'!$X5:$AA5)),0)</f>
        <v>0</v>
      </c>
    </row>
    <row r="19" spans="2:41" x14ac:dyDescent="0.35">
      <c r="B19" s="1" t="s">
        <v>186</v>
      </c>
      <c r="C19" s="1" t="s">
        <v>157</v>
      </c>
      <c r="D19" s="1" t="s">
        <v>15</v>
      </c>
      <c r="E19" s="107">
        <v>12.241770357643304</v>
      </c>
      <c r="F19" s="108">
        <v>10.071500662905237</v>
      </c>
      <c r="G19" s="108">
        <v>20.325586742699443</v>
      </c>
      <c r="H19" s="108">
        <v>20.831298024391913</v>
      </c>
      <c r="I19" s="108">
        <v>17.229070213251816</v>
      </c>
      <c r="J19" s="108">
        <v>21.171105818232036</v>
      </c>
      <c r="K19" s="108">
        <v>26.3175637848409</v>
      </c>
      <c r="L19" s="108">
        <v>14.001267159032409</v>
      </c>
      <c r="M19" s="108">
        <v>20.85055075471837</v>
      </c>
      <c r="N19" s="108">
        <v>22.548888121558775</v>
      </c>
      <c r="O19" s="108">
        <v>21.721940417143742</v>
      </c>
      <c r="P19" s="108">
        <v>22.34026480517673</v>
      </c>
      <c r="Q19" s="108">
        <v>-4.2208460485614978</v>
      </c>
      <c r="R19" s="108">
        <v>27.659899601640063</v>
      </c>
      <c r="S19" s="108">
        <v>26.198684918908612</v>
      </c>
      <c r="T19" s="108">
        <v>27.267261200499206</v>
      </c>
      <c r="U19" s="108">
        <v>-2.0159237317784573E-2</v>
      </c>
      <c r="V19" s="108">
        <v>24.863059264565436</v>
      </c>
      <c r="W19" s="108">
        <v>27.598394333307851</v>
      </c>
      <c r="X19" s="108">
        <v>25.101466934497012</v>
      </c>
      <c r="Y19" s="108">
        <v>22.647284656530701</v>
      </c>
      <c r="Z19" s="108">
        <v>26.996246846232907</v>
      </c>
      <c r="AA19" s="108">
        <v>23.676591365660215</v>
      </c>
      <c r="AB19" s="108">
        <v>25.642312044211167</v>
      </c>
      <c r="AC19" s="108">
        <v>14.48785391756951</v>
      </c>
      <c r="AD19" s="108">
        <v>11.16616004292996</v>
      </c>
      <c r="AE19" s="108">
        <v>39.167972382826747</v>
      </c>
      <c r="AF19" s="108">
        <v>34.537332366183819</v>
      </c>
      <c r="AG19" s="108">
        <v>22.946115708511115</v>
      </c>
      <c r="AH19" s="108">
        <v>25.428653563222497</v>
      </c>
      <c r="AI19" s="108">
        <v>31.340515251238457</v>
      </c>
      <c r="AJ19" s="108">
        <v>20.102375671223854</v>
      </c>
      <c r="AK19" s="108">
        <v>24.919343633134304</v>
      </c>
      <c r="AL19" s="108">
        <v>26.671043553183836</v>
      </c>
      <c r="AM19" s="108">
        <v>22.392057719791637</v>
      </c>
      <c r="AN19" s="108">
        <v>22.313370907583703</v>
      </c>
      <c r="AO19" s="109">
        <v>20.895881574576379</v>
      </c>
    </row>
    <row r="20" spans="2:41" x14ac:dyDescent="0.35">
      <c r="B20" s="2" t="s">
        <v>186</v>
      </c>
      <c r="C20" s="2" t="s">
        <v>158</v>
      </c>
      <c r="D20" s="2" t="s">
        <v>15</v>
      </c>
      <c r="E20" s="8">
        <v>-17.918122777108408</v>
      </c>
      <c r="F20" s="9">
        <v>5.9273090825256531</v>
      </c>
      <c r="G20" s="9">
        <v>7.5517746262098058</v>
      </c>
      <c r="H20" s="9">
        <v>-1.9525299697632477</v>
      </c>
      <c r="I20" s="9">
        <v>4.0541847205134331</v>
      </c>
      <c r="J20" s="9">
        <v>4.8169300733053433</v>
      </c>
      <c r="K20" s="9">
        <v>-4.6546692723810565</v>
      </c>
      <c r="L20" s="9">
        <v>1.6699515660274074</v>
      </c>
      <c r="M20" s="9">
        <v>3.8826493195472267</v>
      </c>
      <c r="N20" s="9">
        <v>-21.659173176013098</v>
      </c>
      <c r="O20" s="9">
        <v>-8.3332323860597626</v>
      </c>
      <c r="P20" s="9">
        <v>-11.406831024795451</v>
      </c>
      <c r="Q20" s="9">
        <v>-7.1323389326814777</v>
      </c>
      <c r="R20" s="9">
        <v>5.6314782873668605</v>
      </c>
      <c r="S20" s="9">
        <v>5.7359038345136923</v>
      </c>
      <c r="T20" s="9">
        <v>-11.065732521634516</v>
      </c>
      <c r="U20" s="9">
        <v>6.018945010300456</v>
      </c>
      <c r="V20" s="9">
        <v>4.8157204941525151</v>
      </c>
      <c r="W20" s="9">
        <v>-8.6049473695863981</v>
      </c>
      <c r="X20" s="9">
        <v>7.9882406745356889</v>
      </c>
      <c r="Y20" s="9">
        <v>8.7172850985497803</v>
      </c>
      <c r="Z20" s="9">
        <v>-7.1229702947828173</v>
      </c>
      <c r="AA20" s="9">
        <v>7.5138907113372966</v>
      </c>
      <c r="AB20" s="9">
        <v>-7.3649733451420047</v>
      </c>
      <c r="AC20" s="9">
        <v>9.9920788432893346</v>
      </c>
      <c r="AD20" s="9">
        <v>9.8961396444075262</v>
      </c>
      <c r="AE20" s="9">
        <v>11.363907972596451</v>
      </c>
      <c r="AF20" s="9">
        <v>-5.0091543011492377</v>
      </c>
      <c r="AG20" s="9">
        <v>9.3816397866186207</v>
      </c>
      <c r="AH20" s="9">
        <v>11.970849649884144</v>
      </c>
      <c r="AI20" s="9">
        <v>-2.1171185651376163</v>
      </c>
      <c r="AJ20" s="9">
        <v>9.2351919278503374</v>
      </c>
      <c r="AK20" s="9">
        <v>10.102080641822681</v>
      </c>
      <c r="AL20" s="9">
        <v>-3.2200344441006337</v>
      </c>
      <c r="AM20" s="9">
        <v>10.887666105365383</v>
      </c>
      <c r="AN20" s="9">
        <v>-4.4263126309293739</v>
      </c>
      <c r="AO20" s="10">
        <v>11.716820241652499</v>
      </c>
    </row>
    <row r="21" spans="2:41" x14ac:dyDescent="0.35">
      <c r="B21" s="2" t="s">
        <v>186</v>
      </c>
      <c r="C21" s="2" t="s">
        <v>159</v>
      </c>
      <c r="D21" s="2" t="s">
        <v>15</v>
      </c>
      <c r="E21" s="8">
        <v>2.2631752658137287</v>
      </c>
      <c r="F21" s="9">
        <v>-0.34951189572608143</v>
      </c>
      <c r="G21" s="9">
        <v>0.17715268680743179</v>
      </c>
      <c r="H21" s="9">
        <v>0.66999578784052005</v>
      </c>
      <c r="I21" s="9">
        <v>1.3832991328625468</v>
      </c>
      <c r="J21" s="9">
        <v>2.050795380373259</v>
      </c>
      <c r="K21" s="9">
        <v>2.4233164134328291</v>
      </c>
      <c r="L21" s="9">
        <v>2.7719147950630827</v>
      </c>
      <c r="M21" s="9">
        <v>2.5939072584426981</v>
      </c>
      <c r="N21" s="9">
        <v>2.9315505933505932</v>
      </c>
      <c r="O21" s="9">
        <v>3.2475110618117071</v>
      </c>
      <c r="P21" s="9">
        <v>3.2910713308163508</v>
      </c>
      <c r="Q21" s="9">
        <v>5.3487123864649249</v>
      </c>
      <c r="R21" s="9">
        <v>-1.29751682252828</v>
      </c>
      <c r="S21" s="9">
        <v>-0.62593642635938807</v>
      </c>
      <c r="T21" s="9">
        <v>2.5162473493622883E-3</v>
      </c>
      <c r="U21" s="9">
        <v>0.88473884947730141</v>
      </c>
      <c r="V21" s="9">
        <v>1.7103066538331859</v>
      </c>
      <c r="W21" s="9">
        <v>2.1887298690636499</v>
      </c>
      <c r="X21" s="9">
        <v>2.6364295793159158</v>
      </c>
      <c r="Y21" s="9">
        <v>2.467122667096632</v>
      </c>
      <c r="Z21" s="9">
        <v>2.8969444771049808</v>
      </c>
      <c r="AA21" s="9">
        <v>3.2991638796650875</v>
      </c>
      <c r="AB21" s="9">
        <v>3.3814253895558863</v>
      </c>
      <c r="AC21" s="9">
        <v>5.8114287183902746</v>
      </c>
      <c r="AD21" s="9">
        <v>-2.0410275817751256</v>
      </c>
      <c r="AE21" s="9">
        <v>-1.2376636309727473</v>
      </c>
      <c r="AF21" s="9">
        <v>-0.48589031280687323</v>
      </c>
      <c r="AG21" s="9">
        <v>0.55375179175865696</v>
      </c>
      <c r="AH21" s="9">
        <v>1.5266298924918829</v>
      </c>
      <c r="AI21" s="9">
        <v>2.100885098815354</v>
      </c>
      <c r="AJ21" s="9">
        <v>2.6382626367303317</v>
      </c>
      <c r="AK21" s="9">
        <v>2.4688380087589508</v>
      </c>
      <c r="AL21" s="9">
        <v>2.9825862521487068</v>
      </c>
      <c r="AM21" s="9">
        <v>3.4633424788243019</v>
      </c>
      <c r="AN21" s="9">
        <v>3.5770790200611486</v>
      </c>
      <c r="AO21" s="10">
        <v>6.3726824671224449</v>
      </c>
    </row>
    <row r="22" spans="2:41" x14ac:dyDescent="0.35">
      <c r="B22" s="1" t="s">
        <v>37</v>
      </c>
      <c r="C22" s="1" t="s">
        <v>157</v>
      </c>
      <c r="D22" s="1" t="s">
        <v>17</v>
      </c>
      <c r="E22" s="43">
        <f>E19</f>
        <v>12.241770357643304</v>
      </c>
      <c r="F22" s="44">
        <f>'Calculation - Stagewise ECL'!D24</f>
        <v>26.191163371904508</v>
      </c>
      <c r="G22" s="44">
        <f>'Calculation - Stagewise ECL'!E24</f>
        <v>32.177182762506163</v>
      </c>
      <c r="H22" s="44">
        <f>'Calculation - Stagewise ECL'!F24</f>
        <v>31.334479183725989</v>
      </c>
      <c r="I22" s="44">
        <f>'Calculation - Stagewise ECL'!G24</f>
        <v>29.810835551439368</v>
      </c>
      <c r="J22" s="44">
        <f>'Calculation - Stagewise ECL'!H24</f>
        <v>31.031066609567915</v>
      </c>
      <c r="K22" s="44">
        <f>'Calculation - Stagewise ECL'!I24</f>
        <v>32.32856076918938</v>
      </c>
      <c r="L22" s="44">
        <f>'Calculation - Stagewise ECL'!J24</f>
        <v>33.186033609601964</v>
      </c>
      <c r="M22" s="44">
        <f>'Calculation - Stagewise ECL'!K24</f>
        <v>37.225314320371126</v>
      </c>
      <c r="N22" s="44">
        <f>'Calculation - Stagewise ECL'!L24</f>
        <v>39.667636159572567</v>
      </c>
      <c r="O22" s="44">
        <f>'Calculation - Stagewise ECL'!M24</f>
        <v>38.851180075296043</v>
      </c>
      <c r="P22" s="44">
        <f>'Calculation - Stagewise ECL'!N24</f>
        <v>38.555764465859284</v>
      </c>
      <c r="Q22" s="44">
        <f>'Calculation - Stagewise ECL'!O24</f>
        <v>10.06486408641922</v>
      </c>
      <c r="R22" s="44">
        <f>'Calculation - Stagewise ECL'!P24</f>
        <v>39.001221697010806</v>
      </c>
      <c r="S22" s="44">
        <f>'Calculation - Stagewise ECL'!Q24</f>
        <v>39.239379441199162</v>
      </c>
      <c r="T22" s="44">
        <f>'Calculation - Stagewise ECL'!R24</f>
        <v>39.11417353822344</v>
      </c>
      <c r="U22" s="44">
        <f>'Calculation - Stagewise ECL'!S24</f>
        <v>35.528035633286891</v>
      </c>
      <c r="V22" s="44">
        <f>'Calculation - Stagewise ECL'!T24</f>
        <v>39.508898086253794</v>
      </c>
      <c r="W22" s="44">
        <f>'Calculation - Stagewise ECL'!U24</f>
        <v>29.197371923610945</v>
      </c>
      <c r="X22" s="44">
        <f>'Calculation - Stagewise ECL'!V24</f>
        <v>-22.473295441025357</v>
      </c>
      <c r="Y22" s="44">
        <f>'Calculation - Stagewise ECL'!W24</f>
        <v>-20.714917550814789</v>
      </c>
      <c r="Z22" s="44">
        <f>'Calculation - Stagewise ECL'!X24</f>
        <v>-12.620483216534012</v>
      </c>
      <c r="AA22" s="44">
        <f>'Calculation - Stagewise ECL'!Y24</f>
        <v>-7.9134011433541218</v>
      </c>
      <c r="AB22" s="44">
        <f>'Calculation - Stagewise ECL'!Z24</f>
        <v>-4.748591199755765</v>
      </c>
      <c r="AC22" s="44">
        <f>'Calculation - Stagewise ECL'!AA24</f>
        <v>-8.3361500083078681</v>
      </c>
      <c r="AD22" s="44">
        <f>'Calculation - Stagewise ECL'!AB24</f>
        <v>-24.212385900859772</v>
      </c>
      <c r="AE22" s="44">
        <f>'Calculation - Stagewise ECL'!AC24</f>
        <v>4.1167385239862142</v>
      </c>
      <c r="AF22" s="44">
        <f>'Calculation - Stagewise ECL'!AD24</f>
        <v>-11.466938157441064</v>
      </c>
      <c r="AG22" s="44">
        <f>'Calculation - Stagewise ECL'!AE24</f>
        <v>-7.629549341202619</v>
      </c>
      <c r="AH22" s="44">
        <f>'Calculation - Stagewise ECL'!AF24</f>
        <v>0.66078573413278718</v>
      </c>
      <c r="AI22" s="44">
        <f>'Calculation - Stagewise ECL'!AG24</f>
        <v>9.7612587169783183</v>
      </c>
      <c r="AJ22" s="44">
        <f>'Calculation - Stagewise ECL'!AH24</f>
        <v>13.243280341133413</v>
      </c>
      <c r="AK22" s="44">
        <f>'Calculation - Stagewise ECL'!AI24</f>
        <v>20.205597403642514</v>
      </c>
      <c r="AL22" s="44">
        <f>'Calculation - Stagewise ECL'!AJ24</f>
        <v>23.758561469652705</v>
      </c>
      <c r="AM22" s="44">
        <f>'Calculation - Stagewise ECL'!AK24</f>
        <v>21.33889282649011</v>
      </c>
      <c r="AN22" s="44">
        <f>'Calculation - Stagewise ECL'!AL24</f>
        <v>16.21403565897549</v>
      </c>
      <c r="AO22" s="45">
        <f>'Calculation - Stagewise ECL'!AM24</f>
        <v>16.937630975563025</v>
      </c>
    </row>
    <row r="23" spans="2:41" x14ac:dyDescent="0.35">
      <c r="B23" s="2" t="s">
        <v>37</v>
      </c>
      <c r="C23" s="2" t="s">
        <v>158</v>
      </c>
      <c r="D23" s="2" t="s">
        <v>17</v>
      </c>
      <c r="E23" s="46">
        <f t="shared" ref="E23" si="4">E20</f>
        <v>-17.918122777108408</v>
      </c>
      <c r="F23" s="47">
        <f>'Calculation - Stagewise ECL'!D48</f>
        <v>31.278297903966347</v>
      </c>
      <c r="G23" s="47">
        <f>'Calculation - Stagewise ECL'!E48</f>
        <v>23.893865979505108</v>
      </c>
      <c r="H23" s="47">
        <f>'Calculation - Stagewise ECL'!F48</f>
        <v>29.560409097543015</v>
      </c>
      <c r="I23" s="47">
        <f>'Calculation - Stagewise ECL'!G48</f>
        <v>28.87283482966609</v>
      </c>
      <c r="J23" s="47">
        <f>'Calculation - Stagewise ECL'!H48</f>
        <v>26.075922494774545</v>
      </c>
      <c r="K23" s="47">
        <f>'Calculation - Stagewise ECL'!I48</f>
        <v>-23.981502369305986</v>
      </c>
      <c r="L23" s="47">
        <f>'Calculation - Stagewise ECL'!J48</f>
        <v>27.233429070578268</v>
      </c>
      <c r="M23" s="47">
        <f>'Calculation - Stagewise ECL'!K48</f>
        <v>30.427120231826393</v>
      </c>
      <c r="N23" s="47">
        <f>'Calculation - Stagewise ECL'!L48</f>
        <v>-53.026900666836355</v>
      </c>
      <c r="O23" s="47">
        <f>'Calculation - Stagewise ECL'!M48</f>
        <v>29.338647800196668</v>
      </c>
      <c r="P23" s="47">
        <f>'Calculation - Stagewise ECL'!N48</f>
        <v>-57.935264610828881</v>
      </c>
      <c r="Q23" s="47">
        <f>'Calculation - Stagewise ECL'!O48</f>
        <v>20.149530349951306</v>
      </c>
      <c r="R23" s="47">
        <f>'Calculation - Stagewise ECL'!P48</f>
        <v>30.167489046417927</v>
      </c>
      <c r="S23" s="47">
        <f>'Calculation - Stagewise ECL'!Q48</f>
        <v>31.674063966626591</v>
      </c>
      <c r="T23" s="47">
        <f>'Calculation - Stagewise ECL'!R48</f>
        <v>35.630939883965425</v>
      </c>
      <c r="U23" s="47">
        <f>'Calculation - Stagewise ECL'!S48</f>
        <v>32.653184775145633</v>
      </c>
      <c r="V23" s="47">
        <f>'Calculation - Stagewise ECL'!T48</f>
        <v>34.339841790967625</v>
      </c>
      <c r="W23" s="47">
        <f>'Calculation - Stagewise ECL'!U48</f>
        <v>39.813010125406663</v>
      </c>
      <c r="X23" s="47">
        <f>'Calculation - Stagewise ECL'!V48</f>
        <v>-10.484450138388524</v>
      </c>
      <c r="Y23" s="47">
        <f>'Calculation - Stagewise ECL'!W48</f>
        <v>-4.411827502781307</v>
      </c>
      <c r="Z23" s="47">
        <f>'Calculation - Stagewise ECL'!X48</f>
        <v>-103.23566752372494</v>
      </c>
      <c r="AA23" s="47">
        <f>'Calculation - Stagewise ECL'!Y48</f>
        <v>7.1204441300524195</v>
      </c>
      <c r="AB23" s="47">
        <f>'Calculation - Stagewise ECL'!Z48</f>
        <v>-88.898525386860001</v>
      </c>
      <c r="AC23" s="47">
        <f>'Calculation - Stagewise ECL'!AA48</f>
        <v>16.319474885355135</v>
      </c>
      <c r="AD23" s="47">
        <f>'Calculation - Stagewise ECL'!AB48</f>
        <v>-2.8117169165618634</v>
      </c>
      <c r="AE23" s="47">
        <f>'Calculation - Stagewise ECL'!AC48</f>
        <v>1.320830507187452</v>
      </c>
      <c r="AF23" s="47">
        <f>'Calculation - Stagewise ECL'!AD48</f>
        <v>6.6727967106069173</v>
      </c>
      <c r="AG23" s="47">
        <f>'Calculation - Stagewise ECL'!AE48</f>
        <v>5.7212998142997549</v>
      </c>
      <c r="AH23" s="47">
        <f>'Calculation - Stagewise ECL'!AF48</f>
        <v>12.173195473697888</v>
      </c>
      <c r="AI23" s="47">
        <f>'Calculation - Stagewise ECL'!AG48</f>
        <v>-4.6268846045077225</v>
      </c>
      <c r="AJ23" s="47">
        <f>'Calculation - Stagewise ECL'!AH48</f>
        <v>19.144852083956607</v>
      </c>
      <c r="AK23" s="47">
        <f>'Calculation - Stagewise ECL'!AI48</f>
        <v>21.844913144617635</v>
      </c>
      <c r="AL23" s="47">
        <f>'Calculation - Stagewise ECL'!AJ48</f>
        <v>-47.770047557601515</v>
      </c>
      <c r="AM23" s="47">
        <f>'Calculation - Stagewise ECL'!AK48</f>
        <v>23.638839347536987</v>
      </c>
      <c r="AN23" s="47">
        <f>'Calculation - Stagewise ECL'!AL48</f>
        <v>-45.876216260338765</v>
      </c>
      <c r="AO23" s="48">
        <f>'Calculation - Stagewise ECL'!AM48</f>
        <v>21.035296913992511</v>
      </c>
    </row>
    <row r="24" spans="2:41" x14ac:dyDescent="0.35">
      <c r="B24" s="3" t="s">
        <v>37</v>
      </c>
      <c r="C24" s="3" t="s">
        <v>159</v>
      </c>
      <c r="D24" s="3" t="s">
        <v>17</v>
      </c>
      <c r="E24" s="49">
        <f t="shared" ref="E24" si="5">E21</f>
        <v>2.2631752658137287</v>
      </c>
      <c r="F24" s="50">
        <f>'Calculation - Stagewise ECL'!D72</f>
        <v>-0.49147059262485016</v>
      </c>
      <c r="G24" s="50">
        <f>'Calculation - Stagewise ECL'!E72</f>
        <v>-2.779507055918657</v>
      </c>
      <c r="H24" s="50">
        <f>'Calculation - Stagewise ECL'!F72</f>
        <v>-2.5677392609949123</v>
      </c>
      <c r="I24" s="50">
        <f>'Calculation - Stagewise ECL'!G72</f>
        <v>-2.3076601532770411</v>
      </c>
      <c r="J24" s="50">
        <f>'Calculation - Stagewise ECL'!H72</f>
        <v>-2.1055048598130384</v>
      </c>
      <c r="K24" s="50">
        <f>'Calculation - Stagewise ECL'!I72</f>
        <v>-1.9728373297781587</v>
      </c>
      <c r="L24" s="50">
        <f>'Calculation - Stagewise ECL'!J72</f>
        <v>-1.9975910524467224</v>
      </c>
      <c r="M24" s="50">
        <f>'Calculation - Stagewise ECL'!K72</f>
        <v>-2.1375899415799893</v>
      </c>
      <c r="N24" s="50">
        <f>'Calculation - Stagewise ECL'!L72</f>
        <v>-1.9287089791008327</v>
      </c>
      <c r="O24" s="50">
        <f>'Calculation - Stagewise ECL'!M72</f>
        <v>-1.959104805739976</v>
      </c>
      <c r="P24" s="50">
        <f>'Calculation - Stagewise ECL'!N72</f>
        <v>-1.9144141432318236</v>
      </c>
      <c r="Q24" s="50">
        <f>'Calculation - Stagewise ECL'!O72</f>
        <v>-1.5128123182831175</v>
      </c>
      <c r="R24" s="50">
        <f>'Calculation - Stagewise ECL'!P72</f>
        <v>-2.6415834022724951</v>
      </c>
      <c r="S24" s="50">
        <f>'Calculation - Stagewise ECL'!Q72</f>
        <v>-2.4679055384227553</v>
      </c>
      <c r="T24" s="50">
        <f>'Calculation - Stagewise ECL'!R72</f>
        <v>-2.3222255420748752</v>
      </c>
      <c r="U24" s="50">
        <f>'Calculation - Stagewise ECL'!S72</f>
        <v>-2.1660258737030063</v>
      </c>
      <c r="V24" s="50">
        <f>'Calculation - Stagewise ECL'!T72</f>
        <v>-2.0009200264491582</v>
      </c>
      <c r="W24" s="50">
        <f>'Calculation - Stagewise ECL'!U72</f>
        <v>-1.8926079471872512</v>
      </c>
      <c r="X24" s="50">
        <f>'Calculation - Stagewise ECL'!V72</f>
        <v>-1.3080330567608556</v>
      </c>
      <c r="Y24" s="50">
        <f>'Calculation - Stagewise ECL'!W72</f>
        <v>-0.82486293360008034</v>
      </c>
      <c r="Z24" s="50">
        <f>'Calculation - Stagewise ECL'!X72</f>
        <v>-0.23656280090342818</v>
      </c>
      <c r="AA24" s="50">
        <f>'Calculation - Stagewise ECL'!Y72</f>
        <v>0.36233343955034769</v>
      </c>
      <c r="AB24" s="50">
        <f>'Calculation - Stagewise ECL'!Z72</f>
        <v>0.87677863805919998</v>
      </c>
      <c r="AC24" s="50">
        <f>'Calculation - Stagewise ECL'!AA72</f>
        <v>2.2296542554953263</v>
      </c>
      <c r="AD24" s="50">
        <f>'Calculation - Stagewise ECL'!AB72</f>
        <v>-0.11901861839169925</v>
      </c>
      <c r="AE24" s="50">
        <f>'Calculation - Stagewise ECL'!AC72</f>
        <v>0.41061444779629142</v>
      </c>
      <c r="AF24" s="50">
        <f>'Calculation - Stagewise ECL'!AD72</f>
        <v>1.1282631293675038</v>
      </c>
      <c r="AG24" s="50">
        <f>'Calculation - Stagewise ECL'!AE72</f>
        <v>2.0741257014346033</v>
      </c>
      <c r="AH24" s="50">
        <f>'Calculation - Stagewise ECL'!AF72</f>
        <v>3.0727485418652591</v>
      </c>
      <c r="AI24" s="50">
        <f>'Calculation - Stagewise ECL'!AG72</f>
        <v>4.0415402203204991</v>
      </c>
      <c r="AJ24" s="50">
        <f>'Calculation - Stagewise ECL'!AH72</f>
        <v>7.5621459532614494</v>
      </c>
      <c r="AK24" s="50">
        <f>'Calculation - Stagewise ECL'!AI72</f>
        <v>7.0673292773714707</v>
      </c>
      <c r="AL24" s="50">
        <f>'Calculation - Stagewise ECL'!AJ72</f>
        <v>7.289907941166561</v>
      </c>
      <c r="AM24" s="50">
        <f>'Calculation - Stagewise ECL'!AK72</f>
        <v>7.4959553073442748</v>
      </c>
      <c r="AN24" s="50">
        <f>'Calculation - Stagewise ECL'!AL72</f>
        <v>7.3462476639544576</v>
      </c>
      <c r="AO24" s="51">
        <f>'Calculation - Stagewise ECL'!AM72</f>
        <v>9.927780425888912</v>
      </c>
    </row>
    <row r="25" spans="2:41" x14ac:dyDescent="0.35">
      <c r="B25" s="1" t="s">
        <v>174</v>
      </c>
      <c r="C25" s="1" t="s">
        <v>157</v>
      </c>
      <c r="D25" s="1" t="s">
        <v>17</v>
      </c>
      <c r="E25" s="43">
        <f>E16+E28</f>
        <v>27.583751918216553</v>
      </c>
      <c r="F25" s="44">
        <f>'Plan - CoC'!D4</f>
        <v>41.364333390057979</v>
      </c>
      <c r="G25" s="44">
        <f>'Plan - CoC'!E4</f>
        <v>16.612729509651523</v>
      </c>
      <c r="H25" s="44">
        <f>'Plan - CoC'!F4</f>
        <v>22.733167972583935</v>
      </c>
      <c r="I25" s="44">
        <f>'Plan - CoC'!G4</f>
        <v>17.815778169340653</v>
      </c>
      <c r="J25" s="44">
        <f>'Plan - CoC'!H4</f>
        <v>21.977914717867009</v>
      </c>
      <c r="K25" s="44">
        <f>'Plan - CoC'!I4</f>
        <v>15.819071103875526</v>
      </c>
      <c r="L25" s="44">
        <f>'Plan - CoC'!J4</f>
        <v>29.97582872372082</v>
      </c>
      <c r="M25" s="44">
        <f>'Plan - CoC'!K4</f>
        <v>19.206647080296822</v>
      </c>
      <c r="N25" s="44">
        <f>'Plan - CoC'!L4</f>
        <v>18.353950714252619</v>
      </c>
      <c r="O25" s="44">
        <f>'Plan - CoC'!M4</f>
        <v>20.849443828113877</v>
      </c>
      <c r="P25" s="44">
        <f>'Plan - CoC'!N4</f>
        <v>20.229415405083707</v>
      </c>
      <c r="Q25" s="44">
        <f>'Plan - CoC'!O4</f>
        <v>22.305642396437925</v>
      </c>
      <c r="R25" s="44">
        <f t="shared" ref="R25:AN25" si="6">R16+R28</f>
        <v>28.15234125450138</v>
      </c>
      <c r="S25" s="44">
        <f t="shared" si="6"/>
        <v>37.87215623772066</v>
      </c>
      <c r="T25" s="44">
        <f t="shared" si="6"/>
        <v>42.202711544044085</v>
      </c>
      <c r="U25" s="44">
        <f t="shared" si="6"/>
        <v>104.01461134126491</v>
      </c>
      <c r="V25" s="44">
        <f t="shared" si="6"/>
        <v>31.391917579429521</v>
      </c>
      <c r="W25" s="44">
        <f t="shared" si="6"/>
        <v>29.935714695232836</v>
      </c>
      <c r="X25" s="44">
        <f t="shared" si="6"/>
        <v>24.536892411322256</v>
      </c>
      <c r="Y25" s="44">
        <f t="shared" si="6"/>
        <v>41.119184616347425</v>
      </c>
      <c r="Z25" s="44">
        <f t="shared" si="6"/>
        <v>34.484288988463405</v>
      </c>
      <c r="AA25" s="44">
        <f t="shared" si="6"/>
        <v>37.694446741993687</v>
      </c>
      <c r="AB25" s="44">
        <f t="shared" si="6"/>
        <v>32.021939111590754</v>
      </c>
      <c r="AC25" s="44">
        <f t="shared" si="6"/>
        <v>36.629027208723379</v>
      </c>
      <c r="AD25" s="44">
        <f t="shared" si="6"/>
        <v>105.73616413720455</v>
      </c>
      <c r="AE25" s="44">
        <f t="shared" si="6"/>
        <v>44.745054411108406</v>
      </c>
      <c r="AF25" s="44">
        <f t="shared" si="6"/>
        <v>50.40417831301788</v>
      </c>
      <c r="AG25" s="44">
        <f t="shared" si="6"/>
        <v>70.152969793325781</v>
      </c>
      <c r="AH25" s="44">
        <f t="shared" si="6"/>
        <v>67.423250179782229</v>
      </c>
      <c r="AI25" s="44">
        <f t="shared" si="6"/>
        <v>56.041306740448071</v>
      </c>
      <c r="AJ25" s="44">
        <f>AJ16+AJ28</f>
        <v>43.258965642747384</v>
      </c>
      <c r="AK25" s="44">
        <f t="shared" si="6"/>
        <v>37.640120917786959</v>
      </c>
      <c r="AL25" s="44">
        <f t="shared" si="6"/>
        <v>39.448116014575795</v>
      </c>
      <c r="AM25" s="44">
        <f t="shared" si="6"/>
        <v>42.388493000833407</v>
      </c>
      <c r="AN25" s="44">
        <f t="shared" si="6"/>
        <v>43.740300886410978</v>
      </c>
      <c r="AO25" s="45">
        <f t="shared" ref="AO25" si="7">AO16+AO28</f>
        <v>47.199752897967137</v>
      </c>
    </row>
    <row r="26" spans="2:41" x14ac:dyDescent="0.35">
      <c r="B26" s="2" t="s">
        <v>174</v>
      </c>
      <c r="C26" s="2" t="s">
        <v>158</v>
      </c>
      <c r="D26" s="2" t="s">
        <v>17</v>
      </c>
      <c r="E26" s="46">
        <f t="shared" ref="E26:AN26" si="8">E17+E29</f>
        <v>38.733858688646514</v>
      </c>
      <c r="F26" s="47">
        <f>'Plan - CoC'!D5</f>
        <v>16.915695747269815</v>
      </c>
      <c r="G26" s="47">
        <f>'Plan - CoC'!E5</f>
        <v>17.121353739916561</v>
      </c>
      <c r="H26" s="47">
        <f>'Plan - CoC'!F5</f>
        <v>16.727618065668516</v>
      </c>
      <c r="I26" s="47">
        <f>'Plan - CoC'!G5</f>
        <v>19.328289063791519</v>
      </c>
      <c r="J26" s="47">
        <f>'Plan - CoC'!H5</f>
        <v>16.544123706937551</v>
      </c>
      <c r="K26" s="47">
        <f>'Plan - CoC'!I5</f>
        <v>16.145401358750739</v>
      </c>
      <c r="L26" s="47">
        <f>'Plan - CoC'!J5</f>
        <v>20.838840301401955</v>
      </c>
      <c r="M26" s="47">
        <f>'Plan - CoC'!K5</f>
        <v>14.90130028931334</v>
      </c>
      <c r="N26" s="47">
        <f>'Plan - CoC'!L5</f>
        <v>47.33851448149737</v>
      </c>
      <c r="O26" s="47">
        <f>'Plan - CoC'!M5</f>
        <v>57.430277466691571</v>
      </c>
      <c r="P26" s="47">
        <f>'Plan - CoC'!N5</f>
        <v>18.462924129516963</v>
      </c>
      <c r="Q26" s="47">
        <f>'Plan - CoC'!O5</f>
        <v>19.351467373305667</v>
      </c>
      <c r="R26" s="47">
        <f t="shared" si="8"/>
        <v>24.396025361940175</v>
      </c>
      <c r="S26" s="47">
        <f t="shared" si="8"/>
        <v>27.259117611393762</v>
      </c>
      <c r="T26" s="47">
        <f t="shared" si="8"/>
        <v>48.031188567896876</v>
      </c>
      <c r="U26" s="47">
        <f t="shared" si="8"/>
        <v>23.397494320291408</v>
      </c>
      <c r="V26" s="47">
        <f t="shared" si="8"/>
        <v>30.664309397715762</v>
      </c>
      <c r="W26" s="47">
        <f t="shared" si="8"/>
        <v>38.323276723153107</v>
      </c>
      <c r="X26" s="47">
        <f t="shared" si="8"/>
        <v>12.037347511804873</v>
      </c>
      <c r="Y26" s="47">
        <f t="shared" si="8"/>
        <v>13.587119957657016</v>
      </c>
      <c r="Z26" s="47">
        <f t="shared" si="8"/>
        <v>19.032452762737783</v>
      </c>
      <c r="AA26" s="47">
        <f t="shared" si="8"/>
        <v>17.693582294211335</v>
      </c>
      <c r="AB26" s="47">
        <f t="shared" si="8"/>
        <v>16.802184161581586</v>
      </c>
      <c r="AC26" s="47">
        <f t="shared" si="8"/>
        <v>13.504712074966601</v>
      </c>
      <c r="AD26" s="47">
        <f t="shared" si="8"/>
        <v>24.348143066225433</v>
      </c>
      <c r="AE26" s="47">
        <f t="shared" si="8"/>
        <v>25.028911526630282</v>
      </c>
      <c r="AF26" s="47">
        <f t="shared" si="8"/>
        <v>36.382091317132719</v>
      </c>
      <c r="AG26" s="47">
        <f t="shared" si="8"/>
        <v>29.84718600441434</v>
      </c>
      <c r="AH26" s="47">
        <f t="shared" si="8"/>
        <v>23.765428326652987</v>
      </c>
      <c r="AI26" s="47">
        <f t="shared" si="8"/>
        <v>24.87204620795967</v>
      </c>
      <c r="AJ26" s="47">
        <f t="shared" si="8"/>
        <v>18.615681528882106</v>
      </c>
      <c r="AK26" s="47">
        <f t="shared" si="8"/>
        <v>20.261898194226664</v>
      </c>
      <c r="AL26" s="47">
        <f t="shared" si="8"/>
        <v>18.632226773641843</v>
      </c>
      <c r="AM26" s="47">
        <f t="shared" si="8"/>
        <v>19.092703630884394</v>
      </c>
      <c r="AN26" s="47">
        <f t="shared" si="8"/>
        <v>19.948353425566491</v>
      </c>
      <c r="AO26" s="48">
        <f t="shared" ref="AO26" si="9">AO17+AO29</f>
        <v>20.41604079396938</v>
      </c>
    </row>
    <row r="27" spans="2:41" x14ac:dyDescent="0.35">
      <c r="B27" s="3" t="s">
        <v>174</v>
      </c>
      <c r="C27" s="3" t="s">
        <v>159</v>
      </c>
      <c r="D27" s="3" t="s">
        <v>17</v>
      </c>
      <c r="E27" s="49">
        <f t="shared" ref="E27:AN27" si="10">E18+E30</f>
        <v>0</v>
      </c>
      <c r="F27" s="50">
        <f>'Plan - CoC'!D6</f>
        <v>0</v>
      </c>
      <c r="G27" s="50">
        <f>'Plan - CoC'!E6</f>
        <v>0</v>
      </c>
      <c r="H27" s="50">
        <f>'Plan - CoC'!F6</f>
        <v>0</v>
      </c>
      <c r="I27" s="50">
        <f>'Plan - CoC'!G6</f>
        <v>0</v>
      </c>
      <c r="J27" s="50">
        <f>'Plan - CoC'!H6</f>
        <v>0</v>
      </c>
      <c r="K27" s="50">
        <f>'Plan - CoC'!I6</f>
        <v>0</v>
      </c>
      <c r="L27" s="50">
        <f>'Plan - CoC'!J6</f>
        <v>0</v>
      </c>
      <c r="M27" s="50">
        <f>'Plan - CoC'!K6</f>
        <v>0</v>
      </c>
      <c r="N27" s="50">
        <f>'Plan - CoC'!L6</f>
        <v>0</v>
      </c>
      <c r="O27" s="50">
        <f>'Plan - CoC'!M6</f>
        <v>0</v>
      </c>
      <c r="P27" s="50">
        <f>'Plan - CoC'!N6</f>
        <v>0</v>
      </c>
      <c r="Q27" s="50">
        <f>'Plan - CoC'!O6</f>
        <v>0</v>
      </c>
      <c r="R27" s="50">
        <f t="shared" si="10"/>
        <v>0</v>
      </c>
      <c r="S27" s="50">
        <f t="shared" si="10"/>
        <v>0</v>
      </c>
      <c r="T27" s="50">
        <f t="shared" si="10"/>
        <v>0</v>
      </c>
      <c r="U27" s="50">
        <f t="shared" si="10"/>
        <v>0</v>
      </c>
      <c r="V27" s="50">
        <f t="shared" si="10"/>
        <v>0</v>
      </c>
      <c r="W27" s="50">
        <f t="shared" si="10"/>
        <v>0</v>
      </c>
      <c r="X27" s="50">
        <f t="shared" si="10"/>
        <v>0</v>
      </c>
      <c r="Y27" s="50">
        <f t="shared" si="10"/>
        <v>0</v>
      </c>
      <c r="Z27" s="50">
        <f t="shared" si="10"/>
        <v>0</v>
      </c>
      <c r="AA27" s="50">
        <f t="shared" si="10"/>
        <v>0</v>
      </c>
      <c r="AB27" s="50">
        <f t="shared" si="10"/>
        <v>0</v>
      </c>
      <c r="AC27" s="50">
        <f t="shared" si="10"/>
        <v>0</v>
      </c>
      <c r="AD27" s="50">
        <f t="shared" si="10"/>
        <v>0</v>
      </c>
      <c r="AE27" s="50">
        <f t="shared" si="10"/>
        <v>0</v>
      </c>
      <c r="AF27" s="50">
        <f t="shared" si="10"/>
        <v>0</v>
      </c>
      <c r="AG27" s="50">
        <f t="shared" si="10"/>
        <v>0</v>
      </c>
      <c r="AH27" s="50">
        <f t="shared" si="10"/>
        <v>0</v>
      </c>
      <c r="AI27" s="50">
        <f t="shared" si="10"/>
        <v>0</v>
      </c>
      <c r="AJ27" s="50">
        <f t="shared" si="10"/>
        <v>0</v>
      </c>
      <c r="AK27" s="50">
        <f t="shared" si="10"/>
        <v>0</v>
      </c>
      <c r="AL27" s="50">
        <f t="shared" si="10"/>
        <v>0</v>
      </c>
      <c r="AM27" s="50">
        <f t="shared" si="10"/>
        <v>0</v>
      </c>
      <c r="AN27" s="50">
        <f t="shared" si="10"/>
        <v>0</v>
      </c>
      <c r="AO27" s="51">
        <f t="shared" ref="AO27" si="11">AO18+AO30</f>
        <v>0</v>
      </c>
    </row>
    <row r="28" spans="2:41" x14ac:dyDescent="0.35">
      <c r="B28" s="1" t="s">
        <v>175</v>
      </c>
      <c r="C28" s="1" t="s">
        <v>157</v>
      </c>
      <c r="D28" s="1" t="s">
        <v>17</v>
      </c>
      <c r="E28" s="43">
        <f>'Plan - CoC'!C10</f>
        <v>0</v>
      </c>
      <c r="F28" s="44">
        <f>IF(F$2="SL1",((1-'Calculations - Parameters'!$Q3)/(1-'Calculations - Parameters'!$O$3))*'Plan - CoC'!D10,IF('Calculation - NCL and ECL'!F$2="SL2",((1-'Calculations - Parameters'!$R3)/(1-'Calculations - Parameters'!$O$3))*'Plan - CoC'!D10,IF('Calculation - NCL and ECL'!F$2="SL31",((1-'Calculations - Parameters'!$AY3)/(1-'Calculations - Parameters'!$O$3))*'Plan - CoC'!D10,IF('Calculation - NCL and ECL'!F$2="SL32",((1-'Calculations - Parameters'!$AZ3)/(1-'Calculations - Parameters'!$O$3))*'Plan - CoC'!D10))))</f>
        <v>4.5369998570019856</v>
      </c>
      <c r="G28" s="44">
        <f>IF(G$2="SL1",((1-'Calculations - Parameters'!$Q3)/(1-'Calculations - Parameters'!$O$3))*'Plan - CoC'!E10,IF('Calculation - NCL and ECL'!G$2="SL2",((1-'Calculations - Parameters'!$R3)/(1-'Calculations - Parameters'!$O$3))*'Plan - CoC'!E10,IF('Calculation - NCL and ECL'!G$2="SL31",((1-'Calculations - Parameters'!$AY3)/(1-'Calculations - Parameters'!$O$3))*'Plan - CoC'!E10,IF('Calculation - NCL and ECL'!G$2="SL32",((1-'Calculations - Parameters'!$AZ3)/(1-'Calculations - Parameters'!$O$3))*'Plan - CoC'!E10))))</f>
        <v>5.2758892206191899</v>
      </c>
      <c r="H28" s="44">
        <f>IF(H$2="SL1",((1-'Calculations - Parameters'!$Q3)/(1-'Calculations - Parameters'!$O$3))*'Plan - CoC'!F10,IF('Calculation - NCL and ECL'!H$2="SL2",((1-'Calculations - Parameters'!$R3)/(1-'Calculations - Parameters'!$O$3))*'Plan - CoC'!F10,IF('Calculation - NCL and ECL'!H$2="SL31",((1-'Calculations - Parameters'!$AY3)/(1-'Calculations - Parameters'!$O$3))*'Plan - CoC'!F10,IF('Calculation - NCL and ECL'!H$2="SL32",((1-'Calculations - Parameters'!$AZ3)/(1-'Calculations - Parameters'!$O$3))*'Plan - CoC'!F10))))</f>
        <v>5.7267372524820619</v>
      </c>
      <c r="I28" s="44">
        <f>IF(I$2="SL1",((1-'Calculations - Parameters'!$Q3)/(1-'Calculations - Parameters'!$O$3))*'Plan - CoC'!G10,IF('Calculation - NCL and ECL'!I$2="SL2",((1-'Calculations - Parameters'!$R3)/(1-'Calculations - Parameters'!$O$3))*'Plan - CoC'!G10,IF('Calculation - NCL and ECL'!I$2="SL31",((1-'Calculations - Parameters'!$AY3)/(1-'Calculations - Parameters'!$O$3))*'Plan - CoC'!G10,IF('Calculation - NCL and ECL'!I$2="SL32",((1-'Calculations - Parameters'!$AZ3)/(1-'Calculations - Parameters'!$O$3))*'Plan - CoC'!G10))))</f>
        <v>4.8491775944112643</v>
      </c>
      <c r="J28" s="44">
        <f>IF(J$2="SL1",((1-'Calculations - Parameters'!$Q3)/(1-'Calculations - Parameters'!$O$3))*'Plan - CoC'!H10,IF('Calculation - NCL and ECL'!J$2="SL2",((1-'Calculations - Parameters'!$R3)/(1-'Calculations - Parameters'!$O$3))*'Plan - CoC'!H10,IF('Calculation - NCL and ECL'!J$2="SL31",((1-'Calculations - Parameters'!$AY3)/(1-'Calculations - Parameters'!$O$3))*'Plan - CoC'!H10,IF('Calculation - NCL and ECL'!J$2="SL32",((1-'Calculations - Parameters'!$AZ3)/(1-'Calculations - Parameters'!$O$3))*'Plan - CoC'!H10))))</f>
        <v>3.836753005110372</v>
      </c>
      <c r="K28" s="44">
        <f>IF(K$2="SL1",((1-'Calculations - Parameters'!$Q3)/(1-'Calculations - Parameters'!$O$3))*'Plan - CoC'!I10,IF('Calculation - NCL and ECL'!K$2="SL2",((1-'Calculations - Parameters'!$R3)/(1-'Calculations - Parameters'!$O$3))*'Plan - CoC'!I10,IF('Calculation - NCL and ECL'!K$2="SL31",((1-'Calculations - Parameters'!$AY3)/(1-'Calculations - Parameters'!$O$3))*'Plan - CoC'!I10,IF('Calculation - NCL and ECL'!K$2="SL32",((1-'Calculations - Parameters'!$AZ3)/(1-'Calculations - Parameters'!$O$3))*'Plan - CoC'!I10))))</f>
        <v>3.809965534802576</v>
      </c>
      <c r="L28" s="44">
        <f>IF(L$2="SL1",((1-'Calculations - Parameters'!$Q3)/(1-'Calculations - Parameters'!$O$3))*'Plan - CoC'!J10,IF('Calculation - NCL and ECL'!L$2="SL2",((1-'Calculations - Parameters'!$R3)/(1-'Calculations - Parameters'!$O$3))*'Plan - CoC'!J10,IF('Calculation - NCL and ECL'!L$2="SL31",((1-'Calculations - Parameters'!$AY3)/(1-'Calculations - Parameters'!$O$3))*'Plan - CoC'!J10,IF('Calculation - NCL and ECL'!L$2="SL32",((1-'Calculations - Parameters'!$AZ3)/(1-'Calculations - Parameters'!$O$3))*'Plan - CoC'!J10))))</f>
        <v>4.8547740103196411</v>
      </c>
      <c r="M28" s="44">
        <f>IF(M$2="SL1",((1-'Calculations - Parameters'!$Q3)/(1-'Calculations - Parameters'!$O$3))*'Plan - CoC'!K10,IF('Calculation - NCL and ECL'!M$2="SL2",((1-'Calculations - Parameters'!$R3)/(1-'Calculations - Parameters'!$O$3))*'Plan - CoC'!K10,IF('Calculation - NCL and ECL'!M$2="SL31",((1-'Calculations - Parameters'!$AY3)/(1-'Calculations - Parameters'!$O$3))*'Plan - CoC'!K10,IF('Calculation - NCL and ECL'!M$2="SL32",((1-'Calculations - Parameters'!$AZ3)/(1-'Calculations - Parameters'!$O$3))*'Plan - CoC'!K10))))</f>
        <v>4.8916480007357288</v>
      </c>
      <c r="N28" s="44">
        <f>IF(N$2="SL1",((1-'Calculations - Parameters'!$Q3)/(1-'Calculations - Parameters'!$O$3))*'Plan - CoC'!L10,IF('Calculation - NCL and ECL'!N$2="SL2",((1-'Calculations - Parameters'!$R3)/(1-'Calculations - Parameters'!$O$3))*'Plan - CoC'!L10,IF('Calculation - NCL and ECL'!N$2="SL31",((1-'Calculations - Parameters'!$AY3)/(1-'Calculations - Parameters'!$O$3))*'Plan - CoC'!L10,IF('Calculation - NCL and ECL'!N$2="SL32",((1-'Calculations - Parameters'!$AZ3)/(1-'Calculations - Parameters'!$O$3))*'Plan - CoC'!L10))))</f>
        <v>4.9118243210905845</v>
      </c>
      <c r="O28" s="44">
        <f>IF(O$2="SL1",((1-'Calculations - Parameters'!$Q3)/(1-'Calculations - Parameters'!$O$3))*'Plan - CoC'!M10,IF('Calculation - NCL and ECL'!O$2="SL2",((1-'Calculations - Parameters'!$R3)/(1-'Calculations - Parameters'!$O$3))*'Plan - CoC'!M10,IF('Calculation - NCL and ECL'!O$2="SL31",((1-'Calculations - Parameters'!$AY3)/(1-'Calculations - Parameters'!$O$3))*'Plan - CoC'!M10,IF('Calculation - NCL and ECL'!O$2="SL32",((1-'Calculations - Parameters'!$AZ3)/(1-'Calculations - Parameters'!$O$3))*'Plan - CoC'!M10))))</f>
        <v>4.9212543212490658</v>
      </c>
      <c r="P28" s="44">
        <f>IF(P$2="SL1",((1-'Calculations - Parameters'!$Q3)/(1-'Calculations - Parameters'!$O$3))*'Plan - CoC'!N10,IF('Calculation - NCL and ECL'!P$2="SL2",((1-'Calculations - Parameters'!$R3)/(1-'Calculations - Parameters'!$O$3))*'Plan - CoC'!N10,IF('Calculation - NCL and ECL'!P$2="SL31",((1-'Calculations - Parameters'!$AY3)/(1-'Calculations - Parameters'!$O$3))*'Plan - CoC'!N10,IF('Calculation - NCL and ECL'!P$2="SL32",((1-'Calculations - Parameters'!$AZ3)/(1-'Calculations - Parameters'!$O$3))*'Plan - CoC'!N10))))</f>
        <v>6.1614211628561835</v>
      </c>
      <c r="Q28" s="44">
        <f>IF(Q$2="SL1",((1-'Calculations - Parameters'!$Q3)/(1-'Calculations - Parameters'!$O$3))*'Plan - CoC'!O10,IF('Calculation - NCL and ECL'!Q$2="SL2",((1-'Calculations - Parameters'!$R3)/(1-'Calculations - Parameters'!$O$3))*'Plan - CoC'!O10,IF('Calculation - NCL and ECL'!Q$2="SL31",((1-'Calculations - Parameters'!$AY3)/(1-'Calculations - Parameters'!$O$3))*'Plan - CoC'!O10,IF('Calculation - NCL and ECL'!Q$2="SL32",((1-'Calculations - Parameters'!$AZ3)/(1-'Calculations - Parameters'!$O$3))*'Plan - CoC'!O10))))</f>
        <v>6.7629841219470412</v>
      </c>
      <c r="R28" s="44">
        <f>IF(R$2="SL1",((1-'Calculations - Parameters'!$Q3)/(1-'Calculations - Parameters'!$O$3))*'Plan - CoC'!P10,IF('Calculation - NCL and ECL'!R$2="SL2",((1-'Calculations - Parameters'!$R3)/(1-'Calculations - Parameters'!$O$3))*'Plan - CoC'!P10,IF('Calculation - NCL and ECL'!R$2="SL31",((1-'Calculations - Parameters'!$AY3)/(1-'Calculations - Parameters'!$O$3))*'Plan - CoC'!P10,IF('Calculation - NCL and ECL'!R$2="SL32",((1-'Calculations - Parameters'!$AZ3)/(1-'Calculations - Parameters'!$O$3))*'Plan - CoC'!P10))))</f>
        <v>4.1413355676827202</v>
      </c>
      <c r="S28" s="44">
        <f>IF(S$2="SL1",((1-'Calculations - Parameters'!$Q3)/(1-'Calculations - Parameters'!$O$3))*'Plan - CoC'!Q10,IF('Calculation - NCL and ECL'!S$2="SL2",((1-'Calculations - Parameters'!$R3)/(1-'Calculations - Parameters'!$O$3))*'Plan - CoC'!Q10,IF('Calculation - NCL and ECL'!S$2="SL31",((1-'Calculations - Parameters'!$AY3)/(1-'Calculations - Parameters'!$O$3))*'Plan - CoC'!Q10,IF('Calculation - NCL and ECL'!S$2="SL32",((1-'Calculations - Parameters'!$AZ3)/(1-'Calculations - Parameters'!$O$3))*'Plan - CoC'!Q10))))</f>
        <v>4.1113520785579691</v>
      </c>
      <c r="T28" s="44">
        <f>IF(T$2="SL1",((1-'Calculations - Parameters'!$Q3)/(1-'Calculations - Parameters'!$O$3))*'Plan - CoC'!R10,IF('Calculation - NCL and ECL'!T$2="SL2",((1-'Calculations - Parameters'!$R3)/(1-'Calculations - Parameters'!$O$3))*'Plan - CoC'!R10,IF('Calculation - NCL and ECL'!T$2="SL31",((1-'Calculations - Parameters'!$AY3)/(1-'Calculations - Parameters'!$O$3))*'Plan - CoC'!R10,IF('Calculation - NCL and ECL'!T$2="SL32",((1-'Calculations - Parameters'!$AZ3)/(1-'Calculations - Parameters'!$O$3))*'Plan - CoC'!R10))))</f>
        <v>4.1149409046471437</v>
      </c>
      <c r="U28" s="44">
        <f>IF(U$2="SL1",((1-'Calculations - Parameters'!$Q3)/(1-'Calculations - Parameters'!$O$3))*'Plan - CoC'!S10,IF('Calculation - NCL and ECL'!U$2="SL2",((1-'Calculations - Parameters'!$R3)/(1-'Calculations - Parameters'!$O$3))*'Plan - CoC'!S10,IF('Calculation - NCL and ECL'!U$2="SL31",((1-'Calculations - Parameters'!$AY3)/(1-'Calculations - Parameters'!$O$3))*'Plan - CoC'!S10,IF('Calculation - NCL and ECL'!U$2="SL32",((1-'Calculations - Parameters'!$AZ3)/(1-'Calculations - Parameters'!$O$3))*'Plan - CoC'!S10))))</f>
        <v>4.1664687450456235</v>
      </c>
      <c r="V28" s="44">
        <f>IF(V$2="SL1",((1-'Calculations - Parameters'!$Q3)/(1-'Calculations - Parameters'!$O$3))*'Plan - CoC'!T10,IF('Calculation - NCL and ECL'!V$2="SL2",((1-'Calculations - Parameters'!$R3)/(1-'Calculations - Parameters'!$O$3))*'Plan - CoC'!T10,IF('Calculation - NCL and ECL'!V$2="SL31",((1-'Calculations - Parameters'!$AY3)/(1-'Calculations - Parameters'!$O$3))*'Plan - CoC'!T10,IF('Calculation - NCL and ECL'!V$2="SL32",((1-'Calculations - Parameters'!$AZ3)/(1-'Calculations - Parameters'!$O$3))*'Plan - CoC'!T10))))</f>
        <v>4.5270066719185911</v>
      </c>
      <c r="W28" s="44">
        <f>IF(W$2="SL1",((1-'Calculations - Parameters'!$Q3)/(1-'Calculations - Parameters'!$O$3))*'Plan - CoC'!U10,IF('Calculation - NCL and ECL'!W$2="SL2",((1-'Calculations - Parameters'!$R3)/(1-'Calculations - Parameters'!$O$3))*'Plan - CoC'!U10,IF('Calculation - NCL and ECL'!W$2="SL31",((1-'Calculations - Parameters'!$AY3)/(1-'Calculations - Parameters'!$O$3))*'Plan - CoC'!U10,IF('Calculation - NCL and ECL'!W$2="SL32",((1-'Calculations - Parameters'!$AZ3)/(1-'Calculations - Parameters'!$O$3))*'Plan - CoC'!U10))))</f>
        <v>4.9012678908109359</v>
      </c>
      <c r="X28" s="44">
        <f>IF(X$2="SL1",((1-'Calculations - Parameters'!$Q3)/(1-'Calculations - Parameters'!$O$3))*'Plan - CoC'!V10,IF('Calculation - NCL and ECL'!X$2="SL2",((1-'Calculations - Parameters'!$R3)/(1-'Calculations - Parameters'!$O$3))*'Plan - CoC'!V10,IF('Calculation - NCL and ECL'!X$2="SL31",((1-'Calculations - Parameters'!$AY3)/(1-'Calculations - Parameters'!$O$3))*'Plan - CoC'!V10,IF('Calculation - NCL and ECL'!X$2="SL32",((1-'Calculations - Parameters'!$AZ3)/(1-'Calculations - Parameters'!$O$3))*'Plan - CoC'!V10))))</f>
        <v>6.6364516447387301</v>
      </c>
      <c r="Y28" s="44">
        <f>IF(Y$2="SL1",((1-'Calculations - Parameters'!$Q3)/(1-'Calculations - Parameters'!$O$3))*'Plan - CoC'!W10,IF('Calculation - NCL and ECL'!Y$2="SL2",((1-'Calculations - Parameters'!$R3)/(1-'Calculations - Parameters'!$O$3))*'Plan - CoC'!W10,IF('Calculation - NCL and ECL'!Y$2="SL31",((1-'Calculations - Parameters'!$AY3)/(1-'Calculations - Parameters'!$O$3))*'Plan - CoC'!W10,IF('Calculation - NCL and ECL'!Y$2="SL32",((1-'Calculations - Parameters'!$AZ3)/(1-'Calculations - Parameters'!$O$3))*'Plan - CoC'!W10))))</f>
        <v>6.6777413868835591</v>
      </c>
      <c r="Z28" s="44">
        <f>IF(Z$2="SL1",((1-'Calculations - Parameters'!$Q3)/(1-'Calculations - Parameters'!$O$3))*'Plan - CoC'!X10,IF('Calculation - NCL and ECL'!Z$2="SL2",((1-'Calculations - Parameters'!$R3)/(1-'Calculations - Parameters'!$O$3))*'Plan - CoC'!X10,IF('Calculation - NCL and ECL'!Z$2="SL31",((1-'Calculations - Parameters'!$AY3)/(1-'Calculations - Parameters'!$O$3))*'Plan - CoC'!X10,IF('Calculation - NCL and ECL'!Z$2="SL32",((1-'Calculations - Parameters'!$AZ3)/(1-'Calculations - Parameters'!$O$3))*'Plan - CoC'!X10))))</f>
        <v>6.6845587975721061</v>
      </c>
      <c r="AA28" s="44">
        <f>IF(AA$2="SL1",((1-'Calculations - Parameters'!$Q3)/(1-'Calculations - Parameters'!$O$3))*'Plan - CoC'!Y10,IF('Calculation - NCL and ECL'!AA$2="SL2",((1-'Calculations - Parameters'!$R3)/(1-'Calculations - Parameters'!$O$3))*'Plan - CoC'!Y10,IF('Calculation - NCL and ECL'!AA$2="SL31",((1-'Calculations - Parameters'!$AY3)/(1-'Calculations - Parameters'!$O$3))*'Plan - CoC'!Y10,IF('Calculation - NCL and ECL'!AA$2="SL32",((1-'Calculations - Parameters'!$AZ3)/(1-'Calculations - Parameters'!$O$3))*'Plan - CoC'!Y10))))</f>
        <v>6.6437378599343111</v>
      </c>
      <c r="AB28" s="44">
        <f>IF(AB$2="SL1",((1-'Calculations - Parameters'!$Q3)/(1-'Calculations - Parameters'!$O$3))*'Plan - CoC'!Z10,IF('Calculation - NCL and ECL'!AB$2="SL2",((1-'Calculations - Parameters'!$R3)/(1-'Calculations - Parameters'!$O$3))*'Plan - CoC'!Z10,IF('Calculation - NCL and ECL'!AB$2="SL31",((1-'Calculations - Parameters'!$AY3)/(1-'Calculations - Parameters'!$O$3))*'Plan - CoC'!Z10,IF('Calculation - NCL and ECL'!AB$2="SL32",((1-'Calculations - Parameters'!$AZ3)/(1-'Calculations - Parameters'!$O$3))*'Plan - CoC'!Z10))))</f>
        <v>6.6259620815108393</v>
      </c>
      <c r="AC28" s="44">
        <f>IF(AC$2="SL1",((1-'Calculations - Parameters'!$Q3)/(1-'Calculations - Parameters'!$O$3))*'Plan - CoC'!AA10,IF('Calculation - NCL and ECL'!AC$2="SL2",((1-'Calculations - Parameters'!$R3)/(1-'Calculations - Parameters'!$O$3))*'Plan - CoC'!AA10,IF('Calculation - NCL and ECL'!AC$2="SL31",((1-'Calculations - Parameters'!$AY3)/(1-'Calculations - Parameters'!$O$3))*'Plan - CoC'!AA10,IF('Calculation - NCL and ECL'!AC$2="SL32",((1-'Calculations - Parameters'!$AZ3)/(1-'Calculations - Parameters'!$O$3))*'Plan - CoC'!AA10))))</f>
        <v>6.5776709647662184</v>
      </c>
      <c r="AD28" s="44">
        <f>IF(AD$2="SL1",((1-'Calculations - Parameters'!$Q3)/(1-'Calculations - Parameters'!$O$3))*'Plan - CoC'!AB10,IF('Calculation - NCL and ECL'!AD$2="SL2",((1-'Calculations - Parameters'!$R3)/(1-'Calculations - Parameters'!$O$3))*'Plan - CoC'!AB10,IF('Calculation - NCL and ECL'!AD$2="SL31",((1-'Calculations - Parameters'!$AY3)/(1-'Calculations - Parameters'!$O$3))*'Plan - CoC'!AB10,IF('Calculation - NCL and ECL'!AD$2="SL32",((1-'Calculations - Parameters'!$AZ3)/(1-'Calculations - Parameters'!$O$3))*'Plan - CoC'!AB10))))</f>
        <v>4.9755066765173925</v>
      </c>
      <c r="AE28" s="44">
        <f>IF(AE$2="SL1",((1-'Calculations - Parameters'!$Q3)/(1-'Calculations - Parameters'!$O$3))*'Plan - CoC'!AC10,IF('Calculation - NCL and ECL'!AE$2="SL2",((1-'Calculations - Parameters'!$R3)/(1-'Calculations - Parameters'!$O$3))*'Plan - CoC'!AC10,IF('Calculation - NCL and ECL'!AE$2="SL31",((1-'Calculations - Parameters'!$AY3)/(1-'Calculations - Parameters'!$O$3))*'Plan - CoC'!AC10,IF('Calculation - NCL and ECL'!AE$2="SL32",((1-'Calculations - Parameters'!$AZ3)/(1-'Calculations - Parameters'!$O$3))*'Plan - CoC'!AC10))))</f>
        <v>5.1111155770871699</v>
      </c>
      <c r="AF28" s="44">
        <f>IF(AF$2="SL1",((1-'Calculations - Parameters'!$Q3)/(1-'Calculations - Parameters'!$O$3))*'Plan - CoC'!AD10,IF('Calculation - NCL and ECL'!AF$2="SL2",((1-'Calculations - Parameters'!$R3)/(1-'Calculations - Parameters'!$O$3))*'Plan - CoC'!AD10,IF('Calculation - NCL and ECL'!AF$2="SL31",((1-'Calculations - Parameters'!$AY3)/(1-'Calculations - Parameters'!$O$3))*'Plan - CoC'!AD10,IF('Calculation - NCL and ECL'!AF$2="SL32",((1-'Calculations - Parameters'!$AZ3)/(1-'Calculations - Parameters'!$O$3))*'Plan - CoC'!AD10))))</f>
        <v>5.2720671717034291</v>
      </c>
      <c r="AG28" s="44">
        <f>IF(AG$2="SL1",((1-'Calculations - Parameters'!$Q3)/(1-'Calculations - Parameters'!$O$3))*'Plan - CoC'!AE10,IF('Calculation - NCL and ECL'!AG$2="SL2",((1-'Calculations - Parameters'!$R3)/(1-'Calculations - Parameters'!$O$3))*'Plan - CoC'!AE10,IF('Calculation - NCL and ECL'!AG$2="SL31",((1-'Calculations - Parameters'!$AY3)/(1-'Calculations - Parameters'!$O$3))*'Plan - CoC'!AE10,IF('Calculation - NCL and ECL'!AG$2="SL32",((1-'Calculations - Parameters'!$AZ3)/(1-'Calculations - Parameters'!$O$3))*'Plan - CoC'!AE10))))</f>
        <v>5.4597987910849319</v>
      </c>
      <c r="AH28" s="44">
        <f>IF(AH$2="SL1",((1-'Calculations - Parameters'!$Q3)/(1-'Calculations - Parameters'!$O$3))*'Plan - CoC'!AF10,IF('Calculation - NCL and ECL'!AH$2="SL2",((1-'Calculations - Parameters'!$R3)/(1-'Calculations - Parameters'!$O$3))*'Plan - CoC'!AF10,IF('Calculation - NCL and ECL'!AH$2="SL31",((1-'Calculations - Parameters'!$AY3)/(1-'Calculations - Parameters'!$O$3))*'Plan - CoC'!AF10,IF('Calculation - NCL and ECL'!AH$2="SL32",((1-'Calculations - Parameters'!$AZ3)/(1-'Calculations - Parameters'!$O$3))*'Plan - CoC'!AF10))))</f>
        <v>5.5407307412899716</v>
      </c>
      <c r="AI28" s="44">
        <f>IF(AI$2="SL1",((1-'Calculations - Parameters'!$Q3)/(1-'Calculations - Parameters'!$O$3))*'Plan - CoC'!AG10,IF('Calculation - NCL and ECL'!AI$2="SL2",((1-'Calculations - Parameters'!$R3)/(1-'Calculations - Parameters'!$O$3))*'Plan - CoC'!AG10,IF('Calculation - NCL and ECL'!AI$2="SL31",((1-'Calculations - Parameters'!$AY3)/(1-'Calculations - Parameters'!$O$3))*'Plan - CoC'!AG10,IF('Calculation - NCL and ECL'!AI$2="SL32",((1-'Calculations - Parameters'!$AZ3)/(1-'Calculations - Parameters'!$O$3))*'Plan - CoC'!AG10))))</f>
        <v>5.6754883736885144</v>
      </c>
      <c r="AJ28" s="44">
        <f>'Plan - CoC'!AH10</f>
        <v>7.8529737841997536</v>
      </c>
      <c r="AK28" s="44">
        <f>'Plan - CoC'!AI10</f>
        <v>7.944185316294627</v>
      </c>
      <c r="AL28" s="44">
        <f>'Plan - CoC'!AJ10</f>
        <v>7.9538360027088508</v>
      </c>
      <c r="AM28" s="44">
        <f>'Plan - CoC'!AK10</f>
        <v>8.1801869702479557</v>
      </c>
      <c r="AN28" s="44">
        <f>'Plan - CoC'!AL10</f>
        <v>9.1307196237244206</v>
      </c>
      <c r="AO28" s="45">
        <f>'Plan - CoC'!AM10</f>
        <v>9.0975916366183665</v>
      </c>
    </row>
    <row r="29" spans="2:41" x14ac:dyDescent="0.35">
      <c r="B29" s="2" t="s">
        <v>175</v>
      </c>
      <c r="C29" s="2" t="s">
        <v>158</v>
      </c>
      <c r="D29" s="2" t="s">
        <v>17</v>
      </c>
      <c r="E29" s="46">
        <f>'Plan - CoC'!C11</f>
        <v>0</v>
      </c>
      <c r="F29" s="47">
        <f>IF(F$2="SL1",((1-'Calculations - Parameters'!$Q4)/(1-'Calculations - Parameters'!$O$3))*'Plan - CoC'!D11,IF('Calculation - NCL and ECL'!F$2="SL2",((1-'Calculations - Parameters'!$R4)/(1-'Calculations - Parameters'!$O$3))*'Plan - CoC'!D11,IF('Calculation - NCL and ECL'!F$2="SL31",((1-'Calculations - Parameters'!$AY4)/(1-'Calculations - Parameters'!$O$3))*'Plan - CoC'!D11,IF('Calculation - NCL and ECL'!F$2="SL32",((1-'Calculations - Parameters'!$AZ4)/(1-'Calculations - Parameters'!$O$3))*'Plan - CoC'!D11))))</f>
        <v>2.0329548779969131</v>
      </c>
      <c r="G29" s="47">
        <f>IF(G$2="SL1",((1-'Calculations - Parameters'!$Q4)/(1-'Calculations - Parameters'!$O$3))*'Plan - CoC'!E11,IF('Calculation - NCL and ECL'!G$2="SL2",((1-'Calculations - Parameters'!$R4)/(1-'Calculations - Parameters'!$O$3))*'Plan - CoC'!E11,IF('Calculation - NCL and ECL'!G$2="SL31",((1-'Calculations - Parameters'!$AY4)/(1-'Calculations - Parameters'!$O$3))*'Plan - CoC'!E11,IF('Calculation - NCL and ECL'!G$2="SL32",((1-'Calculations - Parameters'!$AZ4)/(1-'Calculations - Parameters'!$O$3))*'Plan - CoC'!E11))))</f>
        <v>2.4685755168199344</v>
      </c>
      <c r="H29" s="47">
        <f>IF(H$2="SL1",((1-'Calculations - Parameters'!$Q4)/(1-'Calculations - Parameters'!$O$3))*'Plan - CoC'!F11,IF('Calculation - NCL and ECL'!H$2="SL2",((1-'Calculations - Parameters'!$R4)/(1-'Calculations - Parameters'!$O$3))*'Plan - CoC'!F11,IF('Calculation - NCL and ECL'!H$2="SL31",((1-'Calculations - Parameters'!$AY4)/(1-'Calculations - Parameters'!$O$3))*'Plan - CoC'!F11,IF('Calculation - NCL and ECL'!H$2="SL32",((1-'Calculations - Parameters'!$AZ4)/(1-'Calculations - Parameters'!$O$3))*'Plan - CoC'!F11))))</f>
        <v>2.7159183753783833</v>
      </c>
      <c r="I29" s="47">
        <f>IF(I$2="SL1",((1-'Calculations - Parameters'!$Q4)/(1-'Calculations - Parameters'!$O$3))*'Plan - CoC'!G11,IF('Calculation - NCL and ECL'!I$2="SL2",((1-'Calculations - Parameters'!$R4)/(1-'Calculations - Parameters'!$O$3))*'Plan - CoC'!G11,IF('Calculation - NCL and ECL'!I$2="SL31",((1-'Calculations - Parameters'!$AY4)/(1-'Calculations - Parameters'!$O$3))*'Plan - CoC'!G11,IF('Calculation - NCL and ECL'!I$2="SL32",((1-'Calculations - Parameters'!$AZ4)/(1-'Calculations - Parameters'!$O$3))*'Plan - CoC'!G11))))</f>
        <v>2.2156497332393212</v>
      </c>
      <c r="J29" s="47">
        <f>IF(J$2="SL1",((1-'Calculations - Parameters'!$Q4)/(1-'Calculations - Parameters'!$O$3))*'Plan - CoC'!H11,IF('Calculation - NCL and ECL'!J$2="SL2",((1-'Calculations - Parameters'!$R4)/(1-'Calculations - Parameters'!$O$3))*'Plan - CoC'!H11,IF('Calculation - NCL and ECL'!J$2="SL31",((1-'Calculations - Parameters'!$AY4)/(1-'Calculations - Parameters'!$O$3))*'Plan - CoC'!H11,IF('Calculation - NCL and ECL'!J$2="SL32",((1-'Calculations - Parameters'!$AZ4)/(1-'Calculations - Parameters'!$O$3))*'Plan - CoC'!H11))))</f>
        <v>1.7144336311515322</v>
      </c>
      <c r="K29" s="47">
        <f>IF(K$2="SL1",((1-'Calculations - Parameters'!$Q4)/(1-'Calculations - Parameters'!$O$3))*'Plan - CoC'!I11,IF('Calculation - NCL and ECL'!K$2="SL2",((1-'Calculations - Parameters'!$R4)/(1-'Calculations - Parameters'!$O$3))*'Plan - CoC'!I11,IF('Calculation - NCL and ECL'!K$2="SL31",((1-'Calculations - Parameters'!$AY4)/(1-'Calculations - Parameters'!$O$3))*'Plan - CoC'!I11,IF('Calculation - NCL and ECL'!K$2="SL32",((1-'Calculations - Parameters'!$AZ4)/(1-'Calculations - Parameters'!$O$3))*'Plan - CoC'!I11))))</f>
        <v>1.7347828469234463</v>
      </c>
      <c r="L29" s="47">
        <f>IF(L$2="SL1",((1-'Calculations - Parameters'!$Q4)/(1-'Calculations - Parameters'!$O$3))*'Plan - CoC'!J11,IF('Calculation - NCL and ECL'!L$2="SL2",((1-'Calculations - Parameters'!$R4)/(1-'Calculations - Parameters'!$O$3))*'Plan - CoC'!J11,IF('Calculation - NCL and ECL'!L$2="SL31",((1-'Calculations - Parameters'!$AY4)/(1-'Calculations - Parameters'!$O$3))*'Plan - CoC'!J11,IF('Calculation - NCL and ECL'!L$2="SL32",((1-'Calculations - Parameters'!$AZ4)/(1-'Calculations - Parameters'!$O$3))*'Plan - CoC'!J11))))</f>
        <v>2.3266291514812085</v>
      </c>
      <c r="M29" s="47">
        <f>IF(M$2="SL1",((1-'Calculations - Parameters'!$Q4)/(1-'Calculations - Parameters'!$O$3))*'Plan - CoC'!K11,IF('Calculation - NCL and ECL'!M$2="SL2",((1-'Calculations - Parameters'!$R4)/(1-'Calculations - Parameters'!$O$3))*'Plan - CoC'!K11,IF('Calculation - NCL and ECL'!M$2="SL31",((1-'Calculations - Parameters'!$AY4)/(1-'Calculations - Parameters'!$O$3))*'Plan - CoC'!K11,IF('Calculation - NCL and ECL'!M$2="SL32",((1-'Calculations - Parameters'!$AZ4)/(1-'Calculations - Parameters'!$O$3))*'Plan - CoC'!K11))))</f>
        <v>2.371635152567106</v>
      </c>
      <c r="N29" s="47">
        <f>IF(N$2="SL1",((1-'Calculations - Parameters'!$Q4)/(1-'Calculations - Parameters'!$O$3))*'Plan - CoC'!L11,IF('Calculation - NCL and ECL'!N$2="SL2",((1-'Calculations - Parameters'!$R4)/(1-'Calculations - Parameters'!$O$3))*'Plan - CoC'!L11,IF('Calculation - NCL and ECL'!N$2="SL31",((1-'Calculations - Parameters'!$AY4)/(1-'Calculations - Parameters'!$O$3))*'Plan - CoC'!L11,IF('Calculation - NCL and ECL'!N$2="SL32",((1-'Calculations - Parameters'!$AZ4)/(1-'Calculations - Parameters'!$O$3))*'Plan - CoC'!L11))))</f>
        <v>2.420420393066939</v>
      </c>
      <c r="O29" s="47">
        <f>IF(O$2="SL1",((1-'Calculations - Parameters'!$Q4)/(1-'Calculations - Parameters'!$O$3))*'Plan - CoC'!M11,IF('Calculation - NCL and ECL'!O$2="SL2",((1-'Calculations - Parameters'!$R4)/(1-'Calculations - Parameters'!$O$3))*'Plan - CoC'!M11,IF('Calculation - NCL and ECL'!O$2="SL31",((1-'Calculations - Parameters'!$AY4)/(1-'Calculations - Parameters'!$O$3))*'Plan - CoC'!M11,IF('Calculation - NCL and ECL'!O$2="SL32",((1-'Calculations - Parameters'!$AZ4)/(1-'Calculations - Parameters'!$O$3))*'Plan - CoC'!M11))))</f>
        <v>2.6118201847988023</v>
      </c>
      <c r="P29" s="47">
        <f>IF(P$2="SL1",((1-'Calculations - Parameters'!$Q4)/(1-'Calculations - Parameters'!$O$3))*'Plan - CoC'!N11,IF('Calculation - NCL and ECL'!P$2="SL2",((1-'Calculations - Parameters'!$R4)/(1-'Calculations - Parameters'!$O$3))*'Plan - CoC'!N11,IF('Calculation - NCL and ECL'!P$2="SL31",((1-'Calculations - Parameters'!$AY4)/(1-'Calculations - Parameters'!$O$3))*'Plan - CoC'!N11,IF('Calculation - NCL and ECL'!P$2="SL32",((1-'Calculations - Parameters'!$AZ4)/(1-'Calculations - Parameters'!$O$3))*'Plan - CoC'!N11))))</f>
        <v>3.552253276298162</v>
      </c>
      <c r="Q29" s="47">
        <f>IF(Q$2="SL1",((1-'Calculations - Parameters'!$Q4)/(1-'Calculations - Parameters'!$O$3))*'Plan - CoC'!O11,IF('Calculation - NCL and ECL'!Q$2="SL2",((1-'Calculations - Parameters'!$R4)/(1-'Calculations - Parameters'!$O$3))*'Plan - CoC'!O11,IF('Calculation - NCL and ECL'!Q$2="SL31",((1-'Calculations - Parameters'!$AY4)/(1-'Calculations - Parameters'!$O$3))*'Plan - CoC'!O11,IF('Calculation - NCL and ECL'!Q$2="SL32",((1-'Calculations - Parameters'!$AZ4)/(1-'Calculations - Parameters'!$O$3))*'Plan - CoC'!O11))))</f>
        <v>4.2033052855273887</v>
      </c>
      <c r="R29" s="47">
        <f>IF(R$2="SL1",((1-'Calculations - Parameters'!$Q4)/(1-'Calculations - Parameters'!$O$3))*'Plan - CoC'!P11,IF('Calculation - NCL and ECL'!R$2="SL2",((1-'Calculations - Parameters'!$R4)/(1-'Calculations - Parameters'!$O$3))*'Plan - CoC'!P11,IF('Calculation - NCL and ECL'!R$2="SL31",((1-'Calculations - Parameters'!$AY4)/(1-'Calculations - Parameters'!$O$3))*'Plan - CoC'!P11,IF('Calculation - NCL and ECL'!R$2="SL32",((1-'Calculations - Parameters'!$AZ4)/(1-'Calculations - Parameters'!$O$3))*'Plan - CoC'!P11))))</f>
        <v>2.7777674782315618</v>
      </c>
      <c r="S29" s="47">
        <f>IF(S$2="SL1",((1-'Calculations - Parameters'!$Q4)/(1-'Calculations - Parameters'!$O$3))*'Plan - CoC'!Q11,IF('Calculation - NCL and ECL'!S$2="SL2",((1-'Calculations - Parameters'!$R4)/(1-'Calculations - Parameters'!$O$3))*'Plan - CoC'!Q11,IF('Calculation - NCL and ECL'!S$2="SL31",((1-'Calculations - Parameters'!$AY4)/(1-'Calculations - Parameters'!$O$3))*'Plan - CoC'!Q11,IF('Calculation - NCL and ECL'!S$2="SL32",((1-'Calculations - Parameters'!$AZ4)/(1-'Calculations - Parameters'!$O$3))*'Plan - CoC'!Q11))))</f>
        <v>2.8352953313465021</v>
      </c>
      <c r="T29" s="47">
        <f>IF(T$2="SL1",((1-'Calculations - Parameters'!$Q4)/(1-'Calculations - Parameters'!$O$3))*'Plan - CoC'!R11,IF('Calculation - NCL and ECL'!T$2="SL2",((1-'Calculations - Parameters'!$R4)/(1-'Calculations - Parameters'!$O$3))*'Plan - CoC'!R11,IF('Calculation - NCL and ECL'!T$2="SL31",((1-'Calculations - Parameters'!$AY4)/(1-'Calculations - Parameters'!$O$3))*'Plan - CoC'!R11,IF('Calculation - NCL and ECL'!T$2="SL32",((1-'Calculations - Parameters'!$AZ4)/(1-'Calculations - Parameters'!$O$3))*'Plan - CoC'!R11))))</f>
        <v>2.9177511854831177</v>
      </c>
      <c r="U29" s="47">
        <f>IF(U$2="SL1",((1-'Calculations - Parameters'!$Q4)/(1-'Calculations - Parameters'!$O$3))*'Plan - CoC'!S11,IF('Calculation - NCL and ECL'!U$2="SL2",((1-'Calculations - Parameters'!$R4)/(1-'Calculations - Parameters'!$O$3))*'Plan - CoC'!S11,IF('Calculation - NCL and ECL'!U$2="SL31",((1-'Calculations - Parameters'!$AY4)/(1-'Calculations - Parameters'!$O$3))*'Plan - CoC'!S11,IF('Calculation - NCL and ECL'!U$2="SL32",((1-'Calculations - Parameters'!$AZ4)/(1-'Calculations - Parameters'!$O$3))*'Plan - CoC'!S11))))</f>
        <v>3.0910670978736046</v>
      </c>
      <c r="V29" s="47">
        <f>IF(V$2="SL1",((1-'Calculations - Parameters'!$Q4)/(1-'Calculations - Parameters'!$O$3))*'Plan - CoC'!T11,IF('Calculation - NCL and ECL'!V$2="SL2",((1-'Calculations - Parameters'!$R4)/(1-'Calculations - Parameters'!$O$3))*'Plan - CoC'!T11,IF('Calculation - NCL and ECL'!V$2="SL31",((1-'Calculations - Parameters'!$AY4)/(1-'Calculations - Parameters'!$O$3))*'Plan - CoC'!T11,IF('Calculation - NCL and ECL'!V$2="SL32",((1-'Calculations - Parameters'!$AZ4)/(1-'Calculations - Parameters'!$O$3))*'Plan - CoC'!T11))))</f>
        <v>3.2667651014027914</v>
      </c>
      <c r="W29" s="47">
        <f>IF(W$2="SL1",((1-'Calculations - Parameters'!$Q4)/(1-'Calculations - Parameters'!$O$3))*'Plan - CoC'!U11,IF('Calculation - NCL and ECL'!W$2="SL2",((1-'Calculations - Parameters'!$R4)/(1-'Calculations - Parameters'!$O$3))*'Plan - CoC'!U11,IF('Calculation - NCL and ECL'!W$2="SL31",((1-'Calculations - Parameters'!$AY4)/(1-'Calculations - Parameters'!$O$3))*'Plan - CoC'!U11,IF('Calculation - NCL and ECL'!W$2="SL32",((1-'Calculations - Parameters'!$AZ4)/(1-'Calculations - Parameters'!$O$3))*'Plan - CoC'!U11))))</f>
        <v>3.4531079638325282</v>
      </c>
      <c r="X29" s="47">
        <f>IF(X$2="SL1",((1-'Calculations - Parameters'!$Q4)/(1-'Calculations - Parameters'!$O$3))*'Plan - CoC'!V11,IF('Calculation - NCL and ECL'!X$2="SL2",((1-'Calculations - Parameters'!$R4)/(1-'Calculations - Parameters'!$O$3))*'Plan - CoC'!V11,IF('Calculation - NCL and ECL'!X$2="SL31",((1-'Calculations - Parameters'!$AY4)/(1-'Calculations - Parameters'!$O$3))*'Plan - CoC'!V11,IF('Calculation - NCL and ECL'!X$2="SL32",((1-'Calculations - Parameters'!$AZ4)/(1-'Calculations - Parameters'!$O$3))*'Plan - CoC'!V11))))</f>
        <v>5.1148509501955015</v>
      </c>
      <c r="Y29" s="47">
        <f>IF(Y$2="SL1",((1-'Calculations - Parameters'!$Q4)/(1-'Calculations - Parameters'!$O$3))*'Plan - CoC'!W11,IF('Calculation - NCL and ECL'!Y$2="SL2",((1-'Calculations - Parameters'!$R4)/(1-'Calculations - Parameters'!$O$3))*'Plan - CoC'!W11,IF('Calculation - NCL and ECL'!Y$2="SL31",((1-'Calculations - Parameters'!$AY4)/(1-'Calculations - Parameters'!$O$3))*'Plan - CoC'!W11,IF('Calculation - NCL and ECL'!Y$2="SL32",((1-'Calculations - Parameters'!$AZ4)/(1-'Calculations - Parameters'!$O$3))*'Plan - CoC'!W11))))</f>
        <v>5.2193326723872806</v>
      </c>
      <c r="Z29" s="47">
        <f>IF(Z$2="SL1",((1-'Calculations - Parameters'!$Q4)/(1-'Calculations - Parameters'!$O$3))*'Plan - CoC'!X11,IF('Calculation - NCL and ECL'!Z$2="SL2",((1-'Calculations - Parameters'!$R4)/(1-'Calculations - Parameters'!$O$3))*'Plan - CoC'!X11,IF('Calculation - NCL and ECL'!Z$2="SL31",((1-'Calculations - Parameters'!$AY4)/(1-'Calculations - Parameters'!$O$3))*'Plan - CoC'!X11,IF('Calculation - NCL and ECL'!Z$2="SL32",((1-'Calculations - Parameters'!$AZ4)/(1-'Calculations - Parameters'!$O$3))*'Plan - CoC'!X11))))</f>
        <v>5.2488974675330935</v>
      </c>
      <c r="AA29" s="47">
        <f>IF(AA$2="SL1",((1-'Calculations - Parameters'!$Q4)/(1-'Calculations - Parameters'!$O$3))*'Plan - CoC'!Y11,IF('Calculation - NCL and ECL'!AA$2="SL2",((1-'Calculations - Parameters'!$R4)/(1-'Calculations - Parameters'!$O$3))*'Plan - CoC'!Y11,IF('Calculation - NCL and ECL'!AA$2="SL31",((1-'Calculations - Parameters'!$AY4)/(1-'Calculations - Parameters'!$O$3))*'Plan - CoC'!Y11,IF('Calculation - NCL and ECL'!AA$2="SL32",((1-'Calculations - Parameters'!$AZ4)/(1-'Calculations - Parameters'!$O$3))*'Plan - CoC'!Y11))))</f>
        <v>5.2095772375798193</v>
      </c>
      <c r="AB29" s="47">
        <f>IF(AB$2="SL1",((1-'Calculations - Parameters'!$Q4)/(1-'Calculations - Parameters'!$O$3))*'Plan - CoC'!Z11,IF('Calculation - NCL and ECL'!AB$2="SL2",((1-'Calculations - Parameters'!$R4)/(1-'Calculations - Parameters'!$O$3))*'Plan - CoC'!Z11,IF('Calculation - NCL and ECL'!AB$2="SL31",((1-'Calculations - Parameters'!$AY4)/(1-'Calculations - Parameters'!$O$3))*'Plan - CoC'!Z11,IF('Calculation - NCL and ECL'!AB$2="SL32",((1-'Calculations - Parameters'!$AZ4)/(1-'Calculations - Parameters'!$O$3))*'Plan - CoC'!Z11))))</f>
        <v>5.1916405770561695</v>
      </c>
      <c r="AC29" s="47">
        <f>IF(AC$2="SL1",((1-'Calculations - Parameters'!$Q4)/(1-'Calculations - Parameters'!$O$3))*'Plan - CoC'!AA11,IF('Calculation - NCL and ECL'!AC$2="SL2",((1-'Calculations - Parameters'!$R4)/(1-'Calculations - Parameters'!$O$3))*'Plan - CoC'!AA11,IF('Calculation - NCL and ECL'!AC$2="SL31",((1-'Calculations - Parameters'!$AY4)/(1-'Calculations - Parameters'!$O$3))*'Plan - CoC'!AA11,IF('Calculation - NCL and ECL'!AC$2="SL32",((1-'Calculations - Parameters'!$AZ4)/(1-'Calculations - Parameters'!$O$3))*'Plan - CoC'!AA11))))</f>
        <v>5.1961310452924199</v>
      </c>
      <c r="AD29" s="47">
        <f>IF(AD$2="SL1",((1-'Calculations - Parameters'!$Q4)/(1-'Calculations - Parameters'!$O$3))*'Plan - CoC'!AB11,IF('Calculation - NCL and ECL'!AD$2="SL2",((1-'Calculations - Parameters'!$R4)/(1-'Calculations - Parameters'!$O$3))*'Plan - CoC'!AB11,IF('Calculation - NCL and ECL'!AD$2="SL31",((1-'Calculations - Parameters'!$AY4)/(1-'Calculations - Parameters'!$O$3))*'Plan - CoC'!AB11,IF('Calculation - NCL and ECL'!AD$2="SL32",((1-'Calculations - Parameters'!$AZ4)/(1-'Calculations - Parameters'!$O$3))*'Plan - CoC'!AB11))))</f>
        <v>3.4987602472518757</v>
      </c>
      <c r="AE29" s="47">
        <f>IF(AE$2="SL1",((1-'Calculations - Parameters'!$Q4)/(1-'Calculations - Parameters'!$O$3))*'Plan - CoC'!AC11,IF('Calculation - NCL and ECL'!AE$2="SL2",((1-'Calculations - Parameters'!$R4)/(1-'Calculations - Parameters'!$O$3))*'Plan - CoC'!AC11,IF('Calculation - NCL and ECL'!AE$2="SL31",((1-'Calculations - Parameters'!$AY4)/(1-'Calculations - Parameters'!$O$3))*'Plan - CoC'!AC11,IF('Calculation - NCL and ECL'!AE$2="SL32",((1-'Calculations - Parameters'!$AZ4)/(1-'Calculations - Parameters'!$O$3))*'Plan - CoC'!AC11))))</f>
        <v>3.4871619120470796</v>
      </c>
      <c r="AF29" s="47">
        <f>IF(AF$2="SL1",((1-'Calculations - Parameters'!$Q4)/(1-'Calculations - Parameters'!$O$3))*'Plan - CoC'!AD11,IF('Calculation - NCL and ECL'!AF$2="SL2",((1-'Calculations - Parameters'!$R4)/(1-'Calculations - Parameters'!$O$3))*'Plan - CoC'!AD11,IF('Calculation - NCL and ECL'!AF$2="SL31",((1-'Calculations - Parameters'!$AY4)/(1-'Calculations - Parameters'!$O$3))*'Plan - CoC'!AD11,IF('Calculation - NCL and ECL'!AF$2="SL32",((1-'Calculations - Parameters'!$AZ4)/(1-'Calculations - Parameters'!$O$3))*'Plan - CoC'!AD11))))</f>
        <v>3.4931346985220069</v>
      </c>
      <c r="AG29" s="47">
        <f>IF(AG$2="SL1",((1-'Calculations - Parameters'!$Q4)/(1-'Calculations - Parameters'!$O$3))*'Plan - CoC'!AE11,IF('Calculation - NCL and ECL'!AG$2="SL2",((1-'Calculations - Parameters'!$R4)/(1-'Calculations - Parameters'!$O$3))*'Plan - CoC'!AE11,IF('Calculation - NCL and ECL'!AG$2="SL31",((1-'Calculations - Parameters'!$AY4)/(1-'Calculations - Parameters'!$O$3))*'Plan - CoC'!AE11,IF('Calculation - NCL and ECL'!AG$2="SL32",((1-'Calculations - Parameters'!$AZ4)/(1-'Calculations - Parameters'!$O$3))*'Plan - CoC'!AE11))))</f>
        <v>3.5618339049876249</v>
      </c>
      <c r="AH29" s="47">
        <f>IF(AH$2="SL1",((1-'Calculations - Parameters'!$Q4)/(1-'Calculations - Parameters'!$O$3))*'Plan - CoC'!AF11,IF('Calculation - NCL and ECL'!AH$2="SL2",((1-'Calculations - Parameters'!$R4)/(1-'Calculations - Parameters'!$O$3))*'Plan - CoC'!AF11,IF('Calculation - NCL and ECL'!AH$2="SL31",((1-'Calculations - Parameters'!$AY4)/(1-'Calculations - Parameters'!$O$3))*'Plan - CoC'!AF11,IF('Calculation - NCL and ECL'!AH$2="SL32",((1-'Calculations - Parameters'!$AZ4)/(1-'Calculations - Parameters'!$O$3))*'Plan - CoC'!AF11))))</f>
        <v>3.6496148337013343</v>
      </c>
      <c r="AI29" s="47">
        <f>IF(AI$2="SL1",((1-'Calculations - Parameters'!$Q4)/(1-'Calculations - Parameters'!$O$3))*'Plan - CoC'!AG11,IF('Calculation - NCL and ECL'!AI$2="SL2",((1-'Calculations - Parameters'!$R4)/(1-'Calculations - Parameters'!$O$3))*'Plan - CoC'!AG11,IF('Calculation - NCL and ECL'!AI$2="SL31",((1-'Calculations - Parameters'!$AY4)/(1-'Calculations - Parameters'!$O$3))*'Plan - CoC'!AG11,IF('Calculation - NCL and ECL'!AI$2="SL32",((1-'Calculations - Parameters'!$AZ4)/(1-'Calculations - Parameters'!$O$3))*'Plan - CoC'!AG11))))</f>
        <v>3.7217685934891516</v>
      </c>
      <c r="AJ29" s="47">
        <f>'Plan - CoC'!AH11</f>
        <v>5.2144777406704268</v>
      </c>
      <c r="AK29" s="47">
        <f>'Plan - CoC'!AI11</f>
        <v>5.2195841011369239</v>
      </c>
      <c r="AL29" s="47">
        <f>'Plan - CoC'!AJ11</f>
        <v>5.2231378242398518</v>
      </c>
      <c r="AM29" s="47">
        <f>'Plan - CoC'!AK11</f>
        <v>5.4695060471783403</v>
      </c>
      <c r="AN29" s="47">
        <f>'Plan - CoC'!AL11</f>
        <v>5.456767202360159</v>
      </c>
      <c r="AO29" s="48">
        <f>'Plan - CoC'!AM11</f>
        <v>5.4399638023704942</v>
      </c>
    </row>
    <row r="30" spans="2:41" x14ac:dyDescent="0.35">
      <c r="B30" s="3" t="s">
        <v>175</v>
      </c>
      <c r="C30" s="3" t="s">
        <v>159</v>
      </c>
      <c r="D30" s="3" t="s">
        <v>17</v>
      </c>
      <c r="E30" s="49">
        <f>'Plan - CoC'!C12</f>
        <v>0</v>
      </c>
      <c r="F30" s="50">
        <f>'Plan - CoC'!D12</f>
        <v>0</v>
      </c>
      <c r="G30" s="50">
        <f>'Plan - CoC'!E12</f>
        <v>0</v>
      </c>
      <c r="H30" s="50">
        <f>'Plan - CoC'!F12</f>
        <v>0</v>
      </c>
      <c r="I30" s="50">
        <f>'Plan - CoC'!G12</f>
        <v>0</v>
      </c>
      <c r="J30" s="50">
        <f>'Plan - CoC'!H12</f>
        <v>0</v>
      </c>
      <c r="K30" s="50">
        <f>IF(K$2="SL1",((1-'Calculations - Parameters'!$Q5)/(1-'Calculations - Parameters'!$O$3))*'Plan - CoC'!I12,IF('Calculation - NCL and ECL'!K$2="SL2",((1-'Calculations - Parameters'!$R5)/(1-'Calculations - Parameters'!$O$3))*'Plan - CoC'!I12,IF('Calculation - NCL and ECL'!K$2="SL31",((1-'Calculations - Parameters'!$AY5)/(1-'Calculations - Parameters'!$O$3))*'Plan - CoC'!I12,IF('Calculation - NCL and ECL'!K$2="SL32",((1-'Calculations - Parameters'!$AZ5)/(1-'Calculations - Parameters'!$O$3))*'Plan - CoC'!I12))))</f>
        <v>0</v>
      </c>
      <c r="L30" s="50">
        <f>IF(L$2="SL1",((1-'Calculations - Parameters'!$Q5)/(1-'Calculations - Parameters'!$O$3))*'Plan - CoC'!J12,IF('Calculation - NCL and ECL'!L$2="SL2",((1-'Calculations - Parameters'!$R5)/(1-'Calculations - Parameters'!$O$3))*'Plan - CoC'!J12,IF('Calculation - NCL and ECL'!L$2="SL31",((1-'Calculations - Parameters'!$AY5)/(1-'Calculations - Parameters'!$O$3))*'Plan - CoC'!J12,IF('Calculation - NCL and ECL'!L$2="SL32",((1-'Calculations - Parameters'!$AZ5)/(1-'Calculations - Parameters'!$O$3))*'Plan - CoC'!J12))))</f>
        <v>0</v>
      </c>
      <c r="M30" s="50">
        <f>IF(M$2="SL1",((1-'Calculations - Parameters'!$Q5)/(1-'Calculations - Parameters'!$O$3))*'Plan - CoC'!K12,IF('Calculation - NCL and ECL'!M$2="SL2",((1-'Calculations - Parameters'!$R5)/(1-'Calculations - Parameters'!$O$3))*'Plan - CoC'!K12,IF('Calculation - NCL and ECL'!M$2="SL31",((1-'Calculations - Parameters'!$AY5)/(1-'Calculations - Parameters'!$O$3))*'Plan - CoC'!K12,IF('Calculation - NCL and ECL'!M$2="SL32",((1-'Calculations - Parameters'!$AZ5)/(1-'Calculations - Parameters'!$O$3))*'Plan - CoC'!K12))))</f>
        <v>0</v>
      </c>
      <c r="N30" s="50">
        <f>IF(N$2="SL1",((1-'Calculations - Parameters'!$Q5)/(1-'Calculations - Parameters'!$O$3))*'Plan - CoC'!L12,IF('Calculation - NCL and ECL'!N$2="SL2",((1-'Calculations - Parameters'!$R5)/(1-'Calculations - Parameters'!$O$3))*'Plan - CoC'!L12,IF('Calculation - NCL and ECL'!N$2="SL31",((1-'Calculations - Parameters'!$AY5)/(1-'Calculations - Parameters'!$O$3))*'Plan - CoC'!L12,IF('Calculation - NCL and ECL'!N$2="SL32",((1-'Calculations - Parameters'!$AZ5)/(1-'Calculations - Parameters'!$O$3))*'Plan - CoC'!L12))))</f>
        <v>0</v>
      </c>
      <c r="O30" s="50">
        <f>IF(O$2="SL1",((1-'Calculations - Parameters'!$Q5)/(1-'Calculations - Parameters'!$O$3))*'Plan - CoC'!M12,IF('Calculation - NCL and ECL'!O$2="SL2",((1-'Calculations - Parameters'!$R5)/(1-'Calculations - Parameters'!$O$3))*'Plan - CoC'!M12,IF('Calculation - NCL and ECL'!O$2="SL31",((1-'Calculations - Parameters'!$AY5)/(1-'Calculations - Parameters'!$O$3))*'Plan - CoC'!M12,IF('Calculation - NCL and ECL'!O$2="SL32",((1-'Calculations - Parameters'!$AZ5)/(1-'Calculations - Parameters'!$O$3))*'Plan - CoC'!M12))))</f>
        <v>0</v>
      </c>
      <c r="P30" s="50">
        <f>IF(P$2="SL1",((1-'Calculations - Parameters'!$Q5)/(1-'Calculations - Parameters'!$O$3))*'Plan - CoC'!N12,IF('Calculation - NCL and ECL'!P$2="SL2",((1-'Calculations - Parameters'!$R5)/(1-'Calculations - Parameters'!$O$3))*'Plan - CoC'!N12,IF('Calculation - NCL and ECL'!P$2="SL31",((1-'Calculations - Parameters'!$AY5)/(1-'Calculations - Parameters'!$O$3))*'Plan - CoC'!N12,IF('Calculation - NCL and ECL'!P$2="SL32",((1-'Calculations - Parameters'!$AZ5)/(1-'Calculations - Parameters'!$O$3))*'Plan - CoC'!N12))))</f>
        <v>0</v>
      </c>
      <c r="Q30" s="50">
        <f>IF(Q$2="SL1",((1-'Calculations - Parameters'!$Q5)/(1-'Calculations - Parameters'!$O$3))*'Plan - CoC'!O12,IF('Calculation - NCL and ECL'!Q$2="SL2",((1-'Calculations - Parameters'!$R5)/(1-'Calculations - Parameters'!$O$3))*'Plan - CoC'!O12,IF('Calculation - NCL and ECL'!Q$2="SL31",((1-'Calculations - Parameters'!$AY5)/(1-'Calculations - Parameters'!$O$3))*'Plan - CoC'!O12,IF('Calculation - NCL and ECL'!Q$2="SL32",((1-'Calculations - Parameters'!$AZ5)/(1-'Calculations - Parameters'!$O$3))*'Plan - CoC'!O12))))</f>
        <v>0</v>
      </c>
      <c r="R30" s="50">
        <f>IF(R$2="SL1",((1-'Calculations - Parameters'!$Q5)/(1-'Calculations - Parameters'!$O$3))*'Plan - CoC'!P12,IF('Calculation - NCL and ECL'!R$2="SL2",((1-'Calculations - Parameters'!$R5)/(1-'Calculations - Parameters'!$O$3))*'Plan - CoC'!P12,IF('Calculation - NCL and ECL'!R$2="SL31",((1-'Calculations - Parameters'!$AY5)/(1-'Calculations - Parameters'!$O$3))*'Plan - CoC'!P12,IF('Calculation - NCL and ECL'!R$2="SL32",((1-'Calculations - Parameters'!$AZ5)/(1-'Calculations - Parameters'!$O$3))*'Plan - CoC'!P12))))</f>
        <v>0</v>
      </c>
      <c r="S30" s="50">
        <f>IF(S$2="SL1",((1-'Calculations - Parameters'!$Q5)/(1-'Calculations - Parameters'!$O$3))*'Plan - CoC'!Q12,IF('Calculation - NCL and ECL'!S$2="SL2",((1-'Calculations - Parameters'!$R5)/(1-'Calculations - Parameters'!$O$3))*'Plan - CoC'!Q12,IF('Calculation - NCL and ECL'!S$2="SL31",((1-'Calculations - Parameters'!$AY5)/(1-'Calculations - Parameters'!$O$3))*'Plan - CoC'!Q12,IF('Calculation - NCL and ECL'!S$2="SL32",((1-'Calculations - Parameters'!$AZ5)/(1-'Calculations - Parameters'!$O$3))*'Plan - CoC'!Q12))))</f>
        <v>0</v>
      </c>
      <c r="T30" s="50">
        <f>IF(T$2="SL1",((1-'Calculations - Parameters'!$Q5)/(1-'Calculations - Parameters'!$O$3))*'Plan - CoC'!R12,IF('Calculation - NCL and ECL'!T$2="SL2",((1-'Calculations - Parameters'!$R5)/(1-'Calculations - Parameters'!$O$3))*'Plan - CoC'!R12,IF('Calculation - NCL and ECL'!T$2="SL31",((1-'Calculations - Parameters'!$AY5)/(1-'Calculations - Parameters'!$O$3))*'Plan - CoC'!R12,IF('Calculation - NCL and ECL'!T$2="SL32",((1-'Calculations - Parameters'!$AZ5)/(1-'Calculations - Parameters'!$O$3))*'Plan - CoC'!R12))))</f>
        <v>0</v>
      </c>
      <c r="U30" s="50">
        <f>IF(U$2="SL1",((1-'Calculations - Parameters'!$Q5)/(1-'Calculations - Parameters'!$O$3))*'Plan - CoC'!S12,IF('Calculation - NCL and ECL'!U$2="SL2",((1-'Calculations - Parameters'!$R5)/(1-'Calculations - Parameters'!$O$3))*'Plan - CoC'!S12,IF('Calculation - NCL and ECL'!U$2="SL31",((1-'Calculations - Parameters'!$AY5)/(1-'Calculations - Parameters'!$O$3))*'Plan - CoC'!S12,IF('Calculation - NCL and ECL'!U$2="SL32",((1-'Calculations - Parameters'!$AZ5)/(1-'Calculations - Parameters'!$O$3))*'Plan - CoC'!S12))))</f>
        <v>0</v>
      </c>
      <c r="V30" s="50">
        <f>IF(V$2="SL1",((1-'Calculations - Parameters'!$Q5)/(1-'Calculations - Parameters'!$O$3))*'Plan - CoC'!T12,IF('Calculation - NCL and ECL'!V$2="SL2",((1-'Calculations - Parameters'!$R5)/(1-'Calculations - Parameters'!$O$3))*'Plan - CoC'!T12,IF('Calculation - NCL and ECL'!V$2="SL31",((1-'Calculations - Parameters'!$AY5)/(1-'Calculations - Parameters'!$O$3))*'Plan - CoC'!T12,IF('Calculation - NCL and ECL'!V$2="SL32",((1-'Calculations - Parameters'!$AZ5)/(1-'Calculations - Parameters'!$O$3))*'Plan - CoC'!T12))))</f>
        <v>0</v>
      </c>
      <c r="W30" s="50">
        <f>IF(W$2="SL1",((1-'Calculations - Parameters'!$Q5)/(1-'Calculations - Parameters'!$O$3))*'Plan - CoC'!U12,IF('Calculation - NCL and ECL'!W$2="SL2",((1-'Calculations - Parameters'!$R5)/(1-'Calculations - Parameters'!$O$3))*'Plan - CoC'!U12,IF('Calculation - NCL and ECL'!W$2="SL31",((1-'Calculations - Parameters'!$AY5)/(1-'Calculations - Parameters'!$O$3))*'Plan - CoC'!U12,IF('Calculation - NCL and ECL'!W$2="SL32",((1-'Calculations - Parameters'!$AZ5)/(1-'Calculations - Parameters'!$O$3))*'Plan - CoC'!U12))))</f>
        <v>0</v>
      </c>
      <c r="X30" s="50">
        <f>IF(X$2="SL1",((1-'Calculations - Parameters'!$Q5)/(1-'Calculations - Parameters'!$O$3))*'Plan - CoC'!V12,IF('Calculation - NCL and ECL'!X$2="SL2",((1-'Calculations - Parameters'!$R5)/(1-'Calculations - Parameters'!$O$3))*'Plan - CoC'!V12,IF('Calculation - NCL and ECL'!X$2="SL31",((1-'Calculations - Parameters'!$AY5)/(1-'Calculations - Parameters'!$O$3))*'Plan - CoC'!V12,IF('Calculation - NCL and ECL'!X$2="SL32",((1-'Calculations - Parameters'!$AZ5)/(1-'Calculations - Parameters'!$O$3))*'Plan - CoC'!V12))))</f>
        <v>0</v>
      </c>
      <c r="Y30" s="50">
        <f>IF(Y$2="SL1",((1-'Calculations - Parameters'!$Q5)/(1-'Calculations - Parameters'!$O$3))*'Plan - CoC'!W12,IF('Calculation - NCL and ECL'!Y$2="SL2",((1-'Calculations - Parameters'!$R5)/(1-'Calculations - Parameters'!$O$3))*'Plan - CoC'!W12,IF('Calculation - NCL and ECL'!Y$2="SL31",((1-'Calculations - Parameters'!$AY5)/(1-'Calculations - Parameters'!$O$3))*'Plan - CoC'!W12,IF('Calculation - NCL and ECL'!Y$2="SL32",((1-'Calculations - Parameters'!$AZ5)/(1-'Calculations - Parameters'!$O$3))*'Plan - CoC'!W12))))</f>
        <v>0</v>
      </c>
      <c r="Z30" s="50">
        <f>IF(Z$2="SL1",((1-'Calculations - Parameters'!$Q5)/(1-'Calculations - Parameters'!$O$3))*'Plan - CoC'!X12,IF('Calculation - NCL and ECL'!Z$2="SL2",((1-'Calculations - Parameters'!$R5)/(1-'Calculations - Parameters'!$O$3))*'Plan - CoC'!X12,IF('Calculation - NCL and ECL'!Z$2="SL31",((1-'Calculations - Parameters'!$AY5)/(1-'Calculations - Parameters'!$O$3))*'Plan - CoC'!X12,IF('Calculation - NCL and ECL'!Z$2="SL32",((1-'Calculations - Parameters'!$AZ5)/(1-'Calculations - Parameters'!$O$3))*'Plan - CoC'!X12))))</f>
        <v>0</v>
      </c>
      <c r="AA30" s="50">
        <f>IF(AA$2="SL1",((1-'Calculations - Parameters'!$Q5)/(1-'Calculations - Parameters'!$O$3))*'Plan - CoC'!Y12,IF('Calculation - NCL and ECL'!AA$2="SL2",((1-'Calculations - Parameters'!$R5)/(1-'Calculations - Parameters'!$O$3))*'Plan - CoC'!Y12,IF('Calculation - NCL and ECL'!AA$2="SL31",((1-'Calculations - Parameters'!$AY5)/(1-'Calculations - Parameters'!$O$3))*'Plan - CoC'!Y12,IF('Calculation - NCL and ECL'!AA$2="SL32",((1-'Calculations - Parameters'!$AZ5)/(1-'Calculations - Parameters'!$O$3))*'Plan - CoC'!Y12))))</f>
        <v>0</v>
      </c>
      <c r="AB30" s="50">
        <f>IF(AB$2="SL1",((1-'Calculations - Parameters'!$Q5)/(1-'Calculations - Parameters'!$O$3))*'Plan - CoC'!Z12,IF('Calculation - NCL and ECL'!AB$2="SL2",((1-'Calculations - Parameters'!$R5)/(1-'Calculations - Parameters'!$O$3))*'Plan - CoC'!Z12,IF('Calculation - NCL and ECL'!AB$2="SL31",((1-'Calculations - Parameters'!$AY5)/(1-'Calculations - Parameters'!$O$3))*'Plan - CoC'!Z12,IF('Calculation - NCL and ECL'!AB$2="SL32",((1-'Calculations - Parameters'!$AZ5)/(1-'Calculations - Parameters'!$O$3))*'Plan - CoC'!Z12))))</f>
        <v>0</v>
      </c>
      <c r="AC30" s="50">
        <f>IF(AC$2="SL1",((1-'Calculations - Parameters'!$Q5)/(1-'Calculations - Parameters'!$O$3))*'Plan - CoC'!AA12,IF('Calculation - NCL and ECL'!AC$2="SL2",((1-'Calculations - Parameters'!$R5)/(1-'Calculations - Parameters'!$O$3))*'Plan - CoC'!AA12,IF('Calculation - NCL and ECL'!AC$2="SL31",((1-'Calculations - Parameters'!$AY5)/(1-'Calculations - Parameters'!$O$3))*'Plan - CoC'!AA12,IF('Calculation - NCL and ECL'!AC$2="SL32",((1-'Calculations - Parameters'!$AZ5)/(1-'Calculations - Parameters'!$O$3))*'Plan - CoC'!AA12))))</f>
        <v>0</v>
      </c>
      <c r="AD30" s="50">
        <f>IF(AD$2="SL1",((1-'Calculations - Parameters'!$Q5)/(1-'Calculations - Parameters'!$O$3))*'Plan - CoC'!AB12,IF('Calculation - NCL and ECL'!AD$2="SL2",((1-'Calculations - Parameters'!$R5)/(1-'Calculations - Parameters'!$O$3))*'Plan - CoC'!AB12,IF('Calculation - NCL and ECL'!AD$2="SL31",((1-'Calculations - Parameters'!$AY5)/(1-'Calculations - Parameters'!$O$3))*'Plan - CoC'!AB12,IF('Calculation - NCL and ECL'!AD$2="SL32",((1-'Calculations - Parameters'!$AZ5)/(1-'Calculations - Parameters'!$O$3))*'Plan - CoC'!AB12))))</f>
        <v>0</v>
      </c>
      <c r="AE30" s="50">
        <f>IF(AE$2="SL1",((1-'Calculations - Parameters'!$Q5)/(1-'Calculations - Parameters'!$O$3))*'Plan - CoC'!AC12,IF('Calculation - NCL and ECL'!AE$2="SL2",((1-'Calculations - Parameters'!$R5)/(1-'Calculations - Parameters'!$O$3))*'Plan - CoC'!AC12,IF('Calculation - NCL and ECL'!AE$2="SL31",((1-'Calculations - Parameters'!$AY5)/(1-'Calculations - Parameters'!$O$3))*'Plan - CoC'!AC12,IF('Calculation - NCL and ECL'!AE$2="SL32",((1-'Calculations - Parameters'!$AZ5)/(1-'Calculations - Parameters'!$O$3))*'Plan - CoC'!AC12))))</f>
        <v>0</v>
      </c>
      <c r="AF30" s="50">
        <f>IF(AF$2="SL1",((1-'Calculations - Parameters'!$Q5)/(1-'Calculations - Parameters'!$O$3))*'Plan - CoC'!AD12,IF('Calculation - NCL and ECL'!AF$2="SL2",((1-'Calculations - Parameters'!$R5)/(1-'Calculations - Parameters'!$O$3))*'Plan - CoC'!AD12,IF('Calculation - NCL and ECL'!AF$2="SL31",((1-'Calculations - Parameters'!$AY5)/(1-'Calculations - Parameters'!$O$3))*'Plan - CoC'!AD12,IF('Calculation - NCL and ECL'!AF$2="SL32",((1-'Calculations - Parameters'!$AZ5)/(1-'Calculations - Parameters'!$O$3))*'Plan - CoC'!AD12))))</f>
        <v>0</v>
      </c>
      <c r="AG30" s="50">
        <f>IF(AG$2="SL1",((1-'Calculations - Parameters'!$Q5)/(1-'Calculations - Parameters'!$O$3))*'Plan - CoC'!AE12,IF('Calculation - NCL and ECL'!AG$2="SL2",((1-'Calculations - Parameters'!$R5)/(1-'Calculations - Parameters'!$O$3))*'Plan - CoC'!AE12,IF('Calculation - NCL and ECL'!AG$2="SL31",((1-'Calculations - Parameters'!$AY5)/(1-'Calculations - Parameters'!$O$3))*'Plan - CoC'!AE12,IF('Calculation - NCL and ECL'!AG$2="SL32",((1-'Calculations - Parameters'!$AZ5)/(1-'Calculations - Parameters'!$O$3))*'Plan - CoC'!AE12))))</f>
        <v>0</v>
      </c>
      <c r="AH30" s="50">
        <f>IF(AH$2="SL1",((1-'Calculations - Parameters'!$Q5)/(1-'Calculations - Parameters'!$O$3))*'Plan - CoC'!AF12,IF('Calculation - NCL and ECL'!AH$2="SL2",((1-'Calculations - Parameters'!$R5)/(1-'Calculations - Parameters'!$O$3))*'Plan - CoC'!AF12,IF('Calculation - NCL and ECL'!AH$2="SL31",((1-'Calculations - Parameters'!$AY5)/(1-'Calculations - Parameters'!$O$3))*'Plan - CoC'!AF12,IF('Calculation - NCL and ECL'!AH$2="SL32",((1-'Calculations - Parameters'!$AZ5)/(1-'Calculations - Parameters'!$O$3))*'Plan - CoC'!AF12))))</f>
        <v>0</v>
      </c>
      <c r="AI30" s="50">
        <f>IF(AI$2="SL1",((1-'Calculations - Parameters'!$Q5)/(1-'Calculations - Parameters'!$O$3))*'Plan - CoC'!AG12,IF('Calculation - NCL and ECL'!AI$2="SL2",((1-'Calculations - Parameters'!$R5)/(1-'Calculations - Parameters'!$O$3))*'Plan - CoC'!AG12,IF('Calculation - NCL and ECL'!AI$2="SL31",((1-'Calculations - Parameters'!$AY5)/(1-'Calculations - Parameters'!$O$3))*'Plan - CoC'!AG12,IF('Calculation - NCL and ECL'!AI$2="SL32",((1-'Calculations - Parameters'!$AZ5)/(1-'Calculations - Parameters'!$O$3))*'Plan - CoC'!AG12))))</f>
        <v>0</v>
      </c>
      <c r="AJ30" s="50">
        <f>'Plan - CoC'!AH12</f>
        <v>0</v>
      </c>
      <c r="AK30" s="50">
        <f>'Plan - CoC'!AI12</f>
        <v>0</v>
      </c>
      <c r="AL30" s="50">
        <f>'Plan - CoC'!AJ12</f>
        <v>0</v>
      </c>
      <c r="AM30" s="50">
        <f>'Plan - CoC'!AK12</f>
        <v>0</v>
      </c>
      <c r="AN30" s="50">
        <f>'Plan - CoC'!AL12</f>
        <v>0</v>
      </c>
      <c r="AO30" s="51">
        <f>'Plan - CoC'!AM12</f>
        <v>0</v>
      </c>
    </row>
    <row r="31" spans="2:41" x14ac:dyDescent="0.35">
      <c r="B31" s="1" t="s">
        <v>177</v>
      </c>
      <c r="C31" s="1" t="s">
        <v>157</v>
      </c>
      <c r="D31" s="1" t="s">
        <v>17</v>
      </c>
      <c r="E31" s="46">
        <f>'Input - GNPA'!C22+'Input - GNPA'!C16*0.053</f>
        <v>746.90543778915321</v>
      </c>
      <c r="F31" s="44">
        <f>'Input - GNPA'!D22+'Input - GNPA'!D16*0.053</f>
        <v>771.09124991566205</v>
      </c>
      <c r="G31" s="44">
        <f>'Input - GNPA'!E22+'Input - GNPA'!E16*0.053</f>
        <v>793.45981981196019</v>
      </c>
      <c r="H31" s="44">
        <f>'Input - GNPA'!F22+'Input - GNPA'!F16*0.053</f>
        <v>816.53112864402704</v>
      </c>
      <c r="I31" s="44">
        <f>'Input - GNPA'!G22+'Input - GNPA'!G16*0.053</f>
        <v>845.909744492448</v>
      </c>
      <c r="J31" s="44">
        <f>'Input - GNPA'!H22+'Input - GNPA'!H16*0.053</f>
        <v>873.42138710199879</v>
      </c>
      <c r="K31" s="44">
        <f>'Input - GNPA'!I22+'Input - GNPA'!I16*0.053</f>
        <v>903.12383027552255</v>
      </c>
      <c r="L31" s="44">
        <f>'Input - GNPA'!J22+'Input - GNPA'!J16*0.053</f>
        <v>872.72339521057779</v>
      </c>
      <c r="M31" s="44">
        <f>'Input - GNPA'!K22+'Input - GNPA'!K16*0.053</f>
        <v>909.58479366612949</v>
      </c>
      <c r="N31" s="44">
        <f>'Input - GNPA'!L22+'Input - GNPA'!L16*0.053</f>
        <v>948.73802830449154</v>
      </c>
      <c r="O31" s="44">
        <f>'Input - GNPA'!M22+'Input - GNPA'!M16*0.053</f>
        <v>989.45056677488162</v>
      </c>
      <c r="P31" s="44">
        <f>'Input - GNPA'!N22+'Input - GNPA'!N16*0.053</f>
        <v>1028.472551402949</v>
      </c>
      <c r="Q31" s="44">
        <f>'Input - GNPA'!O22+'Input - GNPA'!O16*0.053</f>
        <v>1052.8563519887834</v>
      </c>
      <c r="R31" s="44">
        <f>'Input - GNPA'!P22+'Input - GNPA'!P16*0.053</f>
        <v>1102.0772620453695</v>
      </c>
      <c r="S31" s="44">
        <f>'Input - GNPA'!Q22+'Input - GNPA'!Q16*0.053</f>
        <v>1127.1712176040612</v>
      </c>
      <c r="T31" s="44">
        <f>'Input - GNPA'!R22+'Input - GNPA'!R16*0.053</f>
        <v>1154.4382112117587</v>
      </c>
      <c r="U31" s="44">
        <f>'Input - GNPA'!S22+'Input - GNPA'!S16*0.053</f>
        <v>1197.0013287343245</v>
      </c>
      <c r="V31" s="44">
        <f>'Input - GNPA'!T22+'Input - GNPA'!T16*0.053</f>
        <v>1232.6359400638332</v>
      </c>
      <c r="W31" s="44">
        <f>'Input - GNPA'!U22+'Input - GNPA'!U16*0.053</f>
        <v>1265.6534145144151</v>
      </c>
      <c r="X31" s="44">
        <f>'Input - GNPA'!V22+'Input - GNPA'!V16*0.053</f>
        <v>1250.7728200578065</v>
      </c>
      <c r="Y31" s="44">
        <f>'Input - GNPA'!W22+'Input - GNPA'!W16*0.053</f>
        <v>1240.9562519743445</v>
      </c>
      <c r="Z31" s="44">
        <f>'Input - GNPA'!X22+'Input - GNPA'!X16*0.053</f>
        <v>1236.6424807988833</v>
      </c>
      <c r="AA31" s="44">
        <f>'Input - GNPA'!Y22+'Input - GNPA'!Y16*0.053</f>
        <v>1237.4046755477639</v>
      </c>
      <c r="AB31" s="44">
        <f>'Input - GNPA'!Z22+'Input - GNPA'!Z16*0.053</f>
        <v>1238.2935361446885</v>
      </c>
      <c r="AC31" s="44">
        <f>'Input - GNPA'!AA22+'Input - GNPA'!AA16*0.053</f>
        <v>1241.4838307525786</v>
      </c>
      <c r="AD31" s="44">
        <f>'Input - GNPA'!AB22+'Input - GNPA'!AB16*0.053</f>
        <v>1241.6644019464809</v>
      </c>
      <c r="AE31" s="44">
        <f>'Input - GNPA'!AC22+'Input - GNPA'!AC16*0.053</f>
        <v>1233.0080073749762</v>
      </c>
      <c r="AF31" s="44">
        <f>'Input - GNPA'!AD22+'Input - GNPA'!AD16*0.053</f>
        <v>1213.2785207429022</v>
      </c>
      <c r="AG31" s="44">
        <f>'Input - GNPA'!AE22+'Input - GNPA'!AE16*0.053</f>
        <v>1208.3334059481112</v>
      </c>
      <c r="AH31" s="44">
        <f>'Input - GNPA'!AF22+'Input - GNPA'!AF16*0.053</f>
        <v>1209.1135117782267</v>
      </c>
      <c r="AI31" s="44">
        <f>'Input - GNPA'!AG22+'Input - GNPA'!AG16*0.053</f>
        <v>1218.6883372079412</v>
      </c>
      <c r="AJ31" s="44">
        <f>'Input - GNPA'!AH22+'Input - GNPA'!AH16*0.053</f>
        <v>1235.2516463800519</v>
      </c>
      <c r="AK31" s="44">
        <f>'Input - GNPA'!AI22+'Input - GNPA'!AI16*0.053</f>
        <v>1256.7508789387666</v>
      </c>
      <c r="AL31" s="44">
        <f>'Input - GNPA'!AJ22+'Input - GNPA'!AJ16*0.053</f>
        <v>1279.7203144769815</v>
      </c>
      <c r="AM31" s="44">
        <f>'Input - GNPA'!AK22+'Input - GNPA'!AK16*0.053</f>
        <v>1302.3926176711718</v>
      </c>
      <c r="AN31" s="44">
        <f>'Input - GNPA'!AL22+'Input - GNPA'!AL16*0.053</f>
        <v>1318.336912842228</v>
      </c>
      <c r="AO31" s="45">
        <f>'Input - GNPA'!AM22+'Input - GNPA'!AM16*0.053</f>
        <v>1330.8913501246871</v>
      </c>
    </row>
    <row r="32" spans="2:41" x14ac:dyDescent="0.35">
      <c r="B32" s="2" t="s">
        <v>177</v>
      </c>
      <c r="C32" s="2" t="s">
        <v>158</v>
      </c>
      <c r="D32" s="2" t="s">
        <v>17</v>
      </c>
      <c r="E32" s="46">
        <f>'Input - GNPA'!C23+'Input - GNPA'!C17*0.053</f>
        <v>546.61516386774986</v>
      </c>
      <c r="F32" s="47">
        <f>'Input - GNPA'!D23+'Input - GNPA'!D17*0.053</f>
        <v>602.6039786820013</v>
      </c>
      <c r="G32" s="47">
        <f>'Input - GNPA'!E23+'Input - GNPA'!E17*0.053</f>
        <v>650.98539365684735</v>
      </c>
      <c r="H32" s="47">
        <f>'Input - GNPA'!F23+'Input - GNPA'!F17*0.053</f>
        <v>697.3630019556598</v>
      </c>
      <c r="I32" s="47">
        <f>'Input - GNPA'!G23+'Input - GNPA'!G17*0.053</f>
        <v>746.8556311554546</v>
      </c>
      <c r="J32" s="47">
        <f>'Input - GNPA'!H23+'Input - GNPA'!H17*0.053</f>
        <v>796.01060731091764</v>
      </c>
      <c r="K32" s="47">
        <f>'Input - GNPA'!I23+'Input - GNPA'!I17*0.053</f>
        <v>770.94250362553817</v>
      </c>
      <c r="L32" s="47">
        <f>'Input - GNPA'!J23+'Input - GNPA'!J17*0.053</f>
        <v>779.82529788045485</v>
      </c>
      <c r="M32" s="47">
        <f>'Input - GNPA'!K23+'Input - GNPA'!K17*0.053</f>
        <v>832.60920476397723</v>
      </c>
      <c r="N32" s="47">
        <f>'Input - GNPA'!L23+'Input - GNPA'!L17*0.053</f>
        <v>771.52598496260873</v>
      </c>
      <c r="O32" s="47">
        <f>'Input - GNPA'!M23+'Input - GNPA'!M17*0.053</f>
        <v>832.59191158239491</v>
      </c>
      <c r="P32" s="47">
        <f>'Input - GNPA'!N23+'Input - GNPA'!N17*0.053</f>
        <v>758.46846255700007</v>
      </c>
      <c r="Q32" s="47">
        <f>'Input - GNPA'!O23+'Input - GNPA'!O17*0.053</f>
        <v>802.89141892589873</v>
      </c>
      <c r="R32" s="47">
        <f>'Input - GNPA'!P23+'Input - GNPA'!P17*0.053</f>
        <v>853.60888108725021</v>
      </c>
      <c r="S32" s="47">
        <f>'Input - GNPA'!Q23+'Input - GNPA'!Q17*0.053</f>
        <v>904.12384416717737</v>
      </c>
      <c r="T32" s="47">
        <f>'Input - GNPA'!R23+'Input - GNPA'!R17*0.053</f>
        <v>955.0285934652062</v>
      </c>
      <c r="U32" s="47">
        <f>'Input - GNPA'!S23+'Input - GNPA'!S17*0.053</f>
        <v>1012.9448228632657</v>
      </c>
      <c r="V32" s="47">
        <f>'Input - GNPA'!T23+'Input - GNPA'!T17*0.053</f>
        <v>1072.5074743380683</v>
      </c>
      <c r="W32" s="47">
        <f>'Input - GNPA'!U23+'Input - GNPA'!U17*0.053</f>
        <v>1136.3046059688304</v>
      </c>
      <c r="X32" s="47">
        <f>'Input - GNPA'!V23+'Input - GNPA'!V17*0.053</f>
        <v>1127.0926558428132</v>
      </c>
      <c r="Y32" s="47">
        <f>'Input - GNPA'!W23+'Input - GNPA'!W17*0.053</f>
        <v>1124.199482668284</v>
      </c>
      <c r="Z32" s="47">
        <f>'Input - GNPA'!X23+'Input - GNPA'!X17*0.053</f>
        <v>975.60787939497698</v>
      </c>
      <c r="AA32" s="47">
        <f>'Input - GNPA'!Y23+'Input - GNPA'!Y17*0.053</f>
        <v>989.92346973186852</v>
      </c>
      <c r="AB32" s="47">
        <f>'Input - GNPA'!Z23+'Input - GNPA'!Z17*0.053</f>
        <v>860.13747927781606</v>
      </c>
      <c r="AC32" s="47">
        <f>'Input - GNPA'!AA23+'Input - GNPA'!AA17*0.053</f>
        <v>884.10944660172356</v>
      </c>
      <c r="AD32" s="47">
        <f>'Input - GNPA'!AB23+'Input - GNPA'!AB17*0.053</f>
        <v>867.44653162352313</v>
      </c>
      <c r="AE32" s="47">
        <f>'Input - GNPA'!AC23+'Input - GNPA'!AC17*0.053</f>
        <v>860.81335549640914</v>
      </c>
      <c r="AF32" s="47">
        <f>'Input - GNPA'!AD23+'Input - GNPA'!AD17*0.053</f>
        <v>857.96197467553577</v>
      </c>
      <c r="AG32" s="47">
        <f>'Input - GNPA'!AE23+'Input - GNPA'!AE17*0.053</f>
        <v>864.42372471474755</v>
      </c>
      <c r="AH32" s="47">
        <f>'Input - GNPA'!AF23+'Input - GNPA'!AF17*0.053</f>
        <v>875.71032560176843</v>
      </c>
      <c r="AI32" s="47">
        <f>'Input - GNPA'!AG23+'Input - GNPA'!AG17*0.053</f>
        <v>856.59132563069568</v>
      </c>
      <c r="AJ32" s="47">
        <f>'Input - GNPA'!AH23+'Input - GNPA'!AH17*0.053</f>
        <v>875.175204545111</v>
      </c>
      <c r="AK32" s="47">
        <f>'Input - GNPA'!AI23+'Input - GNPA'!AI17*0.053</f>
        <v>894.17982732799885</v>
      </c>
      <c r="AL32" s="47">
        <f>'Input - GNPA'!AJ23+'Input - GNPA'!AJ17*0.053</f>
        <v>821.0529031603304</v>
      </c>
      <c r="AM32" s="47">
        <f>'Input - GNPA'!AK23+'Input - GNPA'!AK17*0.053</f>
        <v>839.93015930582385</v>
      </c>
      <c r="AN32" s="47">
        <f>'Input - GNPA'!AL23+'Input - GNPA'!AL17*0.053</f>
        <v>767.39556035768908</v>
      </c>
      <c r="AO32" s="48">
        <f>'Input - GNPA'!AM23+'Input - GNPA'!AM17*0.053</f>
        <v>777.36047216497411</v>
      </c>
    </row>
    <row r="33" spans="2:41" x14ac:dyDescent="0.35">
      <c r="B33" s="3" t="s">
        <v>177</v>
      </c>
      <c r="C33" s="3" t="s">
        <v>159</v>
      </c>
      <c r="D33" s="3" t="s">
        <v>17</v>
      </c>
      <c r="E33" s="49">
        <f>'Input - GNPA'!C24+'Input - GNPA'!C18*0.053</f>
        <v>0</v>
      </c>
      <c r="F33" s="50">
        <f>'Input - GNPA'!D24+'Input - GNPA'!D18*0.053</f>
        <v>9.1282293490051885</v>
      </c>
      <c r="G33" s="50">
        <f>'Input - GNPA'!E24+'Input - GNPA'!E18*0.053</f>
        <v>8.7953381263091792</v>
      </c>
      <c r="H33" s="50">
        <f>'Input - GNPA'!F24+'Input - GNPA'!F18*0.053</f>
        <v>8.4366006048767819</v>
      </c>
      <c r="I33" s="50">
        <f>'Input - GNPA'!G24+'Input - GNPA'!G18*0.053</f>
        <v>8.042996750086072</v>
      </c>
      <c r="J33" s="50">
        <f>'Input - GNPA'!H24+'Input - GNPA'!H18*0.053</f>
        <v>7.6239753215591612</v>
      </c>
      <c r="K33" s="50">
        <f>'Input - GNPA'!I24+'Input - GNPA'!I18*0.053</f>
        <v>7.2077783069185415</v>
      </c>
      <c r="L33" s="50">
        <f>'Input - GNPA'!J24+'Input - GNPA'!J18*0.053</f>
        <v>6.7852090875370656</v>
      </c>
      <c r="M33" s="50">
        <f>'Input - GNPA'!K24+'Input - GNPA'!K18*0.053</f>
        <v>6.3862169273899259</v>
      </c>
      <c r="N33" s="50">
        <f>'Input - GNPA'!L24+'Input - GNPA'!L18*0.053</f>
        <v>6.0076178065079997</v>
      </c>
      <c r="O33" s="50">
        <f>'Input - GNPA'!M24+'Input - GNPA'!M18*0.053</f>
        <v>5.6306632189628569</v>
      </c>
      <c r="P33" s="50">
        <f>'Input - GNPA'!N24+'Input - GNPA'!N18*0.053</f>
        <v>5.2793310394144903</v>
      </c>
      <c r="Q33" s="50">
        <f>'Input - GNPA'!O24+'Input - GNPA'!O18*0.053</f>
        <v>4.8894965880969572</v>
      </c>
      <c r="R33" s="50">
        <f>'Input - GNPA'!P24+'Input - GNPA'!P18*0.053</f>
        <v>4.7224492919002934</v>
      </c>
      <c r="S33" s="50">
        <f>'Input - GNPA'!Q24+'Input - GNPA'!Q18*0.053</f>
        <v>4.5374330316738378</v>
      </c>
      <c r="T33" s="50">
        <f>'Input - GNPA'!R24+'Input - GNPA'!R18*0.053</f>
        <v>4.336994353776527</v>
      </c>
      <c r="U33" s="50">
        <f>'Input - GNPA'!S24+'Input - GNPA'!S18*0.053</f>
        <v>4.1157853285457211</v>
      </c>
      <c r="V33" s="50">
        <f>'Input - GNPA'!T24+'Input - GNPA'!T18*0.053</f>
        <v>3.8824758634988825</v>
      </c>
      <c r="W33" s="50">
        <f>'Input - GNPA'!U24+'Input - GNPA'!U18*0.053</f>
        <v>3.6495513674538307</v>
      </c>
      <c r="X33" s="50">
        <f>'Input - GNPA'!V24+'Input - GNPA'!V18*0.053</f>
        <v>3.4592604466833214</v>
      </c>
      <c r="Y33" s="50">
        <f>'Input - GNPA'!W24+'Input - GNPA'!W18*0.053</f>
        <v>3.3205289449461208</v>
      </c>
      <c r="Z33" s="50">
        <f>'Input - GNPA'!X24+'Input - GNPA'!X18*0.053</f>
        <v>3.2213355634920542</v>
      </c>
      <c r="AA33" s="50">
        <f>'Input - GNPA'!Y24+'Input - GNPA'!Y18*0.053</f>
        <v>3.1614218770996594</v>
      </c>
      <c r="AB33" s="50">
        <f>'Input - GNPA'!Z24+'Input - GNPA'!Z18*0.053</f>
        <v>3.1401199947643224</v>
      </c>
      <c r="AC33" s="50">
        <f>'Input - GNPA'!AA24+'Input - GNPA'!AA18*0.053</f>
        <v>3.1564210076270349</v>
      </c>
      <c r="AD33" s="50">
        <f>'Input - GNPA'!AB24+'Input - GNPA'!AB18*0.053</f>
        <v>3.1978494966473825</v>
      </c>
      <c r="AE33" s="50">
        <f>'Input - GNPA'!AC24+'Input - GNPA'!AC18*0.053</f>
        <v>3.2581056657756711</v>
      </c>
      <c r="AF33" s="50">
        <f>'Input - GNPA'!AD24+'Input - GNPA'!AD18*0.053</f>
        <v>3.3514322751731651</v>
      </c>
      <c r="AG33" s="50">
        <f>'Input - GNPA'!AE24+'Input - GNPA'!AE18*0.053</f>
        <v>3.4850398035082537</v>
      </c>
      <c r="AH33" s="50">
        <f>'Input - GNPA'!AF24+'Input - GNPA'!AF18*0.053</f>
        <v>3.6608042101729232</v>
      </c>
      <c r="AI33" s="50">
        <f>'Input - GNPA'!AG24+'Input - GNPA'!AG18*0.053</f>
        <v>3.883033248929892</v>
      </c>
      <c r="AJ33" s="50">
        <f>'Input - GNPA'!AH24+'Input - GNPA'!AH18*0.053</f>
        <v>4.3215451475408679</v>
      </c>
      <c r="AK33" s="50">
        <f>'Input - GNPA'!AI24+'Input - GNPA'!AI18*0.053</f>
        <v>4.7159628353826895</v>
      </c>
      <c r="AL33" s="50">
        <f>'Input - GNPA'!AJ24+'Input - GNPA'!AJ18*0.053</f>
        <v>5.0922262854519156</v>
      </c>
      <c r="AM33" s="50">
        <f>'Input - GNPA'!AK24+'Input - GNPA'!AK18*0.053</f>
        <v>5.4476211179538607</v>
      </c>
      <c r="AN33" s="50">
        <f>'Input - GNPA'!AL24+'Input - GNPA'!AL18*0.053</f>
        <v>5.7724301725686766</v>
      </c>
      <c r="AO33" s="51">
        <f>'Input - GNPA'!AM24+'Input - GNPA'!AM18*0.053</f>
        <v>6.1248965881387027</v>
      </c>
    </row>
    <row r="34" spans="2:41" x14ac:dyDescent="0.35">
      <c r="B34" s="1" t="s">
        <v>178</v>
      </c>
      <c r="C34" s="1" t="s">
        <v>157</v>
      </c>
      <c r="D34" s="1" t="s">
        <v>17</v>
      </c>
      <c r="E34" s="129">
        <f>'Input - GNPA'!C34</f>
        <v>1.4600840773242467E-2</v>
      </c>
      <c r="F34" s="130">
        <f>'Input - GNPA'!D34</f>
        <v>1.4818427631598356E-2</v>
      </c>
      <c r="G34" s="130">
        <f>'Input - GNPA'!E34</f>
        <v>1.4986237576865602E-2</v>
      </c>
      <c r="H34" s="130">
        <f>'Input - GNPA'!F34</f>
        <v>1.5149235392574208E-2</v>
      </c>
      <c r="I34" s="130">
        <f>'Input - GNPA'!G34</f>
        <v>1.5414876081064672E-2</v>
      </c>
      <c r="J34" s="130">
        <f>'Input - GNPA'!H34</f>
        <v>1.5617757690128029E-2</v>
      </c>
      <c r="K34" s="130">
        <f>'Input - GNPA'!I34</f>
        <v>1.5837006539055697E-2</v>
      </c>
      <c r="L34" s="130">
        <f>'Input - GNPA'!J34</f>
        <v>1.5122789387668775E-2</v>
      </c>
      <c r="M34" s="130">
        <f>'Input - GNPA'!K34</f>
        <v>1.551552622321147E-2</v>
      </c>
      <c r="N34" s="130">
        <f>'Input - GNPA'!L34</f>
        <v>1.5915947543528212E-2</v>
      </c>
      <c r="O34" s="130">
        <f>'Input - GNPA'!M34</f>
        <v>1.6354994153132348E-2</v>
      </c>
      <c r="P34" s="130">
        <f>'Input - GNPA'!N34</f>
        <v>1.6773115312134049E-2</v>
      </c>
      <c r="Q34" s="130">
        <f>'Input - GNPA'!O34</f>
        <v>1.6938401733481386E-2</v>
      </c>
      <c r="R34" s="130">
        <f>'Input - GNPA'!P34</f>
        <v>1.7764229395720119E-2</v>
      </c>
      <c r="S34" s="130">
        <f>'Input - GNPA'!Q34</f>
        <v>1.8181787766922041E-2</v>
      </c>
      <c r="T34" s="130">
        <f>'Input - GNPA'!R34</f>
        <v>1.8619997219744163E-2</v>
      </c>
      <c r="U34" s="130">
        <f>'Input - GNPA'!S34</f>
        <v>1.9313059760668695E-2</v>
      </c>
      <c r="V34" s="130">
        <f>'Input - GNPA'!T34</f>
        <v>1.9848775966044525E-2</v>
      </c>
      <c r="W34" s="130">
        <f>'Input - GNPA'!U34</f>
        <v>2.0317777415696365E-2</v>
      </c>
      <c r="X34" s="130">
        <f>'Input - GNPA'!V34</f>
        <v>1.9979378549709426E-2</v>
      </c>
      <c r="Y34" s="130">
        <f>'Input - GNPA'!W34</f>
        <v>1.9613576105990162E-2</v>
      </c>
      <c r="Z34" s="130">
        <f>'Input - GNPA'!X34</f>
        <v>1.9235399369096701E-2</v>
      </c>
      <c r="AA34" s="130">
        <f>'Input - GNPA'!Y34</f>
        <v>1.8878975910995448E-2</v>
      </c>
      <c r="AB34" s="130">
        <f>'Input - GNPA'!Z34</f>
        <v>1.8489121799833429E-2</v>
      </c>
      <c r="AC34" s="130">
        <f>'Input - GNPA'!AA34</f>
        <v>1.8054692427760904E-2</v>
      </c>
      <c r="AD34" s="130">
        <f>'Input - GNPA'!AB34</f>
        <v>1.7964163117292757E-2</v>
      </c>
      <c r="AE34" s="130">
        <f>'Input - GNPA'!AC34</f>
        <v>1.7355811863380269E-2</v>
      </c>
      <c r="AF34" s="130">
        <f>'Input - GNPA'!AD34</f>
        <v>1.6793246906830796E-2</v>
      </c>
      <c r="AG34" s="130">
        <f>'Input - GNPA'!AE34</f>
        <v>1.6368251300007165E-2</v>
      </c>
      <c r="AH34" s="130">
        <f>'Input - GNPA'!AF34</f>
        <v>1.5920750360597577E-2</v>
      </c>
      <c r="AI34" s="130">
        <f>'Input - GNPA'!AG34</f>
        <v>1.5485433149483538E-2</v>
      </c>
      <c r="AJ34" s="130">
        <f>'Input - GNPA'!AH34</f>
        <v>1.5118491770702716E-2</v>
      </c>
      <c r="AK34" s="130">
        <f>'Input - GNPA'!AI34</f>
        <v>1.4733294398810817E-2</v>
      </c>
      <c r="AL34" s="130">
        <f>'Input - GNPA'!AJ34</f>
        <v>1.4326184995635365E-2</v>
      </c>
      <c r="AM34" s="130">
        <f>'Input - GNPA'!AK34</f>
        <v>1.393757260023407E-2</v>
      </c>
      <c r="AN34" s="130">
        <f>'Input - GNPA'!AL34</f>
        <v>1.3520628921030594E-2</v>
      </c>
      <c r="AO34" s="131">
        <f>'Input - GNPA'!AM34</f>
        <v>1.3061285581986663E-2</v>
      </c>
    </row>
    <row r="35" spans="2:41" x14ac:dyDescent="0.35">
      <c r="B35" s="2" t="s">
        <v>178</v>
      </c>
      <c r="C35" s="2" t="s">
        <v>158</v>
      </c>
      <c r="D35" s="2" t="s">
        <v>17</v>
      </c>
      <c r="E35" s="132">
        <f>'Input - GNPA'!C35</f>
        <v>2.9102133321601057E-2</v>
      </c>
      <c r="F35" s="127">
        <f>'Input - GNPA'!D35</f>
        <v>3.0190597366683756E-2</v>
      </c>
      <c r="G35" s="127">
        <f>'Input - GNPA'!E35</f>
        <v>3.1681710597584824E-2</v>
      </c>
      <c r="H35" s="127">
        <f>'Input - GNPA'!F35</f>
        <v>3.2976459809285284E-2</v>
      </c>
      <c r="I35" s="127">
        <f>'Input - GNPA'!G35</f>
        <v>3.4348981539102957E-2</v>
      </c>
      <c r="J35" s="127">
        <f>'Input - GNPA'!H35</f>
        <v>3.5593392645018325E-2</v>
      </c>
      <c r="K35" s="127">
        <f>'Input - GNPA'!I35</f>
        <v>3.6600921405161108E-2</v>
      </c>
      <c r="L35" s="127">
        <f>'Input - GNPA'!J35</f>
        <v>3.6188120912975165E-2</v>
      </c>
      <c r="M35" s="127">
        <f>'Input - GNPA'!K35</f>
        <v>3.7647273960760216E-2</v>
      </c>
      <c r="N35" s="127">
        <f>'Input - GNPA'!L35</f>
        <v>3.9030137921427212E-2</v>
      </c>
      <c r="O35" s="127">
        <f>'Input - GNPA'!M35</f>
        <v>4.0919896258687236E-2</v>
      </c>
      <c r="P35" s="127">
        <f>'Input - GNPA'!N35</f>
        <v>4.2109670743251559E-2</v>
      </c>
      <c r="Q35" s="127">
        <f>'Input - GNPA'!O35</f>
        <v>4.303173758360241E-2</v>
      </c>
      <c r="R35" s="127">
        <f>'Input - GNPA'!P35</f>
        <v>4.5233923355968389E-2</v>
      </c>
      <c r="S35" s="127">
        <f>'Input - GNPA'!Q35</f>
        <v>4.7304928781520532E-2</v>
      </c>
      <c r="T35" s="127">
        <f>'Input - GNPA'!R35</f>
        <v>4.9351272266825438E-2</v>
      </c>
      <c r="U35" s="127">
        <f>'Input - GNPA'!S35</f>
        <v>5.1609093902981379E-2</v>
      </c>
      <c r="V35" s="127">
        <f>'Input - GNPA'!T35</f>
        <v>5.3833854113620079E-2</v>
      </c>
      <c r="W35" s="127">
        <f>'Input - GNPA'!U35</f>
        <v>5.6136324750654089E-2</v>
      </c>
      <c r="X35" s="127">
        <f>'Input - GNPA'!V35</f>
        <v>5.4661381137612257E-2</v>
      </c>
      <c r="Y35" s="127">
        <f>'Input - GNPA'!W35</f>
        <v>5.3117090039295822E-2</v>
      </c>
      <c r="Z35" s="127">
        <f>'Input - GNPA'!X35</f>
        <v>5.1511754767409212E-2</v>
      </c>
      <c r="AA35" s="127">
        <f>'Input - GNPA'!Y35</f>
        <v>5.001992907350826E-2</v>
      </c>
      <c r="AB35" s="127">
        <f>'Input - GNPA'!Z35</f>
        <v>4.8316963740247187E-2</v>
      </c>
      <c r="AC35" s="127">
        <f>'Input - GNPA'!AA35</f>
        <v>4.6676748287236357E-2</v>
      </c>
      <c r="AD35" s="127">
        <f>'Input - GNPA'!AB35</f>
        <v>4.4486650122360888E-2</v>
      </c>
      <c r="AE35" s="127">
        <f>'Input - GNPA'!AC35</f>
        <v>4.2544758220293799E-2</v>
      </c>
      <c r="AF35" s="127">
        <f>'Input - GNPA'!AD35</f>
        <v>4.0645343289897572E-2</v>
      </c>
      <c r="AG35" s="127">
        <f>'Input - GNPA'!AE35</f>
        <v>3.9017394717094193E-2</v>
      </c>
      <c r="AH35" s="127">
        <f>'Input - GNPA'!AF35</f>
        <v>3.7388230796589476E-2</v>
      </c>
      <c r="AI35" s="127">
        <f>'Input - GNPA'!AG35</f>
        <v>3.5730480536332349E-2</v>
      </c>
      <c r="AJ35" s="127">
        <f>'Input - GNPA'!AH35</f>
        <v>3.4143235805323559E-2</v>
      </c>
      <c r="AK35" s="127">
        <f>'Input - GNPA'!AI35</f>
        <v>3.247934312468953E-2</v>
      </c>
      <c r="AL35" s="127">
        <f>'Input - GNPA'!AJ35</f>
        <v>3.0754420309611605E-2</v>
      </c>
      <c r="AM35" s="127">
        <f>'Input - GNPA'!AK35</f>
        <v>2.9077910868880806E-2</v>
      </c>
      <c r="AN35" s="127">
        <f>'Input - GNPA'!AL35</f>
        <v>2.7284996724286827E-2</v>
      </c>
      <c r="AO35" s="133">
        <f>'Input - GNPA'!AM35</f>
        <v>2.5511848315601507E-2</v>
      </c>
    </row>
    <row r="36" spans="2:41" x14ac:dyDescent="0.35">
      <c r="B36" s="3" t="s">
        <v>178</v>
      </c>
      <c r="C36" s="3" t="s">
        <v>159</v>
      </c>
      <c r="D36" s="3" t="s">
        <v>17</v>
      </c>
      <c r="E36" s="128">
        <f>'Input - GNPA'!C36</f>
        <v>0</v>
      </c>
      <c r="F36" s="128">
        <f>'Input - GNPA'!D36</f>
        <v>1.2176981750107541E-3</v>
      </c>
      <c r="G36" s="128">
        <f>'Input - GNPA'!E36</f>
        <v>1.2148573473617095E-3</v>
      </c>
      <c r="H36" s="128">
        <f>'Input - GNPA'!F36</f>
        <v>1.2042320827807807E-3</v>
      </c>
      <c r="I36" s="128">
        <f>'Input - GNPA'!G36</f>
        <v>1.182872322658509E-3</v>
      </c>
      <c r="J36" s="128">
        <f>'Input - GNPA'!H36</f>
        <v>1.1525643024686656E-3</v>
      </c>
      <c r="K36" s="128">
        <f>'Input - GNPA'!I36</f>
        <v>1.1186940208208977E-3</v>
      </c>
      <c r="L36" s="128">
        <f>'Input - GNPA'!J36</f>
        <v>1.0823128873122822E-3</v>
      </c>
      <c r="M36" s="128">
        <f>'Input - GNPA'!K36</f>
        <v>1.0503480348453109E-3</v>
      </c>
      <c r="N36" s="128">
        <f>'Input - GNPA'!L36</f>
        <v>1.0164217145032135E-3</v>
      </c>
      <c r="O36" s="128">
        <f>'Input - GNPA'!M36</f>
        <v>9.8130914415235702E-4</v>
      </c>
      <c r="P36" s="128">
        <f>'Input - GNPA'!N36</f>
        <v>9.4811685455051405E-4</v>
      </c>
      <c r="Q36" s="128">
        <f>'Input - GNPA'!O36</f>
        <v>8.9871262207699449E-4</v>
      </c>
      <c r="R36" s="128">
        <f>'Input - GNPA'!P36</f>
        <v>9.1021828367262528E-4</v>
      </c>
      <c r="S36" s="128">
        <f>'Input - GNPA'!Q36</f>
        <v>9.1587473511002679E-4</v>
      </c>
      <c r="T36" s="128">
        <f>'Input - GNPA'!R36</f>
        <v>9.1585185559355659E-4</v>
      </c>
      <c r="U36" s="128">
        <f>'Input - GNPA'!S36</f>
        <v>9.0787742381335504E-4</v>
      </c>
      <c r="V36" s="128">
        <f>'Input - GNPA'!T36</f>
        <v>8.928490684907166E-4</v>
      </c>
      <c r="W36" s="128">
        <f>'Input - GNPA'!U36</f>
        <v>8.7432755037081527E-4</v>
      </c>
      <c r="X36" s="128">
        <f>'Input - GNPA'!V36</f>
        <v>8.5301290346471764E-4</v>
      </c>
      <c r="Y36" s="128">
        <f>'Input - GNPA'!W36</f>
        <v>8.3398731955136151E-4</v>
      </c>
      <c r="Z36" s="128">
        <f>'Input - GNPA'!X36</f>
        <v>8.1270281306080705E-4</v>
      </c>
      <c r="AA36" s="128">
        <f>'Input - GNPA'!Y36</f>
        <v>7.897488921907881E-4</v>
      </c>
      <c r="AB36" s="128">
        <f>'Input - GNPA'!Z36</f>
        <v>7.6753029855832031E-4</v>
      </c>
      <c r="AC36" s="128">
        <f>'Input - GNPA'!AA36</f>
        <v>7.321306278622624E-4</v>
      </c>
      <c r="AD36" s="128">
        <f>'Input - GNPA'!AB36</f>
        <v>7.4418516841620358E-4</v>
      </c>
      <c r="AE36" s="128">
        <f>'Input - GNPA'!AC36</f>
        <v>7.5169023851568871E-4</v>
      </c>
      <c r="AF36" s="128">
        <f>'Input - GNPA'!AD36</f>
        <v>7.5467817350341406E-4</v>
      </c>
      <c r="AG36" s="128">
        <f>'Input - GNPA'!AE36</f>
        <v>7.5127481290903264E-4</v>
      </c>
      <c r="AH36" s="128">
        <f>'Input - GNPA'!AF36</f>
        <v>7.420491524407041E-4</v>
      </c>
      <c r="AI36" s="128">
        <f>'Input - GNPA'!AG36</f>
        <v>7.2971748149658268E-4</v>
      </c>
      <c r="AJ36" s="128">
        <f>'Input - GNPA'!AH36</f>
        <v>7.1480020132289154E-4</v>
      </c>
      <c r="AK36" s="128">
        <f>'Input - GNPA'!AI36</f>
        <v>7.013829162420697E-4</v>
      </c>
      <c r="AL36" s="128">
        <f>'Input - GNPA'!AJ36</f>
        <v>6.858305237425321E-4</v>
      </c>
      <c r="AM36" s="128">
        <f>'Input - GNPA'!AK36</f>
        <v>6.6861498730548161E-4</v>
      </c>
      <c r="AN36" s="128">
        <f>'Input - GNPA'!AL36</f>
        <v>6.5171848228205524E-4</v>
      </c>
      <c r="AO36" s="134">
        <f>'Input - GNPA'!AM36</f>
        <v>6.2364155572436743E-4</v>
      </c>
    </row>
    <row r="37" spans="2:41" x14ac:dyDescent="0.35">
      <c r="B37" s="1" t="s">
        <v>179</v>
      </c>
      <c r="C37" s="1" t="s">
        <v>157</v>
      </c>
      <c r="D37" s="1" t="s">
        <v>17</v>
      </c>
      <c r="E37" s="46">
        <v>-1</v>
      </c>
      <c r="F37" s="44">
        <v>-5.3353083101090846</v>
      </c>
      <c r="G37" s="44">
        <v>-0.20400504605520098</v>
      </c>
      <c r="H37" s="44">
        <v>-1.3312834690817468</v>
      </c>
      <c r="I37" s="44">
        <v>-0.47259535437912348</v>
      </c>
      <c r="J37" s="44">
        <v>-1.7460391579986521</v>
      </c>
      <c r="K37" s="44">
        <v>-1.5158345552978503</v>
      </c>
      <c r="L37" s="44">
        <v>-5.9421733281965814</v>
      </c>
      <c r="M37" s="44">
        <v>-1.0962468336859459</v>
      </c>
      <c r="N37" s="44">
        <v>-0.86073670374587152</v>
      </c>
      <c r="O37" s="44">
        <v>-1.8969096060933843</v>
      </c>
      <c r="P37" s="44">
        <v>-1.4364685223612916</v>
      </c>
      <c r="Q37" s="44">
        <v>-0.91720178378834305</v>
      </c>
      <c r="R37" s="44">
        <v>-0.91734134974686299</v>
      </c>
      <c r="S37" s="44">
        <v>-1.2008900774738152</v>
      </c>
      <c r="T37" s="44">
        <v>-1.1898045353710494</v>
      </c>
      <c r="U37" s="44">
        <v>-7.7414881464446417</v>
      </c>
      <c r="V37" s="44">
        <v>-2.5851727477748341</v>
      </c>
      <c r="W37" s="44">
        <v>-3.7303562636225713</v>
      </c>
      <c r="X37" s="44">
        <v>-0.81463344861693088</v>
      </c>
      <c r="Y37" s="44">
        <v>-1.4864957162014605</v>
      </c>
      <c r="Z37" s="44">
        <v>-0.76153168591432063</v>
      </c>
      <c r="AA37" s="44">
        <v>-0.73395452479396539</v>
      </c>
      <c r="AB37" s="44">
        <v>-0.70614247751796455</v>
      </c>
      <c r="AC37" s="44">
        <v>-1.0822925659205325</v>
      </c>
      <c r="AD37" s="44">
        <v>-7.6721305066651198</v>
      </c>
      <c r="AE37" s="44">
        <v>-0.62364921397430351</v>
      </c>
      <c r="AF37" s="44">
        <v>-1.6433427556332276</v>
      </c>
      <c r="AG37" s="44">
        <v>-2.0548405866932491</v>
      </c>
      <c r="AH37" s="44">
        <v>-4.4300110183438193</v>
      </c>
      <c r="AI37" s="44">
        <v>-3.2376539212178344</v>
      </c>
      <c r="AJ37" s="44">
        <v>-1.813174328136407</v>
      </c>
      <c r="AK37" s="44">
        <v>-2.8559969534509921</v>
      </c>
      <c r="AL37" s="44">
        <v>-2.2845235239254453</v>
      </c>
      <c r="AM37" s="44">
        <v>-5.329581849921631</v>
      </c>
      <c r="AN37" s="44">
        <v>-3.351545925000325</v>
      </c>
      <c r="AO37" s="45">
        <v>-1.3031820948667701</v>
      </c>
    </row>
    <row r="38" spans="2:41" x14ac:dyDescent="0.35">
      <c r="B38" s="2" t="s">
        <v>179</v>
      </c>
      <c r="C38" s="2" t="s">
        <v>158</v>
      </c>
      <c r="D38" s="2" t="s">
        <v>17</v>
      </c>
      <c r="E38" s="46">
        <v>-3.3338134479214361</v>
      </c>
      <c r="F38" s="47">
        <v>0.23460150040434513</v>
      </c>
      <c r="G38" s="47">
        <v>-1.3625765999873636</v>
      </c>
      <c r="H38" s="47">
        <v>-9.8890666000400529E-2</v>
      </c>
      <c r="I38" s="47">
        <v>-0.17948837132993845</v>
      </c>
      <c r="J38" s="47">
        <v>-1.035690662600647</v>
      </c>
      <c r="K38" s="47">
        <v>-0.85507177919276067</v>
      </c>
      <c r="L38" s="47">
        <v>-3.6466032570429903</v>
      </c>
      <c r="M38" s="47">
        <v>-0.20484891889562107</v>
      </c>
      <c r="N38" s="47">
        <v>-3.3778816242642051</v>
      </c>
      <c r="O38" s="47">
        <v>-8.3338703722614653</v>
      </c>
      <c r="P38" s="47">
        <v>-2.5605047901990474E-2</v>
      </c>
      <c r="Q38" s="47">
        <v>-0.1782642322106085</v>
      </c>
      <c r="R38" s="47">
        <v>-0.558652444212143</v>
      </c>
      <c r="S38" s="47">
        <v>-1.6769078148312033</v>
      </c>
      <c r="T38" s="47">
        <v>-1.0341218146604181</v>
      </c>
      <c r="U38" s="47">
        <v>-0.59168474176796693</v>
      </c>
      <c r="V38" s="47">
        <v>-0.58833785337499833</v>
      </c>
      <c r="W38" s="47">
        <v>-2.7918672217725877</v>
      </c>
      <c r="X38" s="47">
        <v>-0.5876758756442122</v>
      </c>
      <c r="Y38" s="47">
        <v>-0.58607427601682716</v>
      </c>
      <c r="Z38" s="47">
        <v>-3.3684386302563762</v>
      </c>
      <c r="AA38" s="47">
        <v>-0.63325188280327893</v>
      </c>
      <c r="AB38" s="47">
        <v>-2.333870340920666</v>
      </c>
      <c r="AC38" s="47">
        <v>-0.57072387997866869</v>
      </c>
      <c r="AD38" s="47">
        <v>-1.0315486317866132</v>
      </c>
      <c r="AE38" s="47">
        <v>-0.68698913764344383</v>
      </c>
      <c r="AF38" s="47">
        <v>-0.55223839933633911</v>
      </c>
      <c r="AG38" s="47">
        <v>-0.88538116159620017</v>
      </c>
      <c r="AH38" s="47">
        <v>-1.7076347646181422</v>
      </c>
      <c r="AI38" s="47">
        <v>-0.84523902159405351</v>
      </c>
      <c r="AJ38" s="47">
        <v>-1.4992880512894611</v>
      </c>
      <c r="AK38" s="47">
        <v>-1.6085996088434156</v>
      </c>
      <c r="AL38" s="47">
        <v>-2.5855026631267863</v>
      </c>
      <c r="AM38" s="47">
        <v>0.28629301647661842</v>
      </c>
      <c r="AN38" s="47">
        <v>-0.51623839218376943</v>
      </c>
      <c r="AO38" s="48">
        <v>-0.50543096908880614</v>
      </c>
    </row>
    <row r="39" spans="2:41" x14ac:dyDescent="0.35">
      <c r="B39" s="3" t="s">
        <v>179</v>
      </c>
      <c r="C39" s="3" t="s">
        <v>159</v>
      </c>
      <c r="D39" s="3" t="s">
        <v>17</v>
      </c>
      <c r="E39" s="49">
        <v>0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0</v>
      </c>
      <c r="N39" s="50">
        <v>0</v>
      </c>
      <c r="O39" s="50">
        <v>0</v>
      </c>
      <c r="P39" s="50">
        <v>0</v>
      </c>
      <c r="Q39" s="50">
        <v>0</v>
      </c>
      <c r="R39" s="50">
        <v>0</v>
      </c>
      <c r="S39" s="50">
        <v>0</v>
      </c>
      <c r="T39" s="50">
        <v>0</v>
      </c>
      <c r="U39" s="50">
        <v>0</v>
      </c>
      <c r="V39" s="50">
        <v>0</v>
      </c>
      <c r="W39" s="50">
        <v>0</v>
      </c>
      <c r="X39" s="50">
        <v>0</v>
      </c>
      <c r="Y39" s="50">
        <v>0</v>
      </c>
      <c r="Z39" s="50">
        <v>0</v>
      </c>
      <c r="AA39" s="50">
        <v>0</v>
      </c>
      <c r="AB39" s="50">
        <v>0</v>
      </c>
      <c r="AC39" s="50">
        <v>0</v>
      </c>
      <c r="AD39" s="50">
        <v>0</v>
      </c>
      <c r="AE39" s="50">
        <v>0</v>
      </c>
      <c r="AF39" s="50">
        <v>0</v>
      </c>
      <c r="AG39" s="50">
        <v>0</v>
      </c>
      <c r="AH39" s="50">
        <v>0</v>
      </c>
      <c r="AI39" s="50">
        <v>0</v>
      </c>
      <c r="AJ39" s="50">
        <v>0</v>
      </c>
      <c r="AK39" s="50">
        <v>0</v>
      </c>
      <c r="AL39" s="50">
        <v>0</v>
      </c>
      <c r="AM39" s="50">
        <v>0</v>
      </c>
      <c r="AN39" s="50">
        <v>0</v>
      </c>
      <c r="AO39" s="51">
        <v>0</v>
      </c>
    </row>
    <row r="40" spans="2:41" x14ac:dyDescent="0.35">
      <c r="B40" s="1" t="s">
        <v>262</v>
      </c>
      <c r="C40" s="1" t="s">
        <v>157</v>
      </c>
      <c r="D40" s="1" t="s">
        <v>17</v>
      </c>
      <c r="E40" s="46">
        <v>0</v>
      </c>
      <c r="F40" s="44">
        <f>'Input - GNPA'!D124-'Input - GNPA'!C124</f>
        <v>0</v>
      </c>
      <c r="G40" s="44">
        <f>'Input - GNPA'!E124-'Input - GNPA'!D124</f>
        <v>0</v>
      </c>
      <c r="H40" s="44">
        <f>'Input - GNPA'!F124-'Input - GNPA'!E124</f>
        <v>0</v>
      </c>
      <c r="I40" s="44">
        <f>'Input - GNPA'!G124-'Input - GNPA'!F124</f>
        <v>0</v>
      </c>
      <c r="J40" s="44">
        <f>'Input - GNPA'!H124-'Input - GNPA'!G124</f>
        <v>0</v>
      </c>
      <c r="K40" s="44">
        <f>'Input - GNPA'!I124-'Input - GNPA'!H124</f>
        <v>0</v>
      </c>
      <c r="L40" s="44">
        <f>'Input - GNPA'!J124-'Input - GNPA'!I124</f>
        <v>74.713709473704441</v>
      </c>
      <c r="M40" s="44">
        <f>'Input - GNPA'!K124-'Input - GNPA'!J124</f>
        <v>4.4345425394060385</v>
      </c>
      <c r="N40" s="44">
        <f>'Input - GNPA'!L124-'Input - GNPA'!K124</f>
        <v>4.7943327239275533</v>
      </c>
      <c r="O40" s="44">
        <f>'Input - GNPA'!M124-'Input - GNPA'!L124</f>
        <v>5.164755843779858</v>
      </c>
      <c r="P40" s="44">
        <f>'Input - GNPA'!N124-'Input - GNPA'!M124</f>
        <v>4.9343841639943378</v>
      </c>
      <c r="Q40" s="44">
        <f>'Input - GNPA'!O124-'Input - GNPA'!N124</f>
        <v>17.873369869187485</v>
      </c>
      <c r="R40" s="44">
        <f>'Input - GNPA'!P124-'Input - GNPA'!O124</f>
        <v>-7.7600948165791408</v>
      </c>
      <c r="S40" s="44">
        <f>'Input - GNPA'!Q124-'Input - GNPA'!P124</f>
        <v>0.38889053364133019</v>
      </c>
      <c r="T40" s="44">
        <f>'Input - GNPA'!R124-'Input - GNPA'!Q124</f>
        <v>0.86501244770309427</v>
      </c>
      <c r="U40" s="44">
        <f>'Input - GNPA'!S124-'Input - GNPA'!R124</f>
        <v>6.5216801537796982</v>
      </c>
      <c r="V40" s="44">
        <f>'Input - GNPA'!T124-'Input - GNPA'!S124</f>
        <v>3.3925612466686772</v>
      </c>
      <c r="W40" s="44">
        <f>'Input - GNPA'!U124-'Input - GNPA'!T124</f>
        <v>4.2633902258161811</v>
      </c>
      <c r="X40" s="44">
        <f>'Input - GNPA'!V124-'Input - GNPA'!U124</f>
        <v>1.1056524388869207</v>
      </c>
      <c r="Y40" s="44">
        <f>'Input - GNPA'!W124-'Input - GNPA'!V124</f>
        <v>0.68888212708544927</v>
      </c>
      <c r="Z40" s="44">
        <f>'Input - GNPA'!X124-'Input - GNPA'!W124</f>
        <v>1.3536290624176956</v>
      </c>
      <c r="AA40" s="44">
        <f>'Input - GNPA'!Y124-'Input - GNPA'!X124</f>
        <v>2.2562656399114758</v>
      </c>
      <c r="AB40" s="44">
        <f>'Input - GNPA'!Z124-'Input - GNPA'!Y124</f>
        <v>1.7671897359269053</v>
      </c>
      <c r="AC40" s="44">
        <f>'Input - GNPA'!AA124-'Input - GNPA'!Z124</f>
        <v>1.0164331370320809</v>
      </c>
      <c r="AD40" s="44">
        <f>'Input - GNPA'!AB124-'Input - GNPA'!AA124</f>
        <v>5.1731464066800328</v>
      </c>
      <c r="AE40" s="44">
        <f>'Input - GNPA'!AC124-'Input - GNPA'!AB124</f>
        <v>-3.2345606623015897</v>
      </c>
      <c r="AF40" s="44">
        <f>'Input - GNPA'!AD124-'Input - GNPA'!AC124</f>
        <v>-3.9523816205976345</v>
      </c>
      <c r="AG40" s="44">
        <f>'Input - GNPA'!AE124-'Input - GNPA'!AD124</f>
        <v>-0.47123764357159814</v>
      </c>
      <c r="AH40" s="44">
        <f>'Input - GNPA'!AF124-'Input - GNPA'!AE124</f>
        <v>-1.0430856913972946</v>
      </c>
      <c r="AI40" s="44">
        <f>'Input - GNPA'!AG124-'Input - GNPA'!AF124</f>
        <v>0.72071533726439441</v>
      </c>
      <c r="AJ40" s="44">
        <f>'Input - GNPA'!AH124-'Input - GNPA'!AG124</f>
        <v>3.3922398983780226</v>
      </c>
      <c r="AK40" s="44">
        <f>'Input - GNPA'!AI124-'Input - GNPA'!AH124</f>
        <v>3.5236526183969659</v>
      </c>
      <c r="AL40" s="44">
        <f>'Input - GNPA'!AJ124-'Input - GNPA'!AI124</f>
        <v>3.913444398032965</v>
      </c>
      <c r="AM40" s="44">
        <f>'Input - GNPA'!AK124-'Input - GNPA'!AJ124</f>
        <v>4.4611899383401408</v>
      </c>
      <c r="AN40" s="44">
        <f>'Input - GNPA'!AL124-'Input - GNPA'!AK124</f>
        <v>3.2467801921138744</v>
      </c>
      <c r="AO40" s="45">
        <f>'Input - GNPA'!AM124-'Input - GNPA'!AL124</f>
        <v>1.9937657371887951</v>
      </c>
    </row>
    <row r="41" spans="2:41" x14ac:dyDescent="0.35">
      <c r="B41" s="2" t="s">
        <v>262</v>
      </c>
      <c r="C41" s="2" t="s">
        <v>158</v>
      </c>
      <c r="D41" s="2" t="s">
        <v>17</v>
      </c>
      <c r="E41" s="46">
        <v>0</v>
      </c>
      <c r="F41" s="47">
        <f>'Input - GNPA'!D125-'Input - GNPA'!C125</f>
        <v>0</v>
      </c>
      <c r="G41" s="47">
        <f>'Input - GNPA'!E125-'Input - GNPA'!D125</f>
        <v>0</v>
      </c>
      <c r="H41" s="47">
        <f>'Input - GNPA'!F125-'Input - GNPA'!E125</f>
        <v>0</v>
      </c>
      <c r="I41" s="47">
        <f>'Input - GNPA'!G125-'Input - GNPA'!F125</f>
        <v>0</v>
      </c>
      <c r="J41" s="47">
        <f>'Input - GNPA'!H125-'Input - GNPA'!G125</f>
        <v>0</v>
      </c>
      <c r="K41" s="47">
        <f>'Input - GNPA'!I125-'Input - GNPA'!H125</f>
        <v>0</v>
      </c>
      <c r="L41" s="47">
        <f>'Input - GNPA'!J125-'Input - GNPA'!I125</f>
        <v>49.142105129079688</v>
      </c>
      <c r="M41" s="47">
        <f>'Input - GNPA'!K125-'Input - GNPA'!J125</f>
        <v>3.0535572126117785</v>
      </c>
      <c r="N41" s="47">
        <f>'Input - GNPA'!L125-'Input - GNPA'!K125</f>
        <v>-4.1104714910712872</v>
      </c>
      <c r="O41" s="47">
        <f>'Input - GNPA'!M125-'Input - GNPA'!L125</f>
        <v>3.1574820963377093</v>
      </c>
      <c r="P41" s="47">
        <f>'Input - GNPA'!N125-'Input - GNPA'!M125</f>
        <v>-4.8210598373376925</v>
      </c>
      <c r="Q41" s="47">
        <f>'Input - GNPA'!O125-'Input - GNPA'!N125</f>
        <v>10.884035605947005</v>
      </c>
      <c r="R41" s="47">
        <f>'Input - GNPA'!P125-'Input - GNPA'!O125</f>
        <v>-8.3775544078444781</v>
      </c>
      <c r="S41" s="47">
        <f>'Input - GNPA'!Q125-'Input - GNPA'!P125</f>
        <v>1.1363783366691962</v>
      </c>
      <c r="T41" s="47">
        <f>'Input - GNPA'!R125-'Input - GNPA'!Q125</f>
        <v>1.1361055457395679</v>
      </c>
      <c r="U41" s="47">
        <f>'Input - GNPA'!S125-'Input - GNPA'!R125</f>
        <v>2.5052145416628235</v>
      </c>
      <c r="V41" s="47">
        <f>'Input - GNPA'!T125-'Input - GNPA'!S125</f>
        <v>2.4291658092193629</v>
      </c>
      <c r="W41" s="47">
        <f>'Input - GNPA'!U125-'Input - GNPA'!T125</f>
        <v>2.7254619373678395</v>
      </c>
      <c r="X41" s="47">
        <f>'Input - GNPA'!V125-'Input - GNPA'!U125</f>
        <v>1.0566776796688373</v>
      </c>
      <c r="Y41" s="47">
        <f>'Input - GNPA'!W125-'Input - GNPA'!V125</f>
        <v>1.095261304392551</v>
      </c>
      <c r="Z41" s="47">
        <f>'Input - GNPA'!X125-'Input - GNPA'!W125</f>
        <v>-6.8692994555929801</v>
      </c>
      <c r="AA41" s="47">
        <f>'Input - GNPA'!Y125-'Input - GNPA'!X125</f>
        <v>2.0869249498858693</v>
      </c>
      <c r="AB41" s="47">
        <f>'Input - GNPA'!Z125-'Input - GNPA'!Y125</f>
        <v>-6.4441332488533192</v>
      </c>
      <c r="AC41" s="47">
        <f>'Input - GNPA'!AA125-'Input - GNPA'!Z125</f>
        <v>2.0617268527793797</v>
      </c>
      <c r="AD41" s="47">
        <f>'Input - GNPA'!AB125-'Input - GNPA'!AA125</f>
        <v>-2.2810838282271675</v>
      </c>
      <c r="AE41" s="47">
        <f>'Input - GNPA'!AC125-'Input - GNPA'!AB125</f>
        <v>-0.69579906001454361</v>
      </c>
      <c r="AF41" s="47">
        <f>'Input - GNPA'!AD125-'Input - GNPA'!AC125</f>
        <v>-0.31051684599768947</v>
      </c>
      <c r="AG41" s="47">
        <f>'Input - GNPA'!AE125-'Input - GNPA'!AD125</f>
        <v>1.339267296544719</v>
      </c>
      <c r="AH41" s="47">
        <f>'Input - GNPA'!AF125-'Input - GNPA'!AE125</f>
        <v>1.6236944628674053</v>
      </c>
      <c r="AI41" s="47">
        <f>'Input - GNPA'!AG125-'Input - GNPA'!AF125</f>
        <v>1.6908154329719594E-2</v>
      </c>
      <c r="AJ41" s="47">
        <f>'Input - GNPA'!AH125-'Input - GNPA'!AG125</f>
        <v>2.4872322885176459</v>
      </c>
      <c r="AK41" s="47">
        <f>'Input - GNPA'!AI125-'Input - GNPA'!AH125</f>
        <v>2.4118232535202822</v>
      </c>
      <c r="AL41" s="47">
        <f>'Input - GNPA'!AJ125-'Input - GNPA'!AI125</f>
        <v>-3.2833801987124502</v>
      </c>
      <c r="AM41" s="47">
        <f>'Input - GNPA'!AK125-'Input - GNPA'!AJ125</f>
        <v>2.7389211614888822</v>
      </c>
      <c r="AN41" s="47">
        <f>'Input - GNPA'!AL125-'Input - GNPA'!AK125</f>
        <v>-3.7012956493134226</v>
      </c>
      <c r="AO41" s="48">
        <f>'Input - GNPA'!AM125-'Input - GNPA'!AL125</f>
        <v>1.5702174622173857</v>
      </c>
    </row>
    <row r="42" spans="2:41" x14ac:dyDescent="0.35">
      <c r="B42" s="3" t="s">
        <v>262</v>
      </c>
      <c r="C42" s="3" t="s">
        <v>159</v>
      </c>
      <c r="D42" s="3" t="s">
        <v>17</v>
      </c>
      <c r="E42" s="49">
        <v>0</v>
      </c>
      <c r="F42" s="50">
        <f>'Input - GNPA'!D126-'Input - GNPA'!C126</f>
        <v>0</v>
      </c>
      <c r="G42" s="50">
        <f>'Input - GNPA'!E126-'Input - GNPA'!D126</f>
        <v>0</v>
      </c>
      <c r="H42" s="50">
        <f>'Input - GNPA'!F126-'Input - GNPA'!E126</f>
        <v>0</v>
      </c>
      <c r="I42" s="50">
        <f>'Input - GNPA'!G126-'Input - GNPA'!F126</f>
        <v>0</v>
      </c>
      <c r="J42" s="50">
        <f>'Input - GNPA'!H126-'Input - GNPA'!G126</f>
        <v>0</v>
      </c>
      <c r="K42" s="50">
        <f>'Input - GNPA'!I126-'Input - GNPA'!H126</f>
        <v>0</v>
      </c>
      <c r="L42" s="50">
        <f>'Input - GNPA'!J126-'Input - GNPA'!I126</f>
        <v>0</v>
      </c>
      <c r="M42" s="50">
        <f>'Input - GNPA'!K126-'Input - GNPA'!J126</f>
        <v>0</v>
      </c>
      <c r="N42" s="50">
        <f>'Input - GNPA'!L126-'Input - GNPA'!K126</f>
        <v>0</v>
      </c>
      <c r="O42" s="50">
        <f>'Input - GNPA'!M126-'Input - GNPA'!L126</f>
        <v>0</v>
      </c>
      <c r="P42" s="50">
        <f>'Input - GNPA'!N126-'Input - GNPA'!M126</f>
        <v>0</v>
      </c>
      <c r="Q42" s="50">
        <f>'Input - GNPA'!O126-'Input - GNPA'!N126</f>
        <v>0</v>
      </c>
      <c r="R42" s="50">
        <f>'Input - GNPA'!P126-'Input - GNPA'!O126</f>
        <v>0</v>
      </c>
      <c r="S42" s="50">
        <f>'Input - GNPA'!Q126-'Input - GNPA'!P126</f>
        <v>0</v>
      </c>
      <c r="T42" s="50">
        <f>'Input - GNPA'!R126-'Input - GNPA'!Q126</f>
        <v>0</v>
      </c>
      <c r="U42" s="50">
        <f>'Input - GNPA'!S126-'Input - GNPA'!R126</f>
        <v>0</v>
      </c>
      <c r="V42" s="50">
        <f>'Input - GNPA'!T126-'Input - GNPA'!S126</f>
        <v>0</v>
      </c>
      <c r="W42" s="50">
        <f>'Input - GNPA'!U126-'Input - GNPA'!T126</f>
        <v>0</v>
      </c>
      <c r="X42" s="50">
        <f>'Input - GNPA'!V126-'Input - GNPA'!U126</f>
        <v>0</v>
      </c>
      <c r="Y42" s="50">
        <f>'Input - GNPA'!W126-'Input - GNPA'!V126</f>
        <v>0</v>
      </c>
      <c r="Z42" s="50">
        <f>'Input - GNPA'!X126-'Input - GNPA'!W126</f>
        <v>0</v>
      </c>
      <c r="AA42" s="50">
        <f>'Input - GNPA'!Y126-'Input - GNPA'!X126</f>
        <v>0</v>
      </c>
      <c r="AB42" s="50">
        <f>'Input - GNPA'!Z126-'Input - GNPA'!Y126</f>
        <v>0</v>
      </c>
      <c r="AC42" s="50">
        <f>'Input - GNPA'!AA126-'Input - GNPA'!Z126</f>
        <v>0</v>
      </c>
      <c r="AD42" s="50">
        <f>'Input - GNPA'!AB126-'Input - GNPA'!AA126</f>
        <v>0</v>
      </c>
      <c r="AE42" s="50">
        <f>'Input - GNPA'!AC126-'Input - GNPA'!AB126</f>
        <v>0</v>
      </c>
      <c r="AF42" s="50">
        <f>'Input - GNPA'!AD126-'Input - GNPA'!AC126</f>
        <v>0</v>
      </c>
      <c r="AG42" s="50">
        <f>'Input - GNPA'!AE126-'Input - GNPA'!AD126</f>
        <v>0</v>
      </c>
      <c r="AH42" s="50">
        <f>'Input - GNPA'!AF126-'Input - GNPA'!AE126</f>
        <v>0</v>
      </c>
      <c r="AI42" s="50">
        <f>'Input - GNPA'!AG126-'Input - GNPA'!AF126</f>
        <v>0</v>
      </c>
      <c r="AJ42" s="50">
        <f>'Input - GNPA'!AH126-'Input - GNPA'!AG126</f>
        <v>0</v>
      </c>
      <c r="AK42" s="50">
        <f>'Input - GNPA'!AI126-'Input - GNPA'!AH126</f>
        <v>0</v>
      </c>
      <c r="AL42" s="50">
        <f>'Input - GNPA'!AJ126-'Input - GNPA'!AI126</f>
        <v>0</v>
      </c>
      <c r="AM42" s="50">
        <f>'Input - GNPA'!AK126-'Input - GNPA'!AJ126</f>
        <v>0</v>
      </c>
      <c r="AN42" s="50">
        <f>'Input - GNPA'!AL126-'Input - GNPA'!AK126</f>
        <v>0</v>
      </c>
      <c r="AO42" s="51">
        <f>'Input - GNPA'!AM126-'Input - GNPA'!AL126</f>
        <v>0</v>
      </c>
    </row>
  </sheetData>
  <autoFilter ref="B3:AN24"/>
  <conditionalFormatting sqref="E13:AO18">
    <cfRule type="expression" dxfId="215" priority="25">
      <formula>E$1="SL3"</formula>
    </cfRule>
    <cfRule type="expression" dxfId="214" priority="26">
      <formula>E$1="SL2"</formula>
    </cfRule>
    <cfRule type="expression" dxfId="213" priority="27">
      <formula>E$1="SL1"</formula>
    </cfRule>
  </conditionalFormatting>
  <conditionalFormatting sqref="E22:AO42">
    <cfRule type="expression" dxfId="212" priority="1">
      <formula>E$1="SL3"</formula>
    </cfRule>
    <cfRule type="expression" dxfId="211" priority="2">
      <formula>E$1="SL2"</formula>
    </cfRule>
    <cfRule type="expression" dxfId="210" priority="3">
      <formula>E$1="SL1"</formula>
    </cfRule>
  </conditionalFormatting>
  <hyperlinks>
    <hyperlink ref="A1" location="Index!C12" display="Back - Index"/>
  </hyperlinks>
  <pageMargins left="0.7" right="0.7" top="0.75" bottom="0.75" header="0.3" footer="0.3"/>
  <pageSetup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127"/>
  <sheetViews>
    <sheetView workbookViewId="0">
      <pane xSplit="1" ySplit="1" topLeftCell="F15" activePane="bottomRight" state="frozen"/>
      <selection pane="topRight" activeCell="B1" sqref="B1"/>
      <selection pane="bottomLeft" activeCell="A2" sqref="A2"/>
      <selection pane="bottomRight" activeCell="O27" sqref="O27"/>
    </sheetView>
  </sheetViews>
  <sheetFormatPr defaultRowHeight="14.5" x14ac:dyDescent="0.35"/>
  <cols>
    <col min="1" max="1" width="29.1796875" bestFit="1" customWidth="1"/>
    <col min="3" max="3" width="9.81640625" bestFit="1" customWidth="1"/>
    <col min="4" max="38" width="9.54296875" bestFit="1" customWidth="1"/>
    <col min="40" max="62" width="0" hidden="1" customWidth="1"/>
  </cols>
  <sheetData>
    <row r="1" spans="1:62" x14ac:dyDescent="0.35">
      <c r="C1" s="28" t="str">
        <f>LOOKUP(C2,'Input-Stress Parameters'!$C$9:$BJ$9,'Input-Stress Parameters'!$C$11:$BJ$11)</f>
        <v>N</v>
      </c>
      <c r="D1" s="28" t="str">
        <f>LOOKUP(D2,'Input-Stress Parameters'!$C$9:$BJ$9,'Input-Stress Parameters'!$C$11:$BJ$11)</f>
        <v>SL1</v>
      </c>
      <c r="E1" s="28" t="str">
        <f>LOOKUP(E2,'Input-Stress Parameters'!$C$9:$BJ$9,'Input-Stress Parameters'!$C$11:$BJ$11)</f>
        <v>SL1</v>
      </c>
      <c r="F1" s="28" t="str">
        <f>LOOKUP(F2,'Input-Stress Parameters'!$C$9:$BJ$9,'Input-Stress Parameters'!$C$11:$BJ$11)</f>
        <v>SL1</v>
      </c>
      <c r="G1" s="28" t="str">
        <f>LOOKUP(G2,'Input-Stress Parameters'!$C$9:$BJ$9,'Input-Stress Parameters'!$C$11:$BJ$11)</f>
        <v>SL1</v>
      </c>
      <c r="H1" s="28" t="str">
        <f>LOOKUP(H2,'Input-Stress Parameters'!$C$9:$BJ$9,'Input-Stress Parameters'!$C$11:$BJ$11)</f>
        <v>SL1</v>
      </c>
      <c r="I1" s="28" t="str">
        <f>LOOKUP(I2,'Input-Stress Parameters'!$C$9:$BJ$9,'Input-Stress Parameters'!$C$11:$BJ$11)</f>
        <v>SL1</v>
      </c>
      <c r="J1" s="28" t="str">
        <f>LOOKUP(J2,'Input-Stress Parameters'!$C$9:$BJ$9,'Input-Stress Parameters'!$C$11:$BJ$11)</f>
        <v>SL2</v>
      </c>
      <c r="K1" s="28" t="str">
        <f>LOOKUP(K2,'Input-Stress Parameters'!$C$9:$BJ$9,'Input-Stress Parameters'!$C$11:$BJ$11)</f>
        <v>SL2</v>
      </c>
      <c r="L1" s="28" t="str">
        <f>LOOKUP(L2,'Input-Stress Parameters'!$C$9:$BJ$9,'Input-Stress Parameters'!$C$11:$BJ$11)</f>
        <v>SL2</v>
      </c>
      <c r="M1" s="28" t="str">
        <f>LOOKUP(M2,'Input-Stress Parameters'!$C$9:$BJ$9,'Input-Stress Parameters'!$C$11:$BJ$11)</f>
        <v>SL2</v>
      </c>
      <c r="N1" s="28" t="str">
        <f>LOOKUP(N2,'Input-Stress Parameters'!$C$9:$BJ$9,'Input-Stress Parameters'!$C$11:$BJ$11)</f>
        <v>SL2</v>
      </c>
      <c r="O1" s="28" t="str">
        <f>LOOKUP(O2,'Input-Stress Parameters'!$C$9:$BJ$9,'Input-Stress Parameters'!$C$11:$BJ$11)</f>
        <v>SL2</v>
      </c>
      <c r="P1" s="28" t="str">
        <f>LOOKUP(P2,'Input-Stress Parameters'!$C$9:$BJ$9,'Input-Stress Parameters'!$C$11:$BJ$11)</f>
        <v>SL2</v>
      </c>
      <c r="Q1" s="28" t="str">
        <f>LOOKUP(Q2,'Input-Stress Parameters'!$C$9:$BJ$9,'Input-Stress Parameters'!$C$11:$BJ$11)</f>
        <v>SL2</v>
      </c>
      <c r="R1" s="28" t="str">
        <f>LOOKUP(R2,'Input-Stress Parameters'!$C$9:$BJ$9,'Input-Stress Parameters'!$C$11:$BJ$11)</f>
        <v>SL2</v>
      </c>
      <c r="S1" s="28" t="str">
        <f>LOOKUP(S2,'Input-Stress Parameters'!$C$9:$BJ$9,'Input-Stress Parameters'!$C$11:$BJ$11)</f>
        <v>SL2</v>
      </c>
      <c r="T1" s="28" t="str">
        <f>LOOKUP(T2,'Input-Stress Parameters'!$C$9:$BJ$9,'Input-Stress Parameters'!$C$11:$BJ$11)</f>
        <v>SL2</v>
      </c>
      <c r="U1" s="28" t="str">
        <f>LOOKUP(U2,'Input-Stress Parameters'!$C$9:$BJ$9,'Input-Stress Parameters'!$C$11:$BJ$11)</f>
        <v>SL2</v>
      </c>
      <c r="V1" s="28" t="str">
        <f>LOOKUP(V2,'Input-Stress Parameters'!$C$9:$BJ$9,'Input-Stress Parameters'!$C$11:$BJ$11)</f>
        <v>SL3</v>
      </c>
      <c r="W1" s="28" t="str">
        <f>LOOKUP(W2,'Input-Stress Parameters'!$C$9:$BJ$9,'Input-Stress Parameters'!$C$11:$BJ$11)</f>
        <v>SL3</v>
      </c>
      <c r="X1" s="28" t="str">
        <f>LOOKUP(X2,'Input-Stress Parameters'!$C$9:$BJ$9,'Input-Stress Parameters'!$C$11:$BJ$11)</f>
        <v>SL3</v>
      </c>
      <c r="Y1" s="28" t="str">
        <f>LOOKUP(Y2,'Input-Stress Parameters'!$C$9:$BJ$9,'Input-Stress Parameters'!$C$11:$BJ$11)</f>
        <v>SL3</v>
      </c>
      <c r="Z1" s="28" t="str">
        <f>LOOKUP(Z2,'Input-Stress Parameters'!$C$9:$BJ$9,'Input-Stress Parameters'!$C$11:$BJ$11)</f>
        <v>SL3</v>
      </c>
      <c r="AA1" s="28" t="str">
        <f>LOOKUP(AA2,'Input-Stress Parameters'!$C$9:$BJ$9,'Input-Stress Parameters'!$C$11:$BJ$11)</f>
        <v>SL3</v>
      </c>
      <c r="AB1" s="28" t="str">
        <f>LOOKUP(AB2,'Input-Stress Parameters'!$C$9:$BJ$9,'Input-Stress Parameters'!$C$11:$BJ$11)</f>
        <v>SL3</v>
      </c>
      <c r="AC1" s="28" t="str">
        <f>LOOKUP(AC2,'Input-Stress Parameters'!$C$9:$BJ$9,'Input-Stress Parameters'!$C$11:$BJ$11)</f>
        <v>SL3</v>
      </c>
      <c r="AD1" s="28" t="str">
        <f>LOOKUP(AD2,'Input-Stress Parameters'!$C$9:$BJ$9,'Input-Stress Parameters'!$C$11:$BJ$11)</f>
        <v>SL3</v>
      </c>
      <c r="AE1" s="28" t="str">
        <f>LOOKUP(AE2,'Input-Stress Parameters'!$C$9:$BJ$9,'Input-Stress Parameters'!$C$11:$BJ$11)</f>
        <v>SL3</v>
      </c>
      <c r="AF1" s="28" t="str">
        <f>LOOKUP(AF2,'Input-Stress Parameters'!$C$9:$BJ$9,'Input-Stress Parameters'!$C$11:$BJ$11)</f>
        <v>SL3</v>
      </c>
      <c r="AG1" s="28" t="str">
        <f>LOOKUP(AG2,'Input-Stress Parameters'!$C$9:$BJ$9,'Input-Stress Parameters'!$C$11:$BJ$11)</f>
        <v>SL3</v>
      </c>
      <c r="AH1" s="28" t="str">
        <f>LOOKUP(AH2,'Input-Stress Parameters'!$C$9:$BJ$9,'Input-Stress Parameters'!$C$11:$BJ$11)</f>
        <v>N</v>
      </c>
      <c r="AI1" s="28" t="str">
        <f>LOOKUP(AI2,'Input-Stress Parameters'!$C$9:$BJ$9,'Input-Stress Parameters'!$C$11:$BJ$11)</f>
        <v>N</v>
      </c>
      <c r="AJ1" s="28" t="str">
        <f>LOOKUP(AJ2,'Input-Stress Parameters'!$C$9:$BJ$9,'Input-Stress Parameters'!$C$11:$BJ$11)</f>
        <v>N</v>
      </c>
      <c r="AK1" s="28" t="str">
        <f>LOOKUP(AK2,'Input-Stress Parameters'!$C$9:$BJ$9,'Input-Stress Parameters'!$C$11:$BJ$11)</f>
        <v>N</v>
      </c>
      <c r="AL1" s="28" t="str">
        <f>LOOKUP(AL2,'Input-Stress Parameters'!$C$9:$BJ$9,'Input-Stress Parameters'!$C$11:$BJ$11)</f>
        <v>N</v>
      </c>
      <c r="AM1" s="28" t="str">
        <f>LOOKUP(AM2,'Input-Stress Parameters'!$C$9:$BJ$9,'Input-Stress Parameters'!$C$11:$BJ$11)</f>
        <v>N</v>
      </c>
      <c r="AN1" s="28" t="str">
        <f>LOOKUP(AN2,'Input-Stress Parameters'!$C$9:$BJ$9,'Input-Stress Parameters'!$C$11:$BJ$11)</f>
        <v>N</v>
      </c>
      <c r="AO1" s="28" t="str">
        <f>LOOKUP(AO2,'Input-Stress Parameters'!$C$9:$BJ$9,'Input-Stress Parameters'!$C$11:$BJ$11)</f>
        <v>N</v>
      </c>
      <c r="AP1" s="28" t="str">
        <f>LOOKUP(AP2,'Input-Stress Parameters'!$C$9:$BJ$9,'Input-Stress Parameters'!$C$11:$BJ$11)</f>
        <v>N</v>
      </c>
      <c r="AQ1" s="28" t="str">
        <f>LOOKUP(AQ2,'Input-Stress Parameters'!$C$9:$BJ$9,'Input-Stress Parameters'!$C$11:$BJ$11)</f>
        <v>N</v>
      </c>
      <c r="AR1" s="28" t="str">
        <f>LOOKUP(AR2,'Input-Stress Parameters'!$C$9:$BJ$9,'Input-Stress Parameters'!$C$11:$BJ$11)</f>
        <v>N</v>
      </c>
      <c r="AS1" s="28" t="str">
        <f>LOOKUP(AS2,'Input-Stress Parameters'!$C$9:$BJ$9,'Input-Stress Parameters'!$C$11:$BJ$11)</f>
        <v>N</v>
      </c>
      <c r="AT1" s="28" t="str">
        <f>LOOKUP(AT2,'Input-Stress Parameters'!$C$9:$BJ$9,'Input-Stress Parameters'!$C$11:$BJ$11)</f>
        <v>N</v>
      </c>
      <c r="AU1" s="28" t="str">
        <f>LOOKUP(AU2,'Input-Stress Parameters'!$C$9:$BJ$9,'Input-Stress Parameters'!$C$11:$BJ$11)</f>
        <v>N</v>
      </c>
      <c r="AV1" s="28" t="str">
        <f>LOOKUP(AV2,'Input-Stress Parameters'!$C$9:$BJ$9,'Input-Stress Parameters'!$C$11:$BJ$11)</f>
        <v>N</v>
      </c>
      <c r="AW1" s="28" t="str">
        <f>LOOKUP(AW2,'Input-Stress Parameters'!$C$9:$BJ$9,'Input-Stress Parameters'!$C$11:$BJ$11)</f>
        <v>N</v>
      </c>
      <c r="AX1" s="28" t="str">
        <f>LOOKUP(AX2,'Input-Stress Parameters'!$C$9:$BJ$9,'Input-Stress Parameters'!$C$11:$BJ$11)</f>
        <v>N</v>
      </c>
      <c r="AY1" s="28" t="str">
        <f>LOOKUP(AY2,'Input-Stress Parameters'!$C$9:$BJ$9,'Input-Stress Parameters'!$C$11:$BJ$11)</f>
        <v>N</v>
      </c>
      <c r="AZ1" s="28" t="str">
        <f>LOOKUP(AZ2,'Input-Stress Parameters'!$C$9:$BJ$9,'Input-Stress Parameters'!$C$11:$BJ$11)</f>
        <v>N</v>
      </c>
      <c r="BA1" s="28" t="str">
        <f>LOOKUP(BA2,'Input-Stress Parameters'!$C$9:$BJ$9,'Input-Stress Parameters'!$C$11:$BJ$11)</f>
        <v>N</v>
      </c>
      <c r="BB1" s="28" t="str">
        <f>LOOKUP(BB2,'Input-Stress Parameters'!$C$9:$BJ$9,'Input-Stress Parameters'!$C$11:$BJ$11)</f>
        <v>N</v>
      </c>
      <c r="BC1" s="28" t="str">
        <f>LOOKUP(BC2,'Input-Stress Parameters'!$C$9:$BJ$9,'Input-Stress Parameters'!$C$11:$BJ$11)</f>
        <v>N</v>
      </c>
      <c r="BD1" s="28" t="str">
        <f>LOOKUP(BD2,'Input-Stress Parameters'!$C$9:$BJ$9,'Input-Stress Parameters'!$C$11:$BJ$11)</f>
        <v>N</v>
      </c>
      <c r="BE1" s="28" t="str">
        <f>LOOKUP(BE2,'Input-Stress Parameters'!$C$9:$BJ$9,'Input-Stress Parameters'!$C$11:$BJ$11)</f>
        <v>N</v>
      </c>
      <c r="BF1" s="28" t="str">
        <f>LOOKUP(BF2,'Input-Stress Parameters'!$C$9:$BJ$9,'Input-Stress Parameters'!$C$11:$BJ$11)</f>
        <v>N</v>
      </c>
      <c r="BG1" s="28" t="str">
        <f>LOOKUP(BG2,'Input-Stress Parameters'!$C$9:$BJ$9,'Input-Stress Parameters'!$C$11:$BJ$11)</f>
        <v>N</v>
      </c>
      <c r="BH1" s="28" t="str">
        <f>LOOKUP(BH2,'Input-Stress Parameters'!$C$9:$BJ$9,'Input-Stress Parameters'!$C$11:$BJ$11)</f>
        <v>N</v>
      </c>
      <c r="BI1" s="28" t="str">
        <f>LOOKUP(BI2,'Input-Stress Parameters'!$C$9:$BJ$9,'Input-Stress Parameters'!$C$11:$BJ$11)</f>
        <v>N</v>
      </c>
      <c r="BJ1" s="28" t="str">
        <f>LOOKUP(BJ2,'Input-Stress Parameters'!$C$9:$BJ$9,'Input-Stress Parameters'!$C$11:$BJ$11)</f>
        <v>N</v>
      </c>
    </row>
    <row r="2" spans="1:62" x14ac:dyDescent="0.35">
      <c r="A2" s="25" t="s">
        <v>152</v>
      </c>
      <c r="B2" s="4" t="s">
        <v>3</v>
      </c>
      <c r="C2" s="19">
        <f>'Input-Stress Parameters'!C9</f>
        <v>45352</v>
      </c>
      <c r="D2" s="20">
        <f>EDATE(C2,1)</f>
        <v>45383</v>
      </c>
      <c r="E2" s="20">
        <f>EDATE(D2,1)</f>
        <v>45413</v>
      </c>
      <c r="F2" s="20">
        <f>EDATE(E2,1)</f>
        <v>45444</v>
      </c>
      <c r="G2" s="20">
        <f t="shared" ref="G2:BJ2" si="0">EDATE(F2,1)</f>
        <v>45474</v>
      </c>
      <c r="H2" s="20">
        <f t="shared" si="0"/>
        <v>45505</v>
      </c>
      <c r="I2" s="20">
        <f t="shared" si="0"/>
        <v>45536</v>
      </c>
      <c r="J2" s="20">
        <f t="shared" si="0"/>
        <v>45566</v>
      </c>
      <c r="K2" s="20">
        <f t="shared" si="0"/>
        <v>45597</v>
      </c>
      <c r="L2" s="20">
        <f t="shared" si="0"/>
        <v>45627</v>
      </c>
      <c r="M2" s="20">
        <f t="shared" si="0"/>
        <v>45658</v>
      </c>
      <c r="N2" s="20">
        <f t="shared" si="0"/>
        <v>45689</v>
      </c>
      <c r="O2" s="21">
        <f t="shared" si="0"/>
        <v>45717</v>
      </c>
      <c r="P2" s="20">
        <f t="shared" si="0"/>
        <v>45748</v>
      </c>
      <c r="Q2" s="20">
        <f t="shared" si="0"/>
        <v>45778</v>
      </c>
      <c r="R2" s="20">
        <f t="shared" si="0"/>
        <v>45809</v>
      </c>
      <c r="S2" s="20">
        <f t="shared" si="0"/>
        <v>45839</v>
      </c>
      <c r="T2" s="20">
        <f t="shared" si="0"/>
        <v>45870</v>
      </c>
      <c r="U2" s="20">
        <f t="shared" si="0"/>
        <v>45901</v>
      </c>
      <c r="V2" s="20">
        <f t="shared" si="0"/>
        <v>45931</v>
      </c>
      <c r="W2" s="20">
        <f t="shared" si="0"/>
        <v>45962</v>
      </c>
      <c r="X2" s="20">
        <f t="shared" si="0"/>
        <v>45992</v>
      </c>
      <c r="Y2" s="20">
        <f t="shared" si="0"/>
        <v>46023</v>
      </c>
      <c r="Z2" s="20">
        <f t="shared" si="0"/>
        <v>46054</v>
      </c>
      <c r="AA2" s="21">
        <f t="shared" si="0"/>
        <v>46082</v>
      </c>
      <c r="AB2" s="20">
        <f t="shared" si="0"/>
        <v>46113</v>
      </c>
      <c r="AC2" s="20">
        <f t="shared" si="0"/>
        <v>46143</v>
      </c>
      <c r="AD2" s="20">
        <f t="shared" si="0"/>
        <v>46174</v>
      </c>
      <c r="AE2" s="20">
        <f t="shared" si="0"/>
        <v>46204</v>
      </c>
      <c r="AF2" s="20">
        <f t="shared" si="0"/>
        <v>46235</v>
      </c>
      <c r="AG2" s="20">
        <f t="shared" si="0"/>
        <v>46266</v>
      </c>
      <c r="AH2" s="20">
        <f t="shared" si="0"/>
        <v>46296</v>
      </c>
      <c r="AI2" s="20">
        <f t="shared" si="0"/>
        <v>46327</v>
      </c>
      <c r="AJ2" s="20">
        <f t="shared" si="0"/>
        <v>46357</v>
      </c>
      <c r="AK2" s="20">
        <f t="shared" si="0"/>
        <v>46388</v>
      </c>
      <c r="AL2" s="20">
        <f t="shared" si="0"/>
        <v>46419</v>
      </c>
      <c r="AM2" s="21">
        <f t="shared" si="0"/>
        <v>46447</v>
      </c>
      <c r="AN2" s="20">
        <f t="shared" si="0"/>
        <v>46478</v>
      </c>
      <c r="AO2" s="20">
        <f t="shared" si="0"/>
        <v>46508</v>
      </c>
      <c r="AP2" s="20">
        <f t="shared" si="0"/>
        <v>46539</v>
      </c>
      <c r="AQ2" s="20">
        <f t="shared" si="0"/>
        <v>46569</v>
      </c>
      <c r="AR2" s="20">
        <f t="shared" si="0"/>
        <v>46600</v>
      </c>
      <c r="AS2" s="20">
        <f t="shared" si="0"/>
        <v>46631</v>
      </c>
      <c r="AT2" s="20">
        <f t="shared" si="0"/>
        <v>46661</v>
      </c>
      <c r="AU2" s="20">
        <f t="shared" si="0"/>
        <v>46692</v>
      </c>
      <c r="AV2" s="20">
        <f t="shared" si="0"/>
        <v>46722</v>
      </c>
      <c r="AW2" s="20">
        <f t="shared" si="0"/>
        <v>46753</v>
      </c>
      <c r="AX2" s="21">
        <f t="shared" si="0"/>
        <v>46784</v>
      </c>
      <c r="AY2" s="20">
        <f t="shared" si="0"/>
        <v>46813</v>
      </c>
      <c r="AZ2" s="20">
        <f t="shared" si="0"/>
        <v>46844</v>
      </c>
      <c r="BA2" s="20">
        <f t="shared" si="0"/>
        <v>46874</v>
      </c>
      <c r="BB2" s="20">
        <f t="shared" si="0"/>
        <v>46905</v>
      </c>
      <c r="BC2" s="20">
        <f t="shared" si="0"/>
        <v>46935</v>
      </c>
      <c r="BD2" s="20">
        <f t="shared" si="0"/>
        <v>46966</v>
      </c>
      <c r="BE2" s="20">
        <f t="shared" si="0"/>
        <v>46997</v>
      </c>
      <c r="BF2" s="20">
        <f t="shared" si="0"/>
        <v>47027</v>
      </c>
      <c r="BG2" s="20">
        <f t="shared" si="0"/>
        <v>47058</v>
      </c>
      <c r="BH2" s="20">
        <f t="shared" si="0"/>
        <v>47088</v>
      </c>
      <c r="BI2" s="20">
        <f t="shared" si="0"/>
        <v>47119</v>
      </c>
      <c r="BJ2" s="21">
        <f t="shared" si="0"/>
        <v>47150</v>
      </c>
    </row>
    <row r="3" spans="1:62" x14ac:dyDescent="0.35">
      <c r="A3" s="15" t="str">
        <f>$A$2</f>
        <v>GNPA - ENR  (Plan)</v>
      </c>
      <c r="B3" s="15" t="s">
        <v>188</v>
      </c>
      <c r="C3" s="16">
        <f>SUM(C4:C6)</f>
        <v>1973.1156690513976</v>
      </c>
      <c r="D3" s="17">
        <f t="shared" ref="D3:BJ3" si="1">SUM(D4:D6)</f>
        <v>1986.1668607269371</v>
      </c>
      <c r="E3" s="17">
        <f t="shared" si="1"/>
        <v>2018.9256006185947</v>
      </c>
      <c r="F3" s="17">
        <f t="shared" si="1"/>
        <v>2048.7865027603602</v>
      </c>
      <c r="G3" s="17">
        <f t="shared" si="1"/>
        <v>2074.7984030173402</v>
      </c>
      <c r="H3" s="17">
        <f t="shared" si="1"/>
        <v>2097.6843374036848</v>
      </c>
      <c r="I3" s="17">
        <f t="shared" si="1"/>
        <v>2126.6954466217776</v>
      </c>
      <c r="J3" s="17">
        <f t="shared" si="1"/>
        <v>2144.8473057499841</v>
      </c>
      <c r="K3" s="17">
        <f t="shared" si="1"/>
        <v>2167.599501990042</v>
      </c>
      <c r="L3" s="17">
        <f t="shared" si="1"/>
        <v>2157.4694741827784</v>
      </c>
      <c r="M3" s="17">
        <f t="shared" si="1"/>
        <v>2145.3278511354538</v>
      </c>
      <c r="N3" s="17">
        <f t="shared" si="1"/>
        <v>2161.0979475093632</v>
      </c>
      <c r="O3" s="18">
        <f t="shared" si="1"/>
        <v>2171.9969222648124</v>
      </c>
      <c r="P3" s="17">
        <f t="shared" si="1"/>
        <v>2209.7786022964783</v>
      </c>
      <c r="Q3" s="17">
        <f t="shared" si="1"/>
        <v>2228.4411124748008</v>
      </c>
      <c r="R3" s="17">
        <f t="shared" si="1"/>
        <v>2237.4082877698952</v>
      </c>
      <c r="S3" s="17">
        <f t="shared" si="1"/>
        <v>2214.6539207502369</v>
      </c>
      <c r="T3" s="17">
        <f t="shared" si="1"/>
        <v>2234.6410590774603</v>
      </c>
      <c r="U3" s="17">
        <f t="shared" si="1"/>
        <v>2256.3988643913681</v>
      </c>
      <c r="V3" s="17">
        <f t="shared" si="1"/>
        <v>2310.4182947437912</v>
      </c>
      <c r="W3" s="17">
        <f t="shared" si="1"/>
        <v>2343.5257619785598</v>
      </c>
      <c r="X3" s="17">
        <f t="shared" si="1"/>
        <v>2376.8494841953193</v>
      </c>
      <c r="Y3" s="17">
        <f t="shared" si="1"/>
        <v>2403.6417369932633</v>
      </c>
      <c r="Z3" s="17">
        <f t="shared" si="1"/>
        <v>2429.3326559113843</v>
      </c>
      <c r="AA3" s="18">
        <f t="shared" si="1"/>
        <v>2449.7537111443444</v>
      </c>
      <c r="AB3" s="17">
        <f t="shared" si="1"/>
        <v>2463.5895783519845</v>
      </c>
      <c r="AC3" s="17">
        <f t="shared" si="1"/>
        <v>2503.1012845587684</v>
      </c>
      <c r="AD3" s="17">
        <f t="shared" si="1"/>
        <v>2539.9709633899874</v>
      </c>
      <c r="AE3" s="17">
        <f t="shared" si="1"/>
        <v>2570.1049106088958</v>
      </c>
      <c r="AF3" s="17">
        <f t="shared" si="1"/>
        <v>2599.5495219019235</v>
      </c>
      <c r="AG3" s="17">
        <f t="shared" si="1"/>
        <v>2644.1688995819568</v>
      </c>
      <c r="AH3" s="17">
        <f t="shared" si="1"/>
        <v>2685.2966146154563</v>
      </c>
      <c r="AI3" s="17">
        <f t="shared" si="1"/>
        <v>2723.0316292691823</v>
      </c>
      <c r="AJ3" s="17">
        <f t="shared" si="1"/>
        <v>2759.1664085448638</v>
      </c>
      <c r="AK3" s="17">
        <f t="shared" si="1"/>
        <v>2785.1828310184087</v>
      </c>
      <c r="AL3" s="17">
        <f t="shared" si="1"/>
        <v>2802.1639378321524</v>
      </c>
      <c r="AM3" s="18">
        <f t="shared" si="1"/>
        <v>2802.9673827263896</v>
      </c>
      <c r="AN3" s="17">
        <f t="shared" si="1"/>
        <v>806.00538756850233</v>
      </c>
      <c r="AO3" s="17">
        <f t="shared" si="1"/>
        <v>807.89465087511019</v>
      </c>
      <c r="AP3" s="17">
        <f t="shared" si="1"/>
        <v>811.01685514627729</v>
      </c>
      <c r="AQ3" s="17">
        <f t="shared" si="1"/>
        <v>816.74020689153838</v>
      </c>
      <c r="AR3" s="17">
        <f t="shared" si="1"/>
        <v>826.82889818531169</v>
      </c>
      <c r="AS3" s="17">
        <f t="shared" si="1"/>
        <v>840.82982406380654</v>
      </c>
      <c r="AT3" s="17">
        <f t="shared" si="1"/>
        <v>857.56688417910527</v>
      </c>
      <c r="AU3" s="17">
        <f t="shared" si="1"/>
        <v>877.13059740414656</v>
      </c>
      <c r="AV3" s="17">
        <f t="shared" si="1"/>
        <v>898.18054236611829</v>
      </c>
      <c r="AW3" s="17">
        <f t="shared" si="1"/>
        <v>918.61840851782301</v>
      </c>
      <c r="AX3" s="18">
        <f t="shared" si="1"/>
        <v>938.9797266339242</v>
      </c>
      <c r="AY3" s="17">
        <f t="shared" si="1"/>
        <v>958.6512612304075</v>
      </c>
      <c r="AZ3" s="17">
        <f t="shared" si="1"/>
        <v>0</v>
      </c>
      <c r="BA3" s="17">
        <f t="shared" si="1"/>
        <v>0</v>
      </c>
      <c r="BB3" s="17">
        <f t="shared" si="1"/>
        <v>0</v>
      </c>
      <c r="BC3" s="17">
        <f t="shared" si="1"/>
        <v>0</v>
      </c>
      <c r="BD3" s="17">
        <f t="shared" si="1"/>
        <v>0</v>
      </c>
      <c r="BE3" s="17">
        <f t="shared" si="1"/>
        <v>0</v>
      </c>
      <c r="BF3" s="17">
        <f t="shared" si="1"/>
        <v>0</v>
      </c>
      <c r="BG3" s="17">
        <f t="shared" si="1"/>
        <v>0</v>
      </c>
      <c r="BH3" s="17">
        <f t="shared" si="1"/>
        <v>0</v>
      </c>
      <c r="BI3" s="17">
        <f t="shared" si="1"/>
        <v>0</v>
      </c>
      <c r="BJ3" s="18">
        <f t="shared" si="1"/>
        <v>0</v>
      </c>
    </row>
    <row r="4" spans="1:62" x14ac:dyDescent="0.35">
      <c r="A4" s="1" t="str">
        <f t="shared" ref="A4:A6" si="2">$A$2</f>
        <v>GNPA - ENR  (Plan)</v>
      </c>
      <c r="B4" s="1" t="s">
        <v>157</v>
      </c>
      <c r="C4" s="52">
        <v>1168.2768259189077</v>
      </c>
      <c r="D4" s="53">
        <v>1163.6250637798262</v>
      </c>
      <c r="E4" s="53">
        <v>1178.282669738132</v>
      </c>
      <c r="F4" s="53">
        <v>1192.2066258575774</v>
      </c>
      <c r="G4" s="53">
        <v>1208.9601115244918</v>
      </c>
      <c r="H4" s="53">
        <v>1226.9370338294195</v>
      </c>
      <c r="I4" s="53">
        <v>1255.3176848712428</v>
      </c>
      <c r="J4" s="53">
        <v>1271.2443228348802</v>
      </c>
      <c r="K4" s="53">
        <v>1295.4995943892691</v>
      </c>
      <c r="L4" s="53">
        <v>1319.7046102559718</v>
      </c>
      <c r="M4" s="53">
        <v>1343.4602369871</v>
      </c>
      <c r="N4" s="53">
        <v>1367.1031716624793</v>
      </c>
      <c r="O4" s="54">
        <v>1386.5795798154168</v>
      </c>
      <c r="P4" s="53">
        <v>1432.0079300159841</v>
      </c>
      <c r="Q4" s="53">
        <v>1455.5582003327042</v>
      </c>
      <c r="R4" s="53">
        <v>1481.854340646197</v>
      </c>
      <c r="S4" s="53">
        <v>1457.7993481436295</v>
      </c>
      <c r="T4" s="53">
        <v>1483.4316531467516</v>
      </c>
      <c r="U4" s="53">
        <v>1515.1951258112367</v>
      </c>
      <c r="V4" s="53">
        <v>1560.8872152250115</v>
      </c>
      <c r="W4" s="53">
        <v>1589.9777750408145</v>
      </c>
      <c r="X4" s="53">
        <v>1624.299362937368</v>
      </c>
      <c r="Y4" s="53">
        <v>1652.3172485822033</v>
      </c>
      <c r="Z4" s="53">
        <v>1681.5169444773132</v>
      </c>
      <c r="AA4" s="54">
        <v>1702.4567891870779</v>
      </c>
      <c r="AB4" s="53">
        <v>1720.5343230444719</v>
      </c>
      <c r="AC4" s="53">
        <v>1757.8169347591474</v>
      </c>
      <c r="AD4" s="53">
        <v>1796.2171099332561</v>
      </c>
      <c r="AE4" s="53">
        <v>1821.7591660551452</v>
      </c>
      <c r="AF4" s="53">
        <v>1842.6189376681882</v>
      </c>
      <c r="AG4" s="53">
        <v>1877.6353353934205</v>
      </c>
      <c r="AH4" s="53">
        <v>1911.0491857470988</v>
      </c>
      <c r="AI4" s="53">
        <v>1945.2840738234127</v>
      </c>
      <c r="AJ4" s="53">
        <v>1976.2697927424738</v>
      </c>
      <c r="AK4" s="53">
        <v>1999.355082555684</v>
      </c>
      <c r="AL4" s="53">
        <v>2017.5013227766558</v>
      </c>
      <c r="AM4" s="54">
        <v>2020.7052986968088</v>
      </c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4"/>
      <c r="AY4" s="53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4"/>
    </row>
    <row r="5" spans="1:62" x14ac:dyDescent="0.35">
      <c r="A5" s="2" t="str">
        <f t="shared" si="2"/>
        <v>GNPA - ENR  (Plan)</v>
      </c>
      <c r="B5" s="2" t="s">
        <v>158</v>
      </c>
      <c r="C5" s="55">
        <v>804.83884313248996</v>
      </c>
      <c r="D5" s="56">
        <v>822.54179694711092</v>
      </c>
      <c r="E5" s="56">
        <v>840.64293088046259</v>
      </c>
      <c r="F5" s="56">
        <v>856.57987690278298</v>
      </c>
      <c r="G5" s="56">
        <v>865.8382914928485</v>
      </c>
      <c r="H5" s="56">
        <v>870.74730357426529</v>
      </c>
      <c r="I5" s="56">
        <v>871.37776175053489</v>
      </c>
      <c r="J5" s="56">
        <v>873.60298291510412</v>
      </c>
      <c r="K5" s="56">
        <v>872.09990760077278</v>
      </c>
      <c r="L5" s="56">
        <v>837.7648639268067</v>
      </c>
      <c r="M5" s="56">
        <v>801.86761414835382</v>
      </c>
      <c r="N5" s="56">
        <v>793.99477584688395</v>
      </c>
      <c r="O5" s="57">
        <v>785.41734244939539</v>
      </c>
      <c r="P5" s="56">
        <v>777.7706722804943</v>
      </c>
      <c r="Q5" s="56">
        <v>772.88291214209653</v>
      </c>
      <c r="R5" s="56">
        <v>755.55394712369832</v>
      </c>
      <c r="S5" s="56">
        <v>756.85457260660746</v>
      </c>
      <c r="T5" s="56">
        <v>751.20940593070884</v>
      </c>
      <c r="U5" s="56">
        <v>741.20373858013113</v>
      </c>
      <c r="V5" s="56">
        <v>749.53107951877996</v>
      </c>
      <c r="W5" s="56">
        <v>753.54798693774512</v>
      </c>
      <c r="X5" s="56">
        <v>752.55012125795145</v>
      </c>
      <c r="Y5" s="56">
        <v>751.32448841105997</v>
      </c>
      <c r="Z5" s="56">
        <v>747.81571143407109</v>
      </c>
      <c r="AA5" s="57">
        <v>747.2969219572667</v>
      </c>
      <c r="AB5" s="56">
        <v>743.05525530751265</v>
      </c>
      <c r="AC5" s="56">
        <v>745.28434979962071</v>
      </c>
      <c r="AD5" s="56">
        <v>743.75385345673158</v>
      </c>
      <c r="AE5" s="56">
        <v>748.34574455375048</v>
      </c>
      <c r="AF5" s="56">
        <v>756.93058423373532</v>
      </c>
      <c r="AG5" s="56">
        <v>766.53356418853605</v>
      </c>
      <c r="AH5" s="56">
        <v>774.24742886835759</v>
      </c>
      <c r="AI5" s="56">
        <v>777.74755544576976</v>
      </c>
      <c r="AJ5" s="56">
        <v>782.89661580238976</v>
      </c>
      <c r="AK5" s="56">
        <v>785.82774846272468</v>
      </c>
      <c r="AL5" s="56">
        <v>784.66261505549653</v>
      </c>
      <c r="AM5" s="57">
        <v>782.26208402958105</v>
      </c>
      <c r="AN5" s="56">
        <v>806.00538756850233</v>
      </c>
      <c r="AO5" s="56">
        <v>807.89465087511019</v>
      </c>
      <c r="AP5" s="56">
        <v>811.01685514627729</v>
      </c>
      <c r="AQ5" s="56">
        <v>816.74020689153838</v>
      </c>
      <c r="AR5" s="56">
        <v>826.82889818531169</v>
      </c>
      <c r="AS5" s="56">
        <v>840.82982406380654</v>
      </c>
      <c r="AT5" s="56">
        <v>857.56688417910527</v>
      </c>
      <c r="AU5" s="56">
        <v>877.13059740414656</v>
      </c>
      <c r="AV5" s="56">
        <v>898.18054236611829</v>
      </c>
      <c r="AW5" s="56">
        <v>918.61840851782301</v>
      </c>
      <c r="AX5" s="57">
        <v>938.9797266339242</v>
      </c>
      <c r="AY5" s="56">
        <v>958.6512612304075</v>
      </c>
      <c r="AZ5" s="56"/>
      <c r="BA5" s="56"/>
      <c r="BB5" s="56"/>
      <c r="BC5" s="56"/>
      <c r="BD5" s="56"/>
      <c r="BE5" s="56"/>
      <c r="BF5" s="56"/>
      <c r="BG5" s="56"/>
      <c r="BH5" s="56"/>
      <c r="BI5" s="56"/>
      <c r="BJ5" s="57"/>
    </row>
    <row r="6" spans="1:62" x14ac:dyDescent="0.35">
      <c r="A6" s="3" t="str">
        <f t="shared" si="2"/>
        <v>GNPA - ENR  (Plan)</v>
      </c>
      <c r="B6" s="3" t="s">
        <v>159</v>
      </c>
      <c r="C6" s="58">
        <v>0</v>
      </c>
      <c r="D6" s="59">
        <v>0</v>
      </c>
      <c r="E6" s="59">
        <v>0</v>
      </c>
      <c r="F6" s="59">
        <v>0</v>
      </c>
      <c r="G6" s="59">
        <v>0</v>
      </c>
      <c r="H6" s="59">
        <v>0</v>
      </c>
      <c r="I6" s="59">
        <v>0</v>
      </c>
      <c r="J6" s="59">
        <v>0</v>
      </c>
      <c r="K6" s="59">
        <v>0</v>
      </c>
      <c r="L6" s="59">
        <v>0</v>
      </c>
      <c r="M6" s="59">
        <v>0</v>
      </c>
      <c r="N6" s="59">
        <v>0</v>
      </c>
      <c r="O6" s="60">
        <v>0</v>
      </c>
      <c r="P6" s="59">
        <v>0</v>
      </c>
      <c r="Q6" s="59">
        <v>0</v>
      </c>
      <c r="R6" s="59">
        <v>0</v>
      </c>
      <c r="S6" s="59">
        <v>0</v>
      </c>
      <c r="T6" s="59">
        <v>0</v>
      </c>
      <c r="U6" s="59">
        <v>0</v>
      </c>
      <c r="V6" s="59">
        <v>0</v>
      </c>
      <c r="W6" s="59">
        <v>0</v>
      </c>
      <c r="X6" s="59">
        <v>0</v>
      </c>
      <c r="Y6" s="59">
        <v>0</v>
      </c>
      <c r="Z6" s="59">
        <v>0</v>
      </c>
      <c r="AA6" s="60">
        <v>0</v>
      </c>
      <c r="AB6" s="59">
        <v>0</v>
      </c>
      <c r="AC6" s="59">
        <v>0</v>
      </c>
      <c r="AD6" s="59">
        <v>0</v>
      </c>
      <c r="AE6" s="59">
        <v>0</v>
      </c>
      <c r="AF6" s="59">
        <v>0</v>
      </c>
      <c r="AG6" s="59">
        <v>0</v>
      </c>
      <c r="AH6" s="59">
        <v>0</v>
      </c>
      <c r="AI6" s="59">
        <v>0</v>
      </c>
      <c r="AJ6" s="59">
        <v>0</v>
      </c>
      <c r="AK6" s="59">
        <v>0</v>
      </c>
      <c r="AL6" s="59">
        <v>0</v>
      </c>
      <c r="AM6" s="60">
        <v>0</v>
      </c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60"/>
      <c r="AY6" s="59"/>
      <c r="AZ6" s="59"/>
      <c r="BA6" s="59"/>
      <c r="BB6" s="59"/>
      <c r="BC6" s="59"/>
      <c r="BD6" s="59"/>
      <c r="BE6" s="59"/>
      <c r="BF6" s="59"/>
      <c r="BG6" s="59"/>
      <c r="BH6" s="59"/>
      <c r="BI6" s="59"/>
      <c r="BJ6" s="60"/>
    </row>
    <row r="8" spans="1:62" x14ac:dyDescent="0.35">
      <c r="A8" s="25" t="s">
        <v>153</v>
      </c>
      <c r="B8" s="4" t="s">
        <v>3</v>
      </c>
      <c r="C8" s="19">
        <f>C2</f>
        <v>45352</v>
      </c>
      <c r="D8" s="20">
        <f>EDATE(C8,1)</f>
        <v>45383</v>
      </c>
      <c r="E8" s="20">
        <f>EDATE(D8,1)</f>
        <v>45413</v>
      </c>
      <c r="F8" s="20">
        <f>EDATE(E8,1)</f>
        <v>45444</v>
      </c>
      <c r="G8" s="20">
        <f t="shared" ref="G8:BJ8" si="3">EDATE(F8,1)</f>
        <v>45474</v>
      </c>
      <c r="H8" s="20">
        <f t="shared" si="3"/>
        <v>45505</v>
      </c>
      <c r="I8" s="20">
        <f t="shared" si="3"/>
        <v>45536</v>
      </c>
      <c r="J8" s="20">
        <f t="shared" si="3"/>
        <v>45566</v>
      </c>
      <c r="K8" s="20">
        <f t="shared" si="3"/>
        <v>45597</v>
      </c>
      <c r="L8" s="20">
        <f t="shared" si="3"/>
        <v>45627</v>
      </c>
      <c r="M8" s="20">
        <f t="shared" si="3"/>
        <v>45658</v>
      </c>
      <c r="N8" s="20">
        <f t="shared" si="3"/>
        <v>45689</v>
      </c>
      <c r="O8" s="21">
        <f t="shared" si="3"/>
        <v>45717</v>
      </c>
      <c r="P8" s="20">
        <f t="shared" si="3"/>
        <v>45748</v>
      </c>
      <c r="Q8" s="20">
        <f t="shared" si="3"/>
        <v>45778</v>
      </c>
      <c r="R8" s="20">
        <f t="shared" si="3"/>
        <v>45809</v>
      </c>
      <c r="S8" s="20">
        <f t="shared" si="3"/>
        <v>45839</v>
      </c>
      <c r="T8" s="20">
        <f t="shared" si="3"/>
        <v>45870</v>
      </c>
      <c r="U8" s="20">
        <f t="shared" si="3"/>
        <v>45901</v>
      </c>
      <c r="V8" s="20">
        <f t="shared" si="3"/>
        <v>45931</v>
      </c>
      <c r="W8" s="20">
        <f t="shared" si="3"/>
        <v>45962</v>
      </c>
      <c r="X8" s="20">
        <f t="shared" si="3"/>
        <v>45992</v>
      </c>
      <c r="Y8" s="20">
        <f t="shared" si="3"/>
        <v>46023</v>
      </c>
      <c r="Z8" s="20">
        <f t="shared" si="3"/>
        <v>46054</v>
      </c>
      <c r="AA8" s="21">
        <f t="shared" si="3"/>
        <v>46082</v>
      </c>
      <c r="AB8" s="20">
        <f t="shared" si="3"/>
        <v>46113</v>
      </c>
      <c r="AC8" s="20">
        <f t="shared" si="3"/>
        <v>46143</v>
      </c>
      <c r="AD8" s="20">
        <f t="shared" si="3"/>
        <v>46174</v>
      </c>
      <c r="AE8" s="20">
        <f t="shared" si="3"/>
        <v>46204</v>
      </c>
      <c r="AF8" s="20">
        <f t="shared" si="3"/>
        <v>46235</v>
      </c>
      <c r="AG8" s="20">
        <f t="shared" si="3"/>
        <v>46266</v>
      </c>
      <c r="AH8" s="20">
        <f t="shared" si="3"/>
        <v>46296</v>
      </c>
      <c r="AI8" s="20">
        <f t="shared" si="3"/>
        <v>46327</v>
      </c>
      <c r="AJ8" s="20">
        <f t="shared" si="3"/>
        <v>46357</v>
      </c>
      <c r="AK8" s="20">
        <f t="shared" si="3"/>
        <v>46388</v>
      </c>
      <c r="AL8" s="20">
        <f t="shared" si="3"/>
        <v>46419</v>
      </c>
      <c r="AM8" s="21">
        <f t="shared" si="3"/>
        <v>46447</v>
      </c>
      <c r="AN8" s="20">
        <f t="shared" si="3"/>
        <v>46478</v>
      </c>
      <c r="AO8" s="20">
        <f t="shared" si="3"/>
        <v>46508</v>
      </c>
      <c r="AP8" s="20">
        <f t="shared" si="3"/>
        <v>46539</v>
      </c>
      <c r="AQ8" s="20">
        <f t="shared" si="3"/>
        <v>46569</v>
      </c>
      <c r="AR8" s="20">
        <f t="shared" si="3"/>
        <v>46600</v>
      </c>
      <c r="AS8" s="20">
        <f t="shared" si="3"/>
        <v>46631</v>
      </c>
      <c r="AT8" s="20">
        <f t="shared" si="3"/>
        <v>46661</v>
      </c>
      <c r="AU8" s="20">
        <f t="shared" si="3"/>
        <v>46692</v>
      </c>
      <c r="AV8" s="20">
        <f t="shared" si="3"/>
        <v>46722</v>
      </c>
      <c r="AW8" s="20">
        <f t="shared" si="3"/>
        <v>46753</v>
      </c>
      <c r="AX8" s="21">
        <f t="shared" si="3"/>
        <v>46784</v>
      </c>
      <c r="AY8" s="20">
        <f t="shared" si="3"/>
        <v>46813</v>
      </c>
      <c r="AZ8" s="20">
        <f t="shared" si="3"/>
        <v>46844</v>
      </c>
      <c r="BA8" s="20">
        <f t="shared" si="3"/>
        <v>46874</v>
      </c>
      <c r="BB8" s="20">
        <f t="shared" si="3"/>
        <v>46905</v>
      </c>
      <c r="BC8" s="20">
        <f t="shared" si="3"/>
        <v>46935</v>
      </c>
      <c r="BD8" s="20">
        <f t="shared" si="3"/>
        <v>46966</v>
      </c>
      <c r="BE8" s="20">
        <f t="shared" si="3"/>
        <v>46997</v>
      </c>
      <c r="BF8" s="20">
        <f t="shared" si="3"/>
        <v>47027</v>
      </c>
      <c r="BG8" s="20">
        <f t="shared" si="3"/>
        <v>47058</v>
      </c>
      <c r="BH8" s="20">
        <f t="shared" si="3"/>
        <v>47088</v>
      </c>
      <c r="BI8" s="20">
        <f t="shared" si="3"/>
        <v>47119</v>
      </c>
      <c r="BJ8" s="21">
        <f t="shared" si="3"/>
        <v>47150</v>
      </c>
    </row>
    <row r="9" spans="1:62" x14ac:dyDescent="0.35">
      <c r="A9" s="15" t="str">
        <f>$A$8</f>
        <v>NNPA - ENR  (Plan)</v>
      </c>
      <c r="B9" s="15" t="s">
        <v>188</v>
      </c>
      <c r="C9" s="16">
        <f>SUM(C10:C12)</f>
        <v>1188.9454711971791</v>
      </c>
      <c r="D9" s="17">
        <f t="shared" ref="D9:BJ9" si="4">SUM(D10:D12)</f>
        <v>1204.3515063977643</v>
      </c>
      <c r="E9" s="17">
        <f t="shared" si="4"/>
        <v>1228.0425165617037</v>
      </c>
      <c r="F9" s="17">
        <f t="shared" si="4"/>
        <v>1249.8536337982182</v>
      </c>
      <c r="G9" s="17">
        <f t="shared" si="4"/>
        <v>1269.4132996400449</v>
      </c>
      <c r="H9" s="17">
        <f t="shared" si="4"/>
        <v>1287.2744315754162</v>
      </c>
      <c r="I9" s="17">
        <f t="shared" si="4"/>
        <v>1309.3068214200389</v>
      </c>
      <c r="J9" s="17">
        <f t="shared" si="4"/>
        <v>1330.4186822963009</v>
      </c>
      <c r="K9" s="17">
        <f t="shared" si="4"/>
        <v>1345.9262011037079</v>
      </c>
      <c r="L9" s="17">
        <f t="shared" si="4"/>
        <v>1343.4045968560586</v>
      </c>
      <c r="M9" s="17">
        <f t="shared" si="4"/>
        <v>1344.7484970138721</v>
      </c>
      <c r="N9" s="17">
        <f t="shared" si="4"/>
        <v>1355.1017888991137</v>
      </c>
      <c r="O9" s="18">
        <f t="shared" si="4"/>
        <v>1361.6909368166725</v>
      </c>
      <c r="P9" s="17">
        <f t="shared" si="4"/>
        <v>1387.3179062499548</v>
      </c>
      <c r="Q9" s="17">
        <f t="shared" si="4"/>
        <v>1400.5945769462023</v>
      </c>
      <c r="R9" s="17">
        <f t="shared" si="4"/>
        <v>1407.6360704403596</v>
      </c>
      <c r="S9" s="17">
        <f t="shared" si="4"/>
        <v>1408.0689863150778</v>
      </c>
      <c r="T9" s="17">
        <f t="shared" si="4"/>
        <v>1424.6019463154571</v>
      </c>
      <c r="U9" s="17">
        <f t="shared" si="4"/>
        <v>1445.3677422305964</v>
      </c>
      <c r="V9" s="17">
        <f t="shared" si="4"/>
        <v>1482.0936933327355</v>
      </c>
      <c r="W9" s="17">
        <f t="shared" si="4"/>
        <v>1505.5550460240847</v>
      </c>
      <c r="X9" s="17">
        <f t="shared" si="4"/>
        <v>1529.0661189677362</v>
      </c>
      <c r="Y9" s="17">
        <f t="shared" si="4"/>
        <v>1546.4861051841947</v>
      </c>
      <c r="Z9" s="17">
        <f t="shared" si="4"/>
        <v>1563.1839138778</v>
      </c>
      <c r="AA9" s="18">
        <f t="shared" si="4"/>
        <v>1575.9249118407686</v>
      </c>
      <c r="AB9" s="17">
        <f t="shared" si="4"/>
        <v>1604.3158654733541</v>
      </c>
      <c r="AC9" s="17">
        <f t="shared" si="4"/>
        <v>1628.9242001272219</v>
      </c>
      <c r="AD9" s="17">
        <f t="shared" si="4"/>
        <v>1653.7242408813513</v>
      </c>
      <c r="AE9" s="17">
        <f t="shared" si="4"/>
        <v>1679.4598008101113</v>
      </c>
      <c r="AF9" s="17">
        <f t="shared" si="4"/>
        <v>1705.5651765387847</v>
      </c>
      <c r="AG9" s="17">
        <f t="shared" si="4"/>
        <v>1739.0549461469482</v>
      </c>
      <c r="AH9" s="17">
        <f t="shared" si="4"/>
        <v>1770.9170127832149</v>
      </c>
      <c r="AI9" s="17">
        <f t="shared" si="4"/>
        <v>1798.3340141325359</v>
      </c>
      <c r="AJ9" s="17">
        <f t="shared" si="4"/>
        <v>1822.8953279632765</v>
      </c>
      <c r="AK9" s="17">
        <f t="shared" si="4"/>
        <v>1839.6286010958916</v>
      </c>
      <c r="AL9" s="17">
        <f t="shared" si="4"/>
        <v>1850.6756850545844</v>
      </c>
      <c r="AM9" s="18">
        <f t="shared" si="4"/>
        <v>1851.0825475579488</v>
      </c>
      <c r="AN9" s="17">
        <f t="shared" si="4"/>
        <v>553.53846434494119</v>
      </c>
      <c r="AO9" s="17">
        <f t="shared" si="4"/>
        <v>555.02794150888553</v>
      </c>
      <c r="AP9" s="17">
        <f t="shared" si="4"/>
        <v>557.44211107341584</v>
      </c>
      <c r="AQ9" s="17">
        <f t="shared" si="4"/>
        <v>561.89734386132147</v>
      </c>
      <c r="AR9" s="17">
        <f t="shared" si="4"/>
        <v>569.73785201654937</v>
      </c>
      <c r="AS9" s="17">
        <f t="shared" si="4"/>
        <v>580.54541684344736</v>
      </c>
      <c r="AT9" s="17">
        <f t="shared" si="4"/>
        <v>593.34225152581439</v>
      </c>
      <c r="AU9" s="17">
        <f t="shared" si="4"/>
        <v>608.22458122540002</v>
      </c>
      <c r="AV9" s="17">
        <f t="shared" si="4"/>
        <v>624.12012363266172</v>
      </c>
      <c r="AW9" s="17">
        <f t="shared" si="4"/>
        <v>639.4555253501635</v>
      </c>
      <c r="AX9" s="18">
        <f t="shared" si="4"/>
        <v>654.68188800883945</v>
      </c>
      <c r="AY9" s="17">
        <f t="shared" si="4"/>
        <v>669.30438508205555</v>
      </c>
      <c r="AZ9" s="17">
        <f t="shared" si="4"/>
        <v>0</v>
      </c>
      <c r="BA9" s="17">
        <f t="shared" si="4"/>
        <v>0</v>
      </c>
      <c r="BB9" s="17">
        <f t="shared" si="4"/>
        <v>0</v>
      </c>
      <c r="BC9" s="17">
        <f t="shared" si="4"/>
        <v>0</v>
      </c>
      <c r="BD9" s="17">
        <f t="shared" si="4"/>
        <v>0</v>
      </c>
      <c r="BE9" s="17">
        <f t="shared" si="4"/>
        <v>0</v>
      </c>
      <c r="BF9" s="17">
        <f t="shared" si="4"/>
        <v>0</v>
      </c>
      <c r="BG9" s="17">
        <f t="shared" si="4"/>
        <v>0</v>
      </c>
      <c r="BH9" s="17">
        <f t="shared" si="4"/>
        <v>0</v>
      </c>
      <c r="BI9" s="17">
        <f t="shared" si="4"/>
        <v>0</v>
      </c>
      <c r="BJ9" s="18">
        <f t="shared" si="4"/>
        <v>0</v>
      </c>
    </row>
    <row r="10" spans="1:62" x14ac:dyDescent="0.35">
      <c r="A10" s="1" t="str">
        <f t="shared" ref="A10:A12" si="5">$A$8</f>
        <v>NNPA - ENR  (Plan)</v>
      </c>
      <c r="B10" s="1" t="s">
        <v>157</v>
      </c>
      <c r="C10" s="52">
        <v>684.98676601545105</v>
      </c>
      <c r="D10" s="53">
        <v>687.99936882738211</v>
      </c>
      <c r="E10" s="53">
        <v>696.52546196436401</v>
      </c>
      <c r="F10" s="53">
        <v>706.12247369995748</v>
      </c>
      <c r="G10" s="53">
        <v>717.86108117867286</v>
      </c>
      <c r="H10" s="53">
        <v>730.49289191509899</v>
      </c>
      <c r="I10" s="53">
        <v>749.21316078041491</v>
      </c>
      <c r="J10" s="53">
        <v>766.12660392052499</v>
      </c>
      <c r="K10" s="53">
        <v>782.37437885511804</v>
      </c>
      <c r="L10" s="53">
        <v>798.27954573674845</v>
      </c>
      <c r="M10" s="53">
        <v>814.94232573342697</v>
      </c>
      <c r="N10" s="53">
        <v>830.62562228668082</v>
      </c>
      <c r="O10" s="54">
        <v>842.95760160236659</v>
      </c>
      <c r="P10" s="53">
        <v>874.1938926376223</v>
      </c>
      <c r="Q10" s="53">
        <v>889.12977175506683</v>
      </c>
      <c r="R10" s="53">
        <v>906.26090995133507</v>
      </c>
      <c r="S10" s="53">
        <v>904.83422698790196</v>
      </c>
      <c r="T10" s="53">
        <v>924.24084750306122</v>
      </c>
      <c r="U10" s="53">
        <v>948.42445197455345</v>
      </c>
      <c r="V10" s="53">
        <v>978.8221903188437</v>
      </c>
      <c r="W10" s="53">
        <v>999.22256068211118</v>
      </c>
      <c r="X10" s="53">
        <v>1021.419567631064</v>
      </c>
      <c r="Y10" s="53">
        <v>1039.2988496894018</v>
      </c>
      <c r="Z10" s="53">
        <v>1057.4394253273329</v>
      </c>
      <c r="AA10" s="54">
        <v>1070.5925647064691</v>
      </c>
      <c r="AB10" s="53">
        <v>1102.0142634592498</v>
      </c>
      <c r="AC10" s="53">
        <v>1124.6444718193684</v>
      </c>
      <c r="AD10" s="53">
        <v>1149.7958523799132</v>
      </c>
      <c r="AE10" s="53">
        <v>1170.9494416875873</v>
      </c>
      <c r="AF10" s="53">
        <v>1189.9285373429475</v>
      </c>
      <c r="AG10" s="53">
        <v>1215.9981529765396</v>
      </c>
      <c r="AH10" s="53">
        <v>1241.1293282258493</v>
      </c>
      <c r="AI10" s="53">
        <v>1265.640095713748</v>
      </c>
      <c r="AJ10" s="53">
        <v>1286.2669276103402</v>
      </c>
      <c r="AK10" s="53">
        <v>1301.6078029728355</v>
      </c>
      <c r="AL10" s="53">
        <v>1313.5246991963252</v>
      </c>
      <c r="AM10" s="54">
        <v>1315.6626965362652</v>
      </c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4"/>
      <c r="AY10" s="53"/>
      <c r="AZ10" s="53"/>
      <c r="BA10" s="53"/>
      <c r="BB10" s="53"/>
      <c r="BC10" s="53"/>
      <c r="BD10" s="53"/>
      <c r="BE10" s="53"/>
      <c r="BF10" s="53"/>
      <c r="BG10" s="53"/>
      <c r="BH10" s="53"/>
      <c r="BI10" s="53"/>
      <c r="BJ10" s="54"/>
    </row>
    <row r="11" spans="1:62" x14ac:dyDescent="0.35">
      <c r="A11" s="2" t="str">
        <f t="shared" si="5"/>
        <v>NNPA - ENR  (Plan)</v>
      </c>
      <c r="B11" s="2" t="s">
        <v>158</v>
      </c>
      <c r="C11" s="55">
        <v>503.95870518172802</v>
      </c>
      <c r="D11" s="56">
        <v>516.35213757038207</v>
      </c>
      <c r="E11" s="56">
        <v>531.51705459733967</v>
      </c>
      <c r="F11" s="56">
        <v>543.73116009826072</v>
      </c>
      <c r="G11" s="56">
        <v>551.55221846137215</v>
      </c>
      <c r="H11" s="56">
        <v>556.78153966031709</v>
      </c>
      <c r="I11" s="56">
        <v>560.09366063962398</v>
      </c>
      <c r="J11" s="56">
        <v>564.29207837577587</v>
      </c>
      <c r="K11" s="56">
        <v>563.55182224858981</v>
      </c>
      <c r="L11" s="56">
        <v>545.12505111931</v>
      </c>
      <c r="M11" s="56">
        <v>529.80617128044514</v>
      </c>
      <c r="N11" s="56">
        <v>524.47616661243273</v>
      </c>
      <c r="O11" s="57">
        <v>518.73333521430595</v>
      </c>
      <c r="P11" s="56">
        <v>513.12401361233242</v>
      </c>
      <c r="Q11" s="56">
        <v>511.46480519113561</v>
      </c>
      <c r="R11" s="56">
        <v>501.37516048902467</v>
      </c>
      <c r="S11" s="56">
        <v>503.23475932717599</v>
      </c>
      <c r="T11" s="56">
        <v>500.36109881239594</v>
      </c>
      <c r="U11" s="56">
        <v>496.94329025604293</v>
      </c>
      <c r="V11" s="56">
        <v>503.27150301389179</v>
      </c>
      <c r="W11" s="56">
        <v>506.33248534197367</v>
      </c>
      <c r="X11" s="56">
        <v>507.64655133667236</v>
      </c>
      <c r="Y11" s="56">
        <v>507.18725549479291</v>
      </c>
      <c r="Z11" s="56">
        <v>505.74448855046728</v>
      </c>
      <c r="AA11" s="57">
        <v>505.33234713429943</v>
      </c>
      <c r="AB11" s="56">
        <v>502.30160201410428</v>
      </c>
      <c r="AC11" s="56">
        <v>504.27972830785353</v>
      </c>
      <c r="AD11" s="56">
        <v>503.92838850143818</v>
      </c>
      <c r="AE11" s="56">
        <v>508.51035912252405</v>
      </c>
      <c r="AF11" s="56">
        <v>515.63663919583735</v>
      </c>
      <c r="AG11" s="56">
        <v>523.05679317040847</v>
      </c>
      <c r="AH11" s="56">
        <v>529.78768455736542</v>
      </c>
      <c r="AI11" s="56">
        <v>532.69391841878792</v>
      </c>
      <c r="AJ11" s="56">
        <v>536.62840035293641</v>
      </c>
      <c r="AK11" s="56">
        <v>538.0207981230559</v>
      </c>
      <c r="AL11" s="56">
        <v>537.15098585825922</v>
      </c>
      <c r="AM11" s="57">
        <v>535.4198510216836</v>
      </c>
      <c r="AN11" s="56">
        <v>553.53846434494119</v>
      </c>
      <c r="AO11" s="56">
        <v>555.02794150888553</v>
      </c>
      <c r="AP11" s="56">
        <v>557.44211107341584</v>
      </c>
      <c r="AQ11" s="56">
        <v>561.89734386132147</v>
      </c>
      <c r="AR11" s="56">
        <v>569.73785201654937</v>
      </c>
      <c r="AS11" s="56">
        <v>580.54541684344736</v>
      </c>
      <c r="AT11" s="56">
        <v>593.34225152581439</v>
      </c>
      <c r="AU11" s="56">
        <v>608.22458122540002</v>
      </c>
      <c r="AV11" s="56">
        <v>624.12012363266172</v>
      </c>
      <c r="AW11" s="56">
        <v>639.4555253501635</v>
      </c>
      <c r="AX11" s="57">
        <v>654.68188800883945</v>
      </c>
      <c r="AY11" s="56">
        <v>669.30438508205555</v>
      </c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7"/>
    </row>
    <row r="12" spans="1:62" x14ac:dyDescent="0.35">
      <c r="A12" s="3" t="str">
        <f t="shared" si="5"/>
        <v>NNPA - ENR  (Plan)</v>
      </c>
      <c r="B12" s="3" t="s">
        <v>159</v>
      </c>
      <c r="C12" s="58">
        <v>0</v>
      </c>
      <c r="D12" s="59">
        <v>0</v>
      </c>
      <c r="E12" s="59">
        <v>0</v>
      </c>
      <c r="F12" s="59">
        <v>0</v>
      </c>
      <c r="G12" s="59">
        <v>0</v>
      </c>
      <c r="H12" s="59">
        <v>0</v>
      </c>
      <c r="I12" s="59">
        <v>0</v>
      </c>
      <c r="J12" s="59">
        <v>0</v>
      </c>
      <c r="K12" s="59">
        <v>0</v>
      </c>
      <c r="L12" s="59">
        <v>0</v>
      </c>
      <c r="M12" s="59">
        <v>0</v>
      </c>
      <c r="N12" s="59">
        <v>0</v>
      </c>
      <c r="O12" s="60">
        <v>0</v>
      </c>
      <c r="P12" s="59">
        <v>0</v>
      </c>
      <c r="Q12" s="59">
        <v>0</v>
      </c>
      <c r="R12" s="59">
        <v>0</v>
      </c>
      <c r="S12" s="59">
        <v>0</v>
      </c>
      <c r="T12" s="59">
        <v>0</v>
      </c>
      <c r="U12" s="59">
        <v>0</v>
      </c>
      <c r="V12" s="59">
        <v>0</v>
      </c>
      <c r="W12" s="59">
        <v>0</v>
      </c>
      <c r="X12" s="59">
        <v>0</v>
      </c>
      <c r="Y12" s="59">
        <v>0</v>
      </c>
      <c r="Z12" s="59">
        <v>0</v>
      </c>
      <c r="AA12" s="60">
        <v>0</v>
      </c>
      <c r="AB12" s="59">
        <v>0</v>
      </c>
      <c r="AC12" s="59">
        <v>0</v>
      </c>
      <c r="AD12" s="59">
        <v>0</v>
      </c>
      <c r="AE12" s="59">
        <v>0</v>
      </c>
      <c r="AF12" s="59">
        <v>0</v>
      </c>
      <c r="AG12" s="59">
        <v>0</v>
      </c>
      <c r="AH12" s="59">
        <v>0</v>
      </c>
      <c r="AI12" s="59">
        <v>0</v>
      </c>
      <c r="AJ12" s="59">
        <v>0</v>
      </c>
      <c r="AK12" s="59">
        <v>0</v>
      </c>
      <c r="AL12" s="59">
        <v>0</v>
      </c>
      <c r="AM12" s="60">
        <v>0</v>
      </c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60"/>
      <c r="AY12" s="59"/>
      <c r="AZ12" s="59"/>
      <c r="BA12" s="59"/>
      <c r="BB12" s="59"/>
      <c r="BC12" s="59"/>
      <c r="BD12" s="59"/>
      <c r="BE12" s="59"/>
      <c r="BF12" s="59"/>
      <c r="BG12" s="59"/>
      <c r="BH12" s="59"/>
      <c r="BI12" s="59"/>
      <c r="BJ12" s="60"/>
    </row>
    <row r="14" spans="1:62" x14ac:dyDescent="0.35">
      <c r="A14" s="25" t="s">
        <v>208</v>
      </c>
      <c r="B14" s="4" t="s">
        <v>3</v>
      </c>
      <c r="C14" s="19">
        <f>C2</f>
        <v>45352</v>
      </c>
      <c r="D14" s="20">
        <f>EDATE(C14,1)</f>
        <v>45383</v>
      </c>
      <c r="E14" s="20">
        <f>EDATE(D14,1)</f>
        <v>45413</v>
      </c>
      <c r="F14" s="20">
        <f>EDATE(E14,1)</f>
        <v>45444</v>
      </c>
      <c r="G14" s="20">
        <f t="shared" ref="G14" si="6">EDATE(F14,1)</f>
        <v>45474</v>
      </c>
      <c r="H14" s="20">
        <f t="shared" ref="H14" si="7">EDATE(G14,1)</f>
        <v>45505</v>
      </c>
      <c r="I14" s="20">
        <f t="shared" ref="I14" si="8">EDATE(H14,1)</f>
        <v>45536</v>
      </c>
      <c r="J14" s="20">
        <f t="shared" ref="J14" si="9">EDATE(I14,1)</f>
        <v>45566</v>
      </c>
      <c r="K14" s="20">
        <f t="shared" ref="K14" si="10">EDATE(J14,1)</f>
        <v>45597</v>
      </c>
      <c r="L14" s="20">
        <f t="shared" ref="L14" si="11">EDATE(K14,1)</f>
        <v>45627</v>
      </c>
      <c r="M14" s="20">
        <f t="shared" ref="M14" si="12">EDATE(L14,1)</f>
        <v>45658</v>
      </c>
      <c r="N14" s="20">
        <f t="shared" ref="N14" si="13">EDATE(M14,1)</f>
        <v>45689</v>
      </c>
      <c r="O14" s="21">
        <f t="shared" ref="O14" si="14">EDATE(N14,1)</f>
        <v>45717</v>
      </c>
      <c r="P14" s="20">
        <f t="shared" ref="P14" si="15">EDATE(O14,1)</f>
        <v>45748</v>
      </c>
      <c r="Q14" s="20">
        <f t="shared" ref="Q14" si="16">EDATE(P14,1)</f>
        <v>45778</v>
      </c>
      <c r="R14" s="20">
        <f t="shared" ref="R14" si="17">EDATE(Q14,1)</f>
        <v>45809</v>
      </c>
      <c r="S14" s="20">
        <f t="shared" ref="S14" si="18">EDATE(R14,1)</f>
        <v>45839</v>
      </c>
      <c r="T14" s="20">
        <f t="shared" ref="T14" si="19">EDATE(S14,1)</f>
        <v>45870</v>
      </c>
      <c r="U14" s="20">
        <f t="shared" ref="U14" si="20">EDATE(T14,1)</f>
        <v>45901</v>
      </c>
      <c r="V14" s="20">
        <f t="shared" ref="V14" si="21">EDATE(U14,1)</f>
        <v>45931</v>
      </c>
      <c r="W14" s="20">
        <f t="shared" ref="W14" si="22">EDATE(V14,1)</f>
        <v>45962</v>
      </c>
      <c r="X14" s="20">
        <f t="shared" ref="X14" si="23">EDATE(W14,1)</f>
        <v>45992</v>
      </c>
      <c r="Y14" s="20">
        <f t="shared" ref="Y14" si="24">EDATE(X14,1)</f>
        <v>46023</v>
      </c>
      <c r="Z14" s="20">
        <f t="shared" ref="Z14" si="25">EDATE(Y14,1)</f>
        <v>46054</v>
      </c>
      <c r="AA14" s="21">
        <f t="shared" ref="AA14" si="26">EDATE(Z14,1)</f>
        <v>46082</v>
      </c>
      <c r="AB14" s="20">
        <f t="shared" ref="AB14" si="27">EDATE(AA14,1)</f>
        <v>46113</v>
      </c>
      <c r="AC14" s="20">
        <f t="shared" ref="AC14" si="28">EDATE(AB14,1)</f>
        <v>46143</v>
      </c>
      <c r="AD14" s="20">
        <f t="shared" ref="AD14" si="29">EDATE(AC14,1)</f>
        <v>46174</v>
      </c>
      <c r="AE14" s="20">
        <f t="shared" ref="AE14" si="30">EDATE(AD14,1)</f>
        <v>46204</v>
      </c>
      <c r="AF14" s="20">
        <f t="shared" ref="AF14" si="31">EDATE(AE14,1)</f>
        <v>46235</v>
      </c>
      <c r="AG14" s="20">
        <f t="shared" ref="AG14" si="32">EDATE(AF14,1)</f>
        <v>46266</v>
      </c>
      <c r="AH14" s="20">
        <f t="shared" ref="AH14" si="33">EDATE(AG14,1)</f>
        <v>46296</v>
      </c>
      <c r="AI14" s="20">
        <f t="shared" ref="AI14" si="34">EDATE(AH14,1)</f>
        <v>46327</v>
      </c>
      <c r="AJ14" s="20">
        <f t="shared" ref="AJ14" si="35">EDATE(AI14,1)</f>
        <v>46357</v>
      </c>
      <c r="AK14" s="20">
        <f t="shared" ref="AK14" si="36">EDATE(AJ14,1)</f>
        <v>46388</v>
      </c>
      <c r="AL14" s="20">
        <f t="shared" ref="AL14" si="37">EDATE(AK14,1)</f>
        <v>46419</v>
      </c>
      <c r="AM14" s="21">
        <f t="shared" ref="AM14" si="38">EDATE(AL14,1)</f>
        <v>46447</v>
      </c>
      <c r="AN14" s="20">
        <f t="shared" ref="AN14" si="39">EDATE(AM14,1)</f>
        <v>46478</v>
      </c>
      <c r="AO14" s="20">
        <f t="shared" ref="AO14" si="40">EDATE(AN14,1)</f>
        <v>46508</v>
      </c>
      <c r="AP14" s="20">
        <f t="shared" ref="AP14" si="41">EDATE(AO14,1)</f>
        <v>46539</v>
      </c>
      <c r="AQ14" s="20">
        <f t="shared" ref="AQ14" si="42">EDATE(AP14,1)</f>
        <v>46569</v>
      </c>
      <c r="AR14" s="20">
        <f t="shared" ref="AR14" si="43">EDATE(AQ14,1)</f>
        <v>46600</v>
      </c>
      <c r="AS14" s="20">
        <f t="shared" ref="AS14" si="44">EDATE(AR14,1)</f>
        <v>46631</v>
      </c>
      <c r="AT14" s="20">
        <f t="shared" ref="AT14" si="45">EDATE(AS14,1)</f>
        <v>46661</v>
      </c>
      <c r="AU14" s="20">
        <f t="shared" ref="AU14" si="46">EDATE(AT14,1)</f>
        <v>46692</v>
      </c>
      <c r="AV14" s="20">
        <f t="shared" ref="AV14" si="47">EDATE(AU14,1)</f>
        <v>46722</v>
      </c>
      <c r="AW14" s="20">
        <f t="shared" ref="AW14" si="48">EDATE(AV14,1)</f>
        <v>46753</v>
      </c>
      <c r="AX14" s="21">
        <f t="shared" ref="AX14" si="49">EDATE(AW14,1)</f>
        <v>46784</v>
      </c>
      <c r="AY14" s="20">
        <f t="shared" ref="AY14" si="50">EDATE(AX14,1)</f>
        <v>46813</v>
      </c>
      <c r="AZ14" s="20">
        <f t="shared" ref="AZ14" si="51">EDATE(AY14,1)</f>
        <v>46844</v>
      </c>
      <c r="BA14" s="20">
        <f t="shared" ref="BA14" si="52">EDATE(AZ14,1)</f>
        <v>46874</v>
      </c>
      <c r="BB14" s="20">
        <f t="shared" ref="BB14" si="53">EDATE(BA14,1)</f>
        <v>46905</v>
      </c>
      <c r="BC14" s="20">
        <f t="shared" ref="BC14" si="54">EDATE(BB14,1)</f>
        <v>46935</v>
      </c>
      <c r="BD14" s="20">
        <f t="shared" ref="BD14" si="55">EDATE(BC14,1)</f>
        <v>46966</v>
      </c>
      <c r="BE14" s="20">
        <f t="shared" ref="BE14" si="56">EDATE(BD14,1)</f>
        <v>46997</v>
      </c>
      <c r="BF14" s="20">
        <f t="shared" ref="BF14" si="57">EDATE(BE14,1)</f>
        <v>47027</v>
      </c>
      <c r="BG14" s="20">
        <f t="shared" ref="BG14" si="58">EDATE(BF14,1)</f>
        <v>47058</v>
      </c>
      <c r="BH14" s="20">
        <f t="shared" ref="BH14" si="59">EDATE(BG14,1)</f>
        <v>47088</v>
      </c>
      <c r="BI14" s="20">
        <f t="shared" ref="BI14" si="60">EDATE(BH14,1)</f>
        <v>47119</v>
      </c>
      <c r="BJ14" s="21">
        <f t="shared" ref="BJ14" si="61">EDATE(BI14,1)</f>
        <v>47150</v>
      </c>
    </row>
    <row r="15" spans="1:62" x14ac:dyDescent="0.35">
      <c r="A15" s="15" t="s">
        <v>208</v>
      </c>
      <c r="B15" s="15" t="s">
        <v>188</v>
      </c>
      <c r="C15" s="16">
        <f>SUM(C16:C18)</f>
        <v>1973.1156690513976</v>
      </c>
      <c r="D15" s="17">
        <f t="shared" ref="D15:BJ15" si="62">SUM(D16:D18)</f>
        <v>2086.0197438011933</v>
      </c>
      <c r="E15" s="17">
        <f t="shared" si="62"/>
        <v>2182.0725141487719</v>
      </c>
      <c r="F15" s="17">
        <f t="shared" si="62"/>
        <v>2276.7617528313999</v>
      </c>
      <c r="G15" s="17">
        <f t="shared" si="62"/>
        <v>2383.5939536217829</v>
      </c>
      <c r="H15" s="17">
        <f t="shared" si="62"/>
        <v>2486.1582902211053</v>
      </c>
      <c r="I15" s="17">
        <f t="shared" si="62"/>
        <v>2490.2178366503949</v>
      </c>
      <c r="J15" s="17">
        <f t="shared" si="62"/>
        <v>2619.7450334276332</v>
      </c>
      <c r="K15" s="17">
        <f t="shared" si="62"/>
        <v>2752.952960294529</v>
      </c>
      <c r="L15" s="17">
        <f t="shared" si="62"/>
        <v>2721.1072711504303</v>
      </c>
      <c r="M15" s="17">
        <f t="shared" si="62"/>
        <v>2859.23349905031</v>
      </c>
      <c r="N15" s="17">
        <f t="shared" si="62"/>
        <v>2812.55613349955</v>
      </c>
      <c r="O15" s="18">
        <f t="shared" si="62"/>
        <v>2947.3300464495501</v>
      </c>
      <c r="P15" s="17">
        <f t="shared" si="62"/>
        <v>3063.8851308906387</v>
      </c>
      <c r="Q15" s="17">
        <f t="shared" si="62"/>
        <v>3173.5189996522845</v>
      </c>
      <c r="R15" s="17">
        <f t="shared" si="62"/>
        <v>3287.5578074293717</v>
      </c>
      <c r="S15" s="17">
        <f t="shared" si="62"/>
        <v>3424.4792957493396</v>
      </c>
      <c r="T15" s="17">
        <f t="shared" si="62"/>
        <v>3561.8667303608818</v>
      </c>
      <c r="U15" s="17">
        <f t="shared" si="62"/>
        <v>3696.5644076965514</v>
      </c>
      <c r="V15" s="17">
        <f t="shared" si="62"/>
        <v>3660.2823120791195</v>
      </c>
      <c r="W15" s="17">
        <f t="shared" si="62"/>
        <v>3639.2703734833012</v>
      </c>
      <c r="X15" s="17">
        <f t="shared" si="62"/>
        <v>3417.1055784031983</v>
      </c>
      <c r="Y15" s="17">
        <f t="shared" si="62"/>
        <v>3438.8920263571572</v>
      </c>
      <c r="Z15" s="17">
        <f t="shared" si="62"/>
        <v>3253.0503429048899</v>
      </c>
      <c r="AA15" s="18">
        <f t="shared" si="62"/>
        <v>3291.9845657056794</v>
      </c>
      <c r="AB15" s="17">
        <f t="shared" si="62"/>
        <v>3251.8239015507238</v>
      </c>
      <c r="AC15" s="17">
        <f t="shared" si="62"/>
        <v>3229.059922257657</v>
      </c>
      <c r="AD15" s="17">
        <f t="shared" si="62"/>
        <v>3192.9676946371233</v>
      </c>
      <c r="AE15" s="17">
        <f t="shared" si="62"/>
        <v>3190.2707017536704</v>
      </c>
      <c r="AF15" s="17">
        <f t="shared" si="62"/>
        <v>3199.4640277060521</v>
      </c>
      <c r="AG15" s="17">
        <f t="shared" si="62"/>
        <v>3182.0900842073975</v>
      </c>
      <c r="AH15" s="17">
        <f t="shared" si="62"/>
        <v>3231.6046561267717</v>
      </c>
      <c r="AI15" s="17">
        <f t="shared" si="62"/>
        <v>3289.2338008229431</v>
      </c>
      <c r="AJ15" s="17">
        <f t="shared" si="62"/>
        <v>3219.5317323431955</v>
      </c>
      <c r="AK15" s="17">
        <f t="shared" si="62"/>
        <v>3282.1310138209205</v>
      </c>
      <c r="AL15" s="17">
        <f t="shared" si="62"/>
        <v>3202.0777562431422</v>
      </c>
      <c r="AM15" s="18">
        <f t="shared" si="62"/>
        <v>3235.151870675832</v>
      </c>
      <c r="AN15" s="17">
        <f t="shared" si="62"/>
        <v>0</v>
      </c>
      <c r="AO15" s="17">
        <f t="shared" si="62"/>
        <v>0</v>
      </c>
      <c r="AP15" s="17">
        <f t="shared" si="62"/>
        <v>0</v>
      </c>
      <c r="AQ15" s="17">
        <f t="shared" si="62"/>
        <v>0</v>
      </c>
      <c r="AR15" s="17">
        <f t="shared" si="62"/>
        <v>0</v>
      </c>
      <c r="AS15" s="17">
        <f t="shared" si="62"/>
        <v>0</v>
      </c>
      <c r="AT15" s="17">
        <f t="shared" si="62"/>
        <v>0</v>
      </c>
      <c r="AU15" s="17">
        <f t="shared" si="62"/>
        <v>0</v>
      </c>
      <c r="AV15" s="17">
        <f t="shared" si="62"/>
        <v>0</v>
      </c>
      <c r="AW15" s="17">
        <f t="shared" si="62"/>
        <v>0</v>
      </c>
      <c r="AX15" s="18">
        <f t="shared" si="62"/>
        <v>0</v>
      </c>
      <c r="AY15" s="17">
        <f t="shared" si="62"/>
        <v>0</v>
      </c>
      <c r="AZ15" s="17">
        <f t="shared" si="62"/>
        <v>0</v>
      </c>
      <c r="BA15" s="17">
        <f t="shared" si="62"/>
        <v>0</v>
      </c>
      <c r="BB15" s="17">
        <f t="shared" si="62"/>
        <v>0</v>
      </c>
      <c r="BC15" s="17">
        <f t="shared" si="62"/>
        <v>0</v>
      </c>
      <c r="BD15" s="17">
        <f t="shared" si="62"/>
        <v>0</v>
      </c>
      <c r="BE15" s="17">
        <f t="shared" si="62"/>
        <v>0</v>
      </c>
      <c r="BF15" s="17">
        <f t="shared" si="62"/>
        <v>0</v>
      </c>
      <c r="BG15" s="17">
        <f t="shared" si="62"/>
        <v>0</v>
      </c>
      <c r="BH15" s="17">
        <f t="shared" si="62"/>
        <v>0</v>
      </c>
      <c r="BI15" s="17">
        <f t="shared" si="62"/>
        <v>0</v>
      </c>
      <c r="BJ15" s="18">
        <f t="shared" si="62"/>
        <v>0</v>
      </c>
    </row>
    <row r="16" spans="1:62" x14ac:dyDescent="0.35">
      <c r="A16" s="1" t="s">
        <v>208</v>
      </c>
      <c r="B16" s="1" t="s">
        <v>157</v>
      </c>
      <c r="C16" s="52">
        <f>C94+C100</f>
        <v>1168.2768259189077</v>
      </c>
      <c r="D16" s="53">
        <f t="shared" ref="D16:AM16" si="63">D94+D100</f>
        <v>1195.2800691275904</v>
      </c>
      <c r="E16" s="53">
        <f t="shared" si="63"/>
        <v>1229.1027015136528</v>
      </c>
      <c r="F16" s="53">
        <f t="shared" si="63"/>
        <v>1262.4012859555214</v>
      </c>
      <c r="G16" s="53">
        <f t="shared" si="63"/>
        <v>1304.0665910266209</v>
      </c>
      <c r="H16" s="53">
        <f t="shared" si="63"/>
        <v>1342.4966150261885</v>
      </c>
      <c r="I16" s="53">
        <f t="shared" si="63"/>
        <v>1384.2052614058289</v>
      </c>
      <c r="J16" s="53">
        <f t="shared" si="63"/>
        <v>1438.8268464322559</v>
      </c>
      <c r="K16" s="53">
        <f t="shared" si="63"/>
        <v>1496.5200613298516</v>
      </c>
      <c r="L16" s="53">
        <f t="shared" si="63"/>
        <v>1558.1761149630952</v>
      </c>
      <c r="M16" s="53">
        <f t="shared" si="63"/>
        <v>1620.2354400279148</v>
      </c>
      <c r="N16" s="53">
        <f t="shared" si="63"/>
        <v>1680.7507273375147</v>
      </c>
      <c r="O16" s="54">
        <f t="shared" si="63"/>
        <v>1740.266507685008</v>
      </c>
      <c r="P16" s="53">
        <f t="shared" si="63"/>
        <v>1796.1283502022029</v>
      </c>
      <c r="Q16" s="53">
        <f t="shared" si="63"/>
        <v>1835.120036041591</v>
      </c>
      <c r="R16" s="53">
        <f t="shared" si="63"/>
        <v>1877.2809116169749</v>
      </c>
      <c r="S16" s="53">
        <f t="shared" si="63"/>
        <v>1931.4366842538859</v>
      </c>
      <c r="T16" s="53">
        <f t="shared" si="63"/>
        <v>1983.7698375845403</v>
      </c>
      <c r="U16" s="53">
        <f>U94+U100</f>
        <v>2030.7215760795034</v>
      </c>
      <c r="V16" s="53">
        <f t="shared" si="63"/>
        <v>2008.0565137487979</v>
      </c>
      <c r="W16" s="53">
        <f t="shared" si="63"/>
        <v>1991.5605273087117</v>
      </c>
      <c r="X16" s="53">
        <f t="shared" si="63"/>
        <v>1985.279287574253</v>
      </c>
      <c r="Y16" s="53">
        <f t="shared" si="63"/>
        <v>1986.9085741465008</v>
      </c>
      <c r="Z16" s="53">
        <f t="shared" si="63"/>
        <v>1988.8700612416051</v>
      </c>
      <c r="AA16" s="54">
        <f t="shared" si="63"/>
        <v>1993.516684517044</v>
      </c>
      <c r="AB16" s="53">
        <f t="shared" si="63"/>
        <v>1978.203310217476</v>
      </c>
      <c r="AC16" s="53">
        <f t="shared" si="63"/>
        <v>1965.2936480550513</v>
      </c>
      <c r="AD16" s="53">
        <f t="shared" si="63"/>
        <v>1933.386197957363</v>
      </c>
      <c r="AE16" s="53">
        <f t="shared" si="63"/>
        <v>1921.9805536973904</v>
      </c>
      <c r="AF16" s="53">
        <f t="shared" si="63"/>
        <v>1915.8750438991469</v>
      </c>
      <c r="AG16" s="53">
        <f t="shared" si="63"/>
        <v>1926.2095895199418</v>
      </c>
      <c r="AH16" s="53">
        <f t="shared" si="63"/>
        <v>1949.5219479120669</v>
      </c>
      <c r="AI16" s="53">
        <f t="shared" si="63"/>
        <v>1979.6973149420542</v>
      </c>
      <c r="AJ16" s="53">
        <f t="shared" si="63"/>
        <v>2014.676496419361</v>
      </c>
      <c r="AK16" s="53">
        <f t="shared" si="63"/>
        <v>2048.914745090573</v>
      </c>
      <c r="AL16" s="53">
        <f t="shared" si="63"/>
        <v>2072.708673015677</v>
      </c>
      <c r="AM16" s="54">
        <f t="shared" si="63"/>
        <v>2091.3439350960862</v>
      </c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4"/>
      <c r="AY16" s="53"/>
      <c r="AZ16" s="53"/>
      <c r="BA16" s="53"/>
      <c r="BB16" s="53"/>
      <c r="BC16" s="53"/>
      <c r="BD16" s="53"/>
      <c r="BE16" s="53"/>
      <c r="BF16" s="53"/>
      <c r="BG16" s="53"/>
      <c r="BH16" s="53"/>
      <c r="BI16" s="53"/>
      <c r="BJ16" s="54"/>
    </row>
    <row r="17" spans="1:62" x14ac:dyDescent="0.35">
      <c r="A17" s="2" t="s">
        <v>208</v>
      </c>
      <c r="B17" s="2" t="s">
        <v>158</v>
      </c>
      <c r="C17" s="55">
        <f t="shared" ref="C17:AM17" si="64">C95+C101</f>
        <v>804.83884313248996</v>
      </c>
      <c r="D17" s="56">
        <f t="shared" si="64"/>
        <v>882.07089086638052</v>
      </c>
      <c r="E17" s="56">
        <f t="shared" si="64"/>
        <v>944.61716484185308</v>
      </c>
      <c r="F17" s="56">
        <f t="shared" si="64"/>
        <v>1006.3485004894808</v>
      </c>
      <c r="G17" s="56">
        <f t="shared" si="64"/>
        <v>1071.8891890433235</v>
      </c>
      <c r="H17" s="56">
        <f t="shared" si="64"/>
        <v>1136.4214327243003</v>
      </c>
      <c r="I17" s="56">
        <f t="shared" si="64"/>
        <v>1099.1675816007687</v>
      </c>
      <c r="J17" s="56">
        <f t="shared" si="64"/>
        <v>1174.4744936548864</v>
      </c>
      <c r="K17" s="56">
        <f t="shared" si="64"/>
        <v>1250.3681155578493</v>
      </c>
      <c r="L17" s="56">
        <f t="shared" si="64"/>
        <v>1157.2259161051811</v>
      </c>
      <c r="M17" s="56">
        <f t="shared" si="64"/>
        <v>1233.6508005048618</v>
      </c>
      <c r="N17" s="56">
        <f t="shared" si="64"/>
        <v>1126.7917964379953</v>
      </c>
      <c r="O17" s="57">
        <f t="shared" si="64"/>
        <v>1202.4201421946495</v>
      </c>
      <c r="P17" s="56">
        <f t="shared" si="64"/>
        <v>1263.2720235261374</v>
      </c>
      <c r="Q17" s="56">
        <f t="shared" si="64"/>
        <v>1334.0899103992272</v>
      </c>
      <c r="R17" s="56">
        <f t="shared" si="64"/>
        <v>1406.1581927223906</v>
      </c>
      <c r="S17" s="56">
        <f t="shared" si="64"/>
        <v>1489.1339834531502</v>
      </c>
      <c r="T17" s="56">
        <f t="shared" si="64"/>
        <v>1574.4098311775767</v>
      </c>
      <c r="U17" s="56">
        <f t="shared" si="64"/>
        <v>1662.3769708692284</v>
      </c>
      <c r="V17" s="56">
        <f t="shared" si="64"/>
        <v>1648.9406507076408</v>
      </c>
      <c r="W17" s="56">
        <f t="shared" si="64"/>
        <v>1644.5564473664735</v>
      </c>
      <c r="X17" s="56">
        <f t="shared" si="64"/>
        <v>1428.7670927629511</v>
      </c>
      <c r="Y17" s="56">
        <f t="shared" si="64"/>
        <v>1448.9811522324042</v>
      </c>
      <c r="Z17" s="56">
        <f t="shared" si="64"/>
        <v>1261.1982113928534</v>
      </c>
      <c r="AA17" s="57">
        <f t="shared" si="64"/>
        <v>1295.4703303741746</v>
      </c>
      <c r="AB17" s="56">
        <f t="shared" si="64"/>
        <v>1270.5836972243712</v>
      </c>
      <c r="AC17" s="56">
        <f t="shared" si="64"/>
        <v>1260.6721567612235</v>
      </c>
      <c r="AD17" s="56">
        <f t="shared" si="64"/>
        <v>1256.3987499796908</v>
      </c>
      <c r="AE17" s="56">
        <f t="shared" si="64"/>
        <v>1264.9805186132521</v>
      </c>
      <c r="AF17" s="56">
        <f t="shared" si="64"/>
        <v>1280.1124365987641</v>
      </c>
      <c r="AG17" s="56">
        <f t="shared" si="64"/>
        <v>1252.1929037577977</v>
      </c>
      <c r="AH17" s="56">
        <f t="shared" si="64"/>
        <v>1277.9786767355586</v>
      </c>
      <c r="AI17" s="56">
        <f t="shared" si="64"/>
        <v>1305.0578886962901</v>
      </c>
      <c r="AJ17" s="56">
        <f t="shared" si="64"/>
        <v>1200.0193135254945</v>
      </c>
      <c r="AK17" s="56">
        <f t="shared" si="64"/>
        <v>1228.0428393685679</v>
      </c>
      <c r="AL17" s="56">
        <f t="shared" si="64"/>
        <v>1123.8871932250258</v>
      </c>
      <c r="AM17" s="57">
        <f t="shared" si="64"/>
        <v>1137.9913196365944</v>
      </c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AX17" s="57"/>
      <c r="AY17" s="56"/>
      <c r="AZ17" s="56"/>
      <c r="BA17" s="56"/>
      <c r="BB17" s="56"/>
      <c r="BC17" s="56"/>
      <c r="BD17" s="56"/>
      <c r="BE17" s="56"/>
      <c r="BF17" s="56"/>
      <c r="BG17" s="56"/>
      <c r="BH17" s="56"/>
      <c r="BI17" s="56"/>
      <c r="BJ17" s="57"/>
    </row>
    <row r="18" spans="1:62" x14ac:dyDescent="0.35">
      <c r="A18" s="3" t="s">
        <v>208</v>
      </c>
      <c r="B18" s="3" t="s">
        <v>159</v>
      </c>
      <c r="C18" s="58">
        <f t="shared" ref="C18:AM18" si="65">C96+C102</f>
        <v>0</v>
      </c>
      <c r="D18" s="59">
        <f t="shared" si="65"/>
        <v>8.6687838072224004</v>
      </c>
      <c r="E18" s="59">
        <f t="shared" si="65"/>
        <v>8.3526477932660779</v>
      </c>
      <c r="F18" s="59">
        <f t="shared" si="65"/>
        <v>8.0119663863977042</v>
      </c>
      <c r="G18" s="59">
        <f t="shared" si="65"/>
        <v>7.6381735518386256</v>
      </c>
      <c r="H18" s="59">
        <f t="shared" si="65"/>
        <v>7.2402424706164874</v>
      </c>
      <c r="I18" s="59">
        <f t="shared" si="65"/>
        <v>6.8449936437972854</v>
      </c>
      <c r="J18" s="59">
        <f t="shared" si="65"/>
        <v>6.4436933404910404</v>
      </c>
      <c r="K18" s="59">
        <f t="shared" si="65"/>
        <v>6.06478340682804</v>
      </c>
      <c r="L18" s="59">
        <f t="shared" si="65"/>
        <v>5.7052400821538463</v>
      </c>
      <c r="M18" s="59">
        <f t="shared" si="65"/>
        <v>5.3472585175335769</v>
      </c>
      <c r="N18" s="59">
        <f t="shared" si="65"/>
        <v>5.0136097240403519</v>
      </c>
      <c r="O18" s="60">
        <f t="shared" si="65"/>
        <v>4.6433965698926469</v>
      </c>
      <c r="P18" s="59">
        <f t="shared" si="65"/>
        <v>4.4847571622984743</v>
      </c>
      <c r="Q18" s="59">
        <f t="shared" si="65"/>
        <v>4.3090532114661331</v>
      </c>
      <c r="R18" s="59">
        <f t="shared" si="65"/>
        <v>4.1187030900061981</v>
      </c>
      <c r="S18" s="59">
        <f t="shared" si="65"/>
        <v>3.9086280423036288</v>
      </c>
      <c r="T18" s="59">
        <f t="shared" si="65"/>
        <v>3.6870615987643709</v>
      </c>
      <c r="U18" s="59">
        <f t="shared" si="65"/>
        <v>3.4658607478194026</v>
      </c>
      <c r="V18" s="59">
        <f t="shared" si="65"/>
        <v>3.2851476226812171</v>
      </c>
      <c r="W18" s="59">
        <f t="shared" si="65"/>
        <v>3.1533988081159743</v>
      </c>
      <c r="X18" s="59">
        <f t="shared" si="65"/>
        <v>3.0591980659943534</v>
      </c>
      <c r="Y18" s="59">
        <f t="shared" si="65"/>
        <v>3.0022999782522883</v>
      </c>
      <c r="Z18" s="59">
        <f t="shared" si="65"/>
        <v>2.9820702704314552</v>
      </c>
      <c r="AA18" s="60">
        <f t="shared" si="65"/>
        <v>2.997550814460622</v>
      </c>
      <c r="AB18" s="59">
        <f t="shared" si="65"/>
        <v>3.0368941088769064</v>
      </c>
      <c r="AC18" s="59">
        <f t="shared" si="65"/>
        <v>3.0941174413824037</v>
      </c>
      <c r="AD18" s="59">
        <f t="shared" si="65"/>
        <v>3.1827467000694827</v>
      </c>
      <c r="AE18" s="59">
        <f t="shared" si="65"/>
        <v>3.3096294430277813</v>
      </c>
      <c r="AF18" s="59">
        <f t="shared" si="65"/>
        <v>3.4765472081414277</v>
      </c>
      <c r="AG18" s="59">
        <f t="shared" si="65"/>
        <v>3.6875909296580169</v>
      </c>
      <c r="AH18" s="59">
        <f t="shared" si="65"/>
        <v>4.1040314791461237</v>
      </c>
      <c r="AI18" s="59">
        <f t="shared" si="65"/>
        <v>4.4785971845989456</v>
      </c>
      <c r="AJ18" s="59">
        <f t="shared" si="65"/>
        <v>4.8359223983399007</v>
      </c>
      <c r="AK18" s="59">
        <f t="shared" si="65"/>
        <v>5.1734293617795446</v>
      </c>
      <c r="AL18" s="59">
        <f t="shared" si="65"/>
        <v>5.4818900024393891</v>
      </c>
      <c r="AM18" s="60">
        <f t="shared" si="65"/>
        <v>5.8166159431516649</v>
      </c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60"/>
      <c r="AY18" s="59"/>
      <c r="AZ18" s="59"/>
      <c r="BA18" s="59"/>
      <c r="BB18" s="59"/>
      <c r="BC18" s="59"/>
      <c r="BD18" s="59"/>
      <c r="BE18" s="59"/>
      <c r="BF18" s="59"/>
      <c r="BG18" s="59"/>
      <c r="BH18" s="59"/>
      <c r="BI18" s="59"/>
      <c r="BJ18" s="60"/>
    </row>
    <row r="20" spans="1:62" x14ac:dyDescent="0.35">
      <c r="A20" s="25" t="s">
        <v>209</v>
      </c>
      <c r="B20" s="4" t="s">
        <v>3</v>
      </c>
      <c r="C20" s="19">
        <f>C14</f>
        <v>45352</v>
      </c>
      <c r="D20" s="20">
        <f>EDATE(C20,1)</f>
        <v>45383</v>
      </c>
      <c r="E20" s="20">
        <f>EDATE(D20,1)</f>
        <v>45413</v>
      </c>
      <c r="F20" s="20">
        <f>EDATE(E20,1)</f>
        <v>45444</v>
      </c>
      <c r="G20" s="20">
        <f t="shared" ref="G20" si="66">EDATE(F20,1)</f>
        <v>45474</v>
      </c>
      <c r="H20" s="20">
        <f t="shared" ref="H20" si="67">EDATE(G20,1)</f>
        <v>45505</v>
      </c>
      <c r="I20" s="20">
        <f t="shared" ref="I20" si="68">EDATE(H20,1)</f>
        <v>45536</v>
      </c>
      <c r="J20" s="20">
        <f t="shared" ref="J20" si="69">EDATE(I20,1)</f>
        <v>45566</v>
      </c>
      <c r="K20" s="20">
        <f t="shared" ref="K20" si="70">EDATE(J20,1)</f>
        <v>45597</v>
      </c>
      <c r="L20" s="20">
        <f t="shared" ref="L20" si="71">EDATE(K20,1)</f>
        <v>45627</v>
      </c>
      <c r="M20" s="20">
        <f t="shared" ref="M20" si="72">EDATE(L20,1)</f>
        <v>45658</v>
      </c>
      <c r="N20" s="20">
        <f t="shared" ref="N20" si="73">EDATE(M20,1)</f>
        <v>45689</v>
      </c>
      <c r="O20" s="21">
        <f t="shared" ref="O20" si="74">EDATE(N20,1)</f>
        <v>45717</v>
      </c>
      <c r="P20" s="20">
        <f t="shared" ref="P20" si="75">EDATE(O20,1)</f>
        <v>45748</v>
      </c>
      <c r="Q20" s="20">
        <f t="shared" ref="Q20" si="76">EDATE(P20,1)</f>
        <v>45778</v>
      </c>
      <c r="R20" s="20">
        <f t="shared" ref="R20" si="77">EDATE(Q20,1)</f>
        <v>45809</v>
      </c>
      <c r="S20" s="20">
        <f t="shared" ref="S20" si="78">EDATE(R20,1)</f>
        <v>45839</v>
      </c>
      <c r="T20" s="20">
        <f t="shared" ref="T20" si="79">EDATE(S20,1)</f>
        <v>45870</v>
      </c>
      <c r="U20" s="20">
        <f t="shared" ref="U20" si="80">EDATE(T20,1)</f>
        <v>45901</v>
      </c>
      <c r="V20" s="20">
        <f t="shared" ref="V20" si="81">EDATE(U20,1)</f>
        <v>45931</v>
      </c>
      <c r="W20" s="20">
        <f t="shared" ref="W20" si="82">EDATE(V20,1)</f>
        <v>45962</v>
      </c>
      <c r="X20" s="20">
        <f t="shared" ref="X20" si="83">EDATE(W20,1)</f>
        <v>45992</v>
      </c>
      <c r="Y20" s="20">
        <f t="shared" ref="Y20" si="84">EDATE(X20,1)</f>
        <v>46023</v>
      </c>
      <c r="Z20" s="20">
        <f t="shared" ref="Z20" si="85">EDATE(Y20,1)</f>
        <v>46054</v>
      </c>
      <c r="AA20" s="21">
        <f t="shared" ref="AA20" si="86">EDATE(Z20,1)</f>
        <v>46082</v>
      </c>
      <c r="AB20" s="20">
        <f t="shared" ref="AB20" si="87">EDATE(AA20,1)</f>
        <v>46113</v>
      </c>
      <c r="AC20" s="20">
        <f t="shared" ref="AC20" si="88">EDATE(AB20,1)</f>
        <v>46143</v>
      </c>
      <c r="AD20" s="20">
        <f t="shared" ref="AD20" si="89">EDATE(AC20,1)</f>
        <v>46174</v>
      </c>
      <c r="AE20" s="20">
        <f t="shared" ref="AE20" si="90">EDATE(AD20,1)</f>
        <v>46204</v>
      </c>
      <c r="AF20" s="20">
        <f t="shared" ref="AF20" si="91">EDATE(AE20,1)</f>
        <v>46235</v>
      </c>
      <c r="AG20" s="20">
        <f t="shared" ref="AG20" si="92">EDATE(AF20,1)</f>
        <v>46266</v>
      </c>
      <c r="AH20" s="20">
        <f t="shared" ref="AH20" si="93">EDATE(AG20,1)</f>
        <v>46296</v>
      </c>
      <c r="AI20" s="20">
        <f t="shared" ref="AI20" si="94">EDATE(AH20,1)</f>
        <v>46327</v>
      </c>
      <c r="AJ20" s="20">
        <f t="shared" ref="AJ20" si="95">EDATE(AI20,1)</f>
        <v>46357</v>
      </c>
      <c r="AK20" s="20">
        <f t="shared" ref="AK20" si="96">EDATE(AJ20,1)</f>
        <v>46388</v>
      </c>
      <c r="AL20" s="20">
        <f t="shared" ref="AL20" si="97">EDATE(AK20,1)</f>
        <v>46419</v>
      </c>
      <c r="AM20" s="21">
        <f t="shared" ref="AM20" si="98">EDATE(AL20,1)</f>
        <v>46447</v>
      </c>
      <c r="AN20" s="20">
        <f t="shared" ref="AN20" si="99">EDATE(AM20,1)</f>
        <v>46478</v>
      </c>
      <c r="AO20" s="20">
        <f t="shared" ref="AO20" si="100">EDATE(AN20,1)</f>
        <v>46508</v>
      </c>
      <c r="AP20" s="20">
        <f t="shared" ref="AP20" si="101">EDATE(AO20,1)</f>
        <v>46539</v>
      </c>
      <c r="AQ20" s="20">
        <f t="shared" ref="AQ20" si="102">EDATE(AP20,1)</f>
        <v>46569</v>
      </c>
      <c r="AR20" s="20">
        <f t="shared" ref="AR20" si="103">EDATE(AQ20,1)</f>
        <v>46600</v>
      </c>
      <c r="AS20" s="20">
        <f t="shared" ref="AS20" si="104">EDATE(AR20,1)</f>
        <v>46631</v>
      </c>
      <c r="AT20" s="20">
        <f t="shared" ref="AT20" si="105">EDATE(AS20,1)</f>
        <v>46661</v>
      </c>
      <c r="AU20" s="20">
        <f t="shared" ref="AU20" si="106">EDATE(AT20,1)</f>
        <v>46692</v>
      </c>
      <c r="AV20" s="20">
        <f t="shared" ref="AV20" si="107">EDATE(AU20,1)</f>
        <v>46722</v>
      </c>
      <c r="AW20" s="20">
        <f t="shared" ref="AW20" si="108">EDATE(AV20,1)</f>
        <v>46753</v>
      </c>
      <c r="AX20" s="21">
        <f t="shared" ref="AX20" si="109">EDATE(AW20,1)</f>
        <v>46784</v>
      </c>
      <c r="AY20" s="20">
        <f t="shared" ref="AY20" si="110">EDATE(AX20,1)</f>
        <v>46813</v>
      </c>
      <c r="AZ20" s="20">
        <f t="shared" ref="AZ20" si="111">EDATE(AY20,1)</f>
        <v>46844</v>
      </c>
      <c r="BA20" s="20">
        <f t="shared" ref="BA20" si="112">EDATE(AZ20,1)</f>
        <v>46874</v>
      </c>
      <c r="BB20" s="20">
        <f t="shared" ref="BB20" si="113">EDATE(BA20,1)</f>
        <v>46905</v>
      </c>
      <c r="BC20" s="20">
        <f t="shared" ref="BC20" si="114">EDATE(BB20,1)</f>
        <v>46935</v>
      </c>
      <c r="BD20" s="20">
        <f t="shared" ref="BD20" si="115">EDATE(BC20,1)</f>
        <v>46966</v>
      </c>
      <c r="BE20" s="20">
        <f t="shared" ref="BE20" si="116">EDATE(BD20,1)</f>
        <v>46997</v>
      </c>
      <c r="BF20" s="20">
        <f t="shared" ref="BF20" si="117">EDATE(BE20,1)</f>
        <v>47027</v>
      </c>
      <c r="BG20" s="20">
        <f t="shared" ref="BG20" si="118">EDATE(BF20,1)</f>
        <v>47058</v>
      </c>
      <c r="BH20" s="20">
        <f t="shared" ref="BH20" si="119">EDATE(BG20,1)</f>
        <v>47088</v>
      </c>
      <c r="BI20" s="20">
        <f t="shared" ref="BI20" si="120">EDATE(BH20,1)</f>
        <v>47119</v>
      </c>
      <c r="BJ20" s="21">
        <f t="shared" ref="BJ20" si="121">EDATE(BI20,1)</f>
        <v>47150</v>
      </c>
    </row>
    <row r="21" spans="1:62" x14ac:dyDescent="0.35">
      <c r="A21" s="15" t="s">
        <v>209</v>
      </c>
      <c r="B21" s="15" t="s">
        <v>188</v>
      </c>
      <c r="C21" s="16">
        <f>SUM(C22:C24)</f>
        <v>1188.9454711971789</v>
      </c>
      <c r="D21" s="17">
        <f t="shared" ref="D21:BJ21" si="122">SUM(D22:D24)</f>
        <v>1272.2644115252053</v>
      </c>
      <c r="E21" s="17">
        <f t="shared" si="122"/>
        <v>1337.5907083452316</v>
      </c>
      <c r="F21" s="17">
        <f t="shared" si="122"/>
        <v>1401.6623583044995</v>
      </c>
      <c r="G21" s="17">
        <f t="shared" si="122"/>
        <v>1474.4778928560343</v>
      </c>
      <c r="H21" s="17">
        <f t="shared" si="122"/>
        <v>1545.2895803527572</v>
      </c>
      <c r="I21" s="17">
        <f t="shared" si="122"/>
        <v>1549.2925668655084</v>
      </c>
      <c r="J21" s="17">
        <f t="shared" si="122"/>
        <v>1520.4874154069053</v>
      </c>
      <c r="K21" s="17">
        <f t="shared" si="122"/>
        <v>1602.6737084618865</v>
      </c>
      <c r="L21" s="17">
        <f t="shared" si="122"/>
        <v>1582.0529457026353</v>
      </c>
      <c r="M21" s="17">
        <f t="shared" si="122"/>
        <v>1676.1337661265729</v>
      </c>
      <c r="N21" s="17">
        <f t="shared" si="122"/>
        <v>1643.1548699238874</v>
      </c>
      <c r="O21" s="18">
        <f t="shared" si="122"/>
        <v>1704.4287750409528</v>
      </c>
      <c r="P21" s="17">
        <f t="shared" si="122"/>
        <v>1798.0226804873162</v>
      </c>
      <c r="Q21" s="17">
        <f t="shared" si="122"/>
        <v>1867.6359878213411</v>
      </c>
      <c r="R21" s="17">
        <f t="shared" si="122"/>
        <v>1939.5632352369846</v>
      </c>
      <c r="S21" s="17">
        <f t="shared" si="122"/>
        <v>2032.564534251421</v>
      </c>
      <c r="T21" s="17">
        <f t="shared" si="122"/>
        <v>2120.2469535562741</v>
      </c>
      <c r="U21" s="17">
        <f t="shared" si="122"/>
        <v>2209.6896582427826</v>
      </c>
      <c r="V21" s="17">
        <f t="shared" si="122"/>
        <v>2187.3297738071092</v>
      </c>
      <c r="W21" s="17">
        <f t="shared" si="122"/>
        <v>2175.5949337929592</v>
      </c>
      <c r="X21" s="17">
        <f t="shared" si="122"/>
        <v>2034.3651001019828</v>
      </c>
      <c r="Y21" s="17">
        <f t="shared" si="122"/>
        <v>2048.2282897598029</v>
      </c>
      <c r="Z21" s="17">
        <f t="shared" si="122"/>
        <v>1929.1594672433098</v>
      </c>
      <c r="AA21" s="18">
        <f t="shared" si="122"/>
        <v>1954.2745163795282</v>
      </c>
      <c r="AB21" s="17">
        <f t="shared" si="122"/>
        <v>1939.9621162844628</v>
      </c>
      <c r="AC21" s="17">
        <f t="shared" si="122"/>
        <v>1925.9392926575051</v>
      </c>
      <c r="AD21" s="17">
        <f t="shared" si="122"/>
        <v>1905.3646398778437</v>
      </c>
      <c r="AE21" s="17">
        <f t="shared" si="122"/>
        <v>1907.1578232734225</v>
      </c>
      <c r="AF21" s="17">
        <f t="shared" si="122"/>
        <v>1918.9130481217474</v>
      </c>
      <c r="AG21" s="17">
        <f t="shared" si="122"/>
        <v>1910.5119216245746</v>
      </c>
      <c r="AH21" s="17">
        <f t="shared" si="122"/>
        <v>1943.4733492979849</v>
      </c>
      <c r="AI21" s="17">
        <f t="shared" si="122"/>
        <v>1981.3172776585325</v>
      </c>
      <c r="AJ21" s="17">
        <f t="shared" si="122"/>
        <v>1935.2302621085744</v>
      </c>
      <c r="AK21" s="17">
        <f t="shared" si="122"/>
        <v>1973.8174543624409</v>
      </c>
      <c r="AL21" s="17">
        <f t="shared" si="122"/>
        <v>1921.7947822915989</v>
      </c>
      <c r="AM21" s="18">
        <f t="shared" si="122"/>
        <v>1942.9136697319809</v>
      </c>
      <c r="AN21" s="17">
        <f t="shared" si="122"/>
        <v>0</v>
      </c>
      <c r="AO21" s="17">
        <f t="shared" si="122"/>
        <v>0</v>
      </c>
      <c r="AP21" s="17">
        <f t="shared" si="122"/>
        <v>0</v>
      </c>
      <c r="AQ21" s="17">
        <f t="shared" si="122"/>
        <v>0</v>
      </c>
      <c r="AR21" s="17">
        <f t="shared" si="122"/>
        <v>0</v>
      </c>
      <c r="AS21" s="17">
        <f t="shared" si="122"/>
        <v>0</v>
      </c>
      <c r="AT21" s="17">
        <f t="shared" si="122"/>
        <v>0</v>
      </c>
      <c r="AU21" s="17">
        <f t="shared" si="122"/>
        <v>0</v>
      </c>
      <c r="AV21" s="17">
        <f t="shared" si="122"/>
        <v>0</v>
      </c>
      <c r="AW21" s="17">
        <f t="shared" si="122"/>
        <v>0</v>
      </c>
      <c r="AX21" s="18">
        <f t="shared" si="122"/>
        <v>0</v>
      </c>
      <c r="AY21" s="17">
        <f t="shared" si="122"/>
        <v>0</v>
      </c>
      <c r="AZ21" s="17">
        <f t="shared" si="122"/>
        <v>0</v>
      </c>
      <c r="BA21" s="17">
        <f t="shared" si="122"/>
        <v>0</v>
      </c>
      <c r="BB21" s="17">
        <f t="shared" si="122"/>
        <v>0</v>
      </c>
      <c r="BC21" s="17">
        <f t="shared" si="122"/>
        <v>0</v>
      </c>
      <c r="BD21" s="17">
        <f t="shared" si="122"/>
        <v>0</v>
      </c>
      <c r="BE21" s="17">
        <f t="shared" si="122"/>
        <v>0</v>
      </c>
      <c r="BF21" s="17">
        <f t="shared" si="122"/>
        <v>0</v>
      </c>
      <c r="BG21" s="17">
        <f t="shared" si="122"/>
        <v>0</v>
      </c>
      <c r="BH21" s="17">
        <f t="shared" si="122"/>
        <v>0</v>
      </c>
      <c r="BI21" s="17">
        <f t="shared" si="122"/>
        <v>0</v>
      </c>
      <c r="BJ21" s="18">
        <f t="shared" si="122"/>
        <v>0</v>
      </c>
    </row>
    <row r="22" spans="1:62" x14ac:dyDescent="0.35">
      <c r="A22" s="1" t="s">
        <v>209</v>
      </c>
      <c r="B22" s="1" t="s">
        <v>157</v>
      </c>
      <c r="C22" s="52">
        <f t="shared" ref="C22:N22" si="123">C16-C106-C112-C118-C124</f>
        <v>684.98676601545105</v>
      </c>
      <c r="D22" s="53">
        <f t="shared" si="123"/>
        <v>707.74140625189978</v>
      </c>
      <c r="E22" s="53">
        <f t="shared" si="123"/>
        <v>728.31737663173658</v>
      </c>
      <c r="F22" s="53">
        <f t="shared" si="123"/>
        <v>749.62386048838437</v>
      </c>
      <c r="G22" s="53">
        <f t="shared" si="123"/>
        <v>776.79421516803711</v>
      </c>
      <c r="H22" s="53">
        <f t="shared" si="123"/>
        <v>802.26906650561079</v>
      </c>
      <c r="I22" s="53">
        <f t="shared" si="123"/>
        <v>829.7609514210136</v>
      </c>
      <c r="J22" s="53">
        <f t="shared" si="123"/>
        <v>796.46557234966826</v>
      </c>
      <c r="K22" s="53">
        <f t="shared" si="123"/>
        <v>830.26923041564737</v>
      </c>
      <c r="L22" s="53">
        <f t="shared" si="123"/>
        <v>866.15469421144746</v>
      </c>
      <c r="M22" s="53">
        <f t="shared" si="123"/>
        <v>903.57808845340219</v>
      </c>
      <c r="N22" s="53">
        <f t="shared" si="123"/>
        <v>939.39276285406072</v>
      </c>
      <c r="O22" s="54">
        <f>O16-O106-O112-O118-O124</f>
        <v>960.62222708147794</v>
      </c>
      <c r="P22" s="53">
        <f t="shared" ref="P22:AM22" si="124">P16-P106-P112-P118-P124</f>
        <v>1006.8824594846527</v>
      </c>
      <c r="Q22" s="53">
        <f t="shared" si="124"/>
        <v>1029.9098556938568</v>
      </c>
      <c r="R22" s="53">
        <f t="shared" si="124"/>
        <v>1054.9423228960591</v>
      </c>
      <c r="S22" s="53">
        <f t="shared" si="124"/>
        <v>1094.6351844688686</v>
      </c>
      <c r="T22" s="53">
        <f t="shared" si="124"/>
        <v>1127.4961386718526</v>
      </c>
      <c r="U22" s="53">
        <f t="shared" si="124"/>
        <v>1158.0251709822014</v>
      </c>
      <c r="V22" s="53">
        <f t="shared" si="124"/>
        <v>1144.3458248291201</v>
      </c>
      <c r="W22" s="53">
        <f t="shared" si="124"/>
        <v>1135.4035440269827</v>
      </c>
      <c r="X22" s="53">
        <f t="shared" si="124"/>
        <v>1131.4226785574479</v>
      </c>
      <c r="Y22" s="53">
        <f t="shared" si="124"/>
        <v>1132.0985211179993</v>
      </c>
      <c r="Z22" s="53">
        <f t="shared" si="124"/>
        <v>1132.8834228988835</v>
      </c>
      <c r="AA22" s="54">
        <f t="shared" si="124"/>
        <v>1135.8274464731753</v>
      </c>
      <c r="AB22" s="53">
        <f t="shared" si="124"/>
        <v>1136.8196265049546</v>
      </c>
      <c r="AC22" s="53">
        <f t="shared" si="124"/>
        <v>1128.8474440280584</v>
      </c>
      <c r="AD22" s="53">
        <f t="shared" si="124"/>
        <v>1110.809052251162</v>
      </c>
      <c r="AE22" s="53">
        <f t="shared" si="124"/>
        <v>1106.4684366021495</v>
      </c>
      <c r="AF22" s="53">
        <f t="shared" si="124"/>
        <v>1107.5721344515719</v>
      </c>
      <c r="AG22" s="53">
        <f t="shared" si="124"/>
        <v>1116.5992289633843</v>
      </c>
      <c r="AH22" s="53">
        <f t="shared" si="124"/>
        <v>1131.9269831407123</v>
      </c>
      <c r="AI22" s="53">
        <f t="shared" si="124"/>
        <v>1151.8269212468379</v>
      </c>
      <c r="AJ22" s="53">
        <f t="shared" si="124"/>
        <v>1172.9424601667554</v>
      </c>
      <c r="AK22" s="53">
        <f t="shared" si="124"/>
        <v>1193.8001361813715</v>
      </c>
      <c r="AL22" s="53">
        <f t="shared" si="124"/>
        <v>1208.4833531723971</v>
      </c>
      <c r="AM22" s="54">
        <f t="shared" si="124"/>
        <v>1220.0501215645945</v>
      </c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4"/>
      <c r="AY22" s="53"/>
      <c r="AZ22" s="53"/>
      <c r="BA22" s="53"/>
      <c r="BB22" s="53"/>
      <c r="BC22" s="53"/>
      <c r="BD22" s="53"/>
      <c r="BE22" s="53"/>
      <c r="BF22" s="53"/>
      <c r="BG22" s="53"/>
      <c r="BH22" s="53"/>
      <c r="BI22" s="53"/>
      <c r="BJ22" s="54"/>
    </row>
    <row r="23" spans="1:62" x14ac:dyDescent="0.35">
      <c r="A23" s="2" t="s">
        <v>209</v>
      </c>
      <c r="B23" s="2" t="s">
        <v>158</v>
      </c>
      <c r="C23" s="55">
        <f t="shared" ref="C23:N23" si="125">C17-C107-C113-C119-C125</f>
        <v>503.95870518172791</v>
      </c>
      <c r="D23" s="56">
        <f t="shared" si="125"/>
        <v>555.85422146608312</v>
      </c>
      <c r="E23" s="56">
        <f t="shared" si="125"/>
        <v>600.92068392022918</v>
      </c>
      <c r="F23" s="56">
        <f t="shared" si="125"/>
        <v>644.02653142971735</v>
      </c>
      <c r="G23" s="56">
        <f t="shared" si="125"/>
        <v>690.04550413615846</v>
      </c>
      <c r="H23" s="56">
        <f t="shared" si="125"/>
        <v>735.78027137652975</v>
      </c>
      <c r="I23" s="56">
        <f t="shared" si="125"/>
        <v>712.68662180069737</v>
      </c>
      <c r="J23" s="56">
        <f t="shared" si="125"/>
        <v>717.57814971674588</v>
      </c>
      <c r="K23" s="56">
        <f t="shared" si="125"/>
        <v>766.33969463941116</v>
      </c>
      <c r="L23" s="56">
        <f t="shared" si="125"/>
        <v>710.19301140903417</v>
      </c>
      <c r="M23" s="56">
        <f t="shared" si="125"/>
        <v>767.20841915563722</v>
      </c>
      <c r="N23" s="56">
        <f t="shared" si="125"/>
        <v>698.74849734578629</v>
      </c>
      <c r="O23" s="57">
        <f>O17-O107-O113-O119-O125</f>
        <v>739.16315138958225</v>
      </c>
      <c r="P23" s="56">
        <f t="shared" ref="P23:AM23" si="126">P17-P107-P113-P119-P125</f>
        <v>786.65546384036497</v>
      </c>
      <c r="Q23" s="56">
        <f t="shared" si="126"/>
        <v>833.41707891601834</v>
      </c>
      <c r="R23" s="56">
        <f t="shared" si="126"/>
        <v>880.50220925091946</v>
      </c>
      <c r="S23" s="56">
        <f t="shared" si="126"/>
        <v>934.02072174024875</v>
      </c>
      <c r="T23" s="56">
        <f t="shared" si="126"/>
        <v>989.06375328565673</v>
      </c>
      <c r="U23" s="56">
        <f t="shared" si="126"/>
        <v>1048.1986265127614</v>
      </c>
      <c r="V23" s="56">
        <f t="shared" si="126"/>
        <v>1039.6988013553082</v>
      </c>
      <c r="W23" s="56">
        <f t="shared" si="126"/>
        <v>1037.0379909578608</v>
      </c>
      <c r="X23" s="56">
        <f t="shared" si="126"/>
        <v>899.88322347854057</v>
      </c>
      <c r="Y23" s="56">
        <f t="shared" si="126"/>
        <v>913.1274686635511</v>
      </c>
      <c r="Z23" s="56">
        <f t="shared" si="126"/>
        <v>793.29397407399483</v>
      </c>
      <c r="AA23" s="57">
        <f t="shared" si="126"/>
        <v>815.44951909189228</v>
      </c>
      <c r="AB23" s="56">
        <f t="shared" si="126"/>
        <v>800.10559567063149</v>
      </c>
      <c r="AC23" s="56">
        <f t="shared" si="126"/>
        <v>793.99773118806434</v>
      </c>
      <c r="AD23" s="56">
        <f t="shared" si="126"/>
        <v>791.37284092661218</v>
      </c>
      <c r="AE23" s="56">
        <f t="shared" si="126"/>
        <v>797.37975722824524</v>
      </c>
      <c r="AF23" s="56">
        <f t="shared" si="126"/>
        <v>807.8643664620339</v>
      </c>
      <c r="AG23" s="56">
        <f t="shared" si="126"/>
        <v>790.22510173153239</v>
      </c>
      <c r="AH23" s="56">
        <f t="shared" si="126"/>
        <v>807.44233467812637</v>
      </c>
      <c r="AI23" s="56">
        <f t="shared" si="126"/>
        <v>825.01175922709547</v>
      </c>
      <c r="AJ23" s="56">
        <f t="shared" si="126"/>
        <v>757.45187954347921</v>
      </c>
      <c r="AK23" s="56">
        <f t="shared" si="126"/>
        <v>774.84388881928976</v>
      </c>
      <c r="AL23" s="56">
        <f t="shared" si="126"/>
        <v>707.8295391167627</v>
      </c>
      <c r="AM23" s="57">
        <f t="shared" si="126"/>
        <v>717.04693222423464</v>
      </c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7"/>
      <c r="AY23" s="56"/>
      <c r="AZ23" s="56"/>
      <c r="BA23" s="56"/>
      <c r="BB23" s="56"/>
      <c r="BC23" s="56"/>
      <c r="BD23" s="56"/>
      <c r="BE23" s="56"/>
      <c r="BF23" s="56"/>
      <c r="BG23" s="56"/>
      <c r="BH23" s="56"/>
      <c r="BI23" s="56"/>
      <c r="BJ23" s="57"/>
    </row>
    <row r="24" spans="1:62" x14ac:dyDescent="0.35">
      <c r="A24" s="3" t="s">
        <v>209</v>
      </c>
      <c r="B24" s="3" t="s">
        <v>159</v>
      </c>
      <c r="C24" s="58">
        <f t="shared" ref="C24:AM24" si="127">C18-C108-C114-C120</f>
        <v>0</v>
      </c>
      <c r="D24" s="59">
        <f t="shared" si="127"/>
        <v>8.6687838072224004</v>
      </c>
      <c r="E24" s="59">
        <f t="shared" si="127"/>
        <v>8.3526477932660779</v>
      </c>
      <c r="F24" s="59">
        <f t="shared" si="127"/>
        <v>8.0119663863977042</v>
      </c>
      <c r="G24" s="59">
        <f t="shared" si="127"/>
        <v>7.6381735518386256</v>
      </c>
      <c r="H24" s="59">
        <f t="shared" si="127"/>
        <v>7.2402424706164874</v>
      </c>
      <c r="I24" s="59">
        <f t="shared" si="127"/>
        <v>6.8449936437972854</v>
      </c>
      <c r="J24" s="59">
        <f t="shared" si="127"/>
        <v>6.4436933404910404</v>
      </c>
      <c r="K24" s="59">
        <f t="shared" si="127"/>
        <v>6.06478340682804</v>
      </c>
      <c r="L24" s="59">
        <f t="shared" si="127"/>
        <v>5.7052400821538463</v>
      </c>
      <c r="M24" s="59">
        <f t="shared" si="127"/>
        <v>5.3472585175335769</v>
      </c>
      <c r="N24" s="59">
        <f t="shared" si="127"/>
        <v>5.0136097240403519</v>
      </c>
      <c r="O24" s="60">
        <f t="shared" si="127"/>
        <v>4.6433965698926469</v>
      </c>
      <c r="P24" s="59">
        <f t="shared" si="127"/>
        <v>4.4847571622984743</v>
      </c>
      <c r="Q24" s="59">
        <f t="shared" si="127"/>
        <v>4.3090532114661331</v>
      </c>
      <c r="R24" s="59">
        <f t="shared" si="127"/>
        <v>4.1187030900061981</v>
      </c>
      <c r="S24" s="59">
        <f t="shared" si="127"/>
        <v>3.9086280423036288</v>
      </c>
      <c r="T24" s="59">
        <f t="shared" si="127"/>
        <v>3.6870615987643709</v>
      </c>
      <c r="U24" s="59">
        <f t="shared" si="127"/>
        <v>3.4658607478194026</v>
      </c>
      <c r="V24" s="59">
        <f t="shared" si="127"/>
        <v>3.2851476226812171</v>
      </c>
      <c r="W24" s="59">
        <f t="shared" si="127"/>
        <v>3.1533988081159743</v>
      </c>
      <c r="X24" s="59">
        <f t="shared" si="127"/>
        <v>3.0591980659943534</v>
      </c>
      <c r="Y24" s="59">
        <f t="shared" si="127"/>
        <v>3.0022999782522883</v>
      </c>
      <c r="Z24" s="59">
        <f t="shared" si="127"/>
        <v>2.9820702704314552</v>
      </c>
      <c r="AA24" s="60">
        <f t="shared" si="127"/>
        <v>2.997550814460622</v>
      </c>
      <c r="AB24" s="59">
        <f t="shared" si="127"/>
        <v>3.0368941088769064</v>
      </c>
      <c r="AC24" s="59">
        <f t="shared" si="127"/>
        <v>3.0941174413824037</v>
      </c>
      <c r="AD24" s="59">
        <f t="shared" si="127"/>
        <v>3.1827467000694827</v>
      </c>
      <c r="AE24" s="59">
        <f t="shared" si="127"/>
        <v>3.3096294430277813</v>
      </c>
      <c r="AF24" s="59">
        <f t="shared" si="127"/>
        <v>3.4765472081414277</v>
      </c>
      <c r="AG24" s="59">
        <f t="shared" si="127"/>
        <v>3.6875909296580169</v>
      </c>
      <c r="AH24" s="59">
        <f t="shared" si="127"/>
        <v>4.1040314791461237</v>
      </c>
      <c r="AI24" s="59">
        <f t="shared" si="127"/>
        <v>4.4785971845989456</v>
      </c>
      <c r="AJ24" s="59">
        <f t="shared" si="127"/>
        <v>4.8359223983399007</v>
      </c>
      <c r="AK24" s="59">
        <f t="shared" si="127"/>
        <v>5.1734293617795446</v>
      </c>
      <c r="AL24" s="59">
        <f t="shared" si="127"/>
        <v>5.4818900024393891</v>
      </c>
      <c r="AM24" s="60">
        <f t="shared" si="127"/>
        <v>5.8166159431516649</v>
      </c>
      <c r="AN24" s="59"/>
      <c r="AO24" s="59"/>
      <c r="AP24" s="59"/>
      <c r="AQ24" s="59"/>
      <c r="AR24" s="59"/>
      <c r="AS24" s="59"/>
      <c r="AT24" s="59"/>
      <c r="AU24" s="59"/>
      <c r="AV24" s="59"/>
      <c r="AW24" s="59"/>
      <c r="AX24" s="60"/>
      <c r="AY24" s="59"/>
      <c r="AZ24" s="59"/>
      <c r="BA24" s="59"/>
      <c r="BB24" s="59"/>
      <c r="BC24" s="59"/>
      <c r="BD24" s="59"/>
      <c r="BE24" s="59"/>
      <c r="BF24" s="59"/>
      <c r="BG24" s="59"/>
      <c r="BH24" s="59"/>
      <c r="BI24" s="59"/>
      <c r="BJ24" s="60"/>
    </row>
    <row r="26" spans="1:62" x14ac:dyDescent="0.35">
      <c r="A26" s="25" t="s">
        <v>211</v>
      </c>
      <c r="B26" s="4" t="s">
        <v>3</v>
      </c>
      <c r="C26" s="19">
        <f>C14</f>
        <v>45352</v>
      </c>
      <c r="D26" s="20">
        <f>EDATE(C26,1)</f>
        <v>45383</v>
      </c>
      <c r="E26" s="20">
        <f>EDATE(D26,1)</f>
        <v>45413</v>
      </c>
      <c r="F26" s="20">
        <f>EDATE(E26,1)</f>
        <v>45444</v>
      </c>
      <c r="G26" s="20">
        <f t="shared" ref="G26" si="128">EDATE(F26,1)</f>
        <v>45474</v>
      </c>
      <c r="H26" s="20">
        <f t="shared" ref="H26" si="129">EDATE(G26,1)</f>
        <v>45505</v>
      </c>
      <c r="I26" s="20">
        <f t="shared" ref="I26" si="130">EDATE(H26,1)</f>
        <v>45536</v>
      </c>
      <c r="J26" s="20">
        <f t="shared" ref="J26" si="131">EDATE(I26,1)</f>
        <v>45566</v>
      </c>
      <c r="K26" s="20">
        <f t="shared" ref="K26" si="132">EDATE(J26,1)</f>
        <v>45597</v>
      </c>
      <c r="L26" s="20">
        <f t="shared" ref="L26" si="133">EDATE(K26,1)</f>
        <v>45627</v>
      </c>
      <c r="M26" s="20">
        <f t="shared" ref="M26" si="134">EDATE(L26,1)</f>
        <v>45658</v>
      </c>
      <c r="N26" s="20">
        <f t="shared" ref="N26" si="135">EDATE(M26,1)</f>
        <v>45689</v>
      </c>
      <c r="O26" s="21">
        <f t="shared" ref="O26" si="136">EDATE(N26,1)</f>
        <v>45717</v>
      </c>
      <c r="P26" s="20">
        <f t="shared" ref="P26" si="137">EDATE(O26,1)</f>
        <v>45748</v>
      </c>
      <c r="Q26" s="20">
        <f t="shared" ref="Q26" si="138">EDATE(P26,1)</f>
        <v>45778</v>
      </c>
      <c r="R26" s="20">
        <f t="shared" ref="R26" si="139">EDATE(Q26,1)</f>
        <v>45809</v>
      </c>
      <c r="S26" s="20">
        <f t="shared" ref="S26" si="140">EDATE(R26,1)</f>
        <v>45839</v>
      </c>
      <c r="T26" s="20">
        <f t="shared" ref="T26" si="141">EDATE(S26,1)</f>
        <v>45870</v>
      </c>
      <c r="U26" s="20">
        <f t="shared" ref="U26" si="142">EDATE(T26,1)</f>
        <v>45901</v>
      </c>
      <c r="V26" s="20">
        <f t="shared" ref="V26" si="143">EDATE(U26,1)</f>
        <v>45931</v>
      </c>
      <c r="W26" s="20">
        <f t="shared" ref="W26" si="144">EDATE(V26,1)</f>
        <v>45962</v>
      </c>
      <c r="X26" s="20">
        <f t="shared" ref="X26" si="145">EDATE(W26,1)</f>
        <v>45992</v>
      </c>
      <c r="Y26" s="20">
        <f t="shared" ref="Y26" si="146">EDATE(X26,1)</f>
        <v>46023</v>
      </c>
      <c r="Z26" s="20">
        <f t="shared" ref="Z26" si="147">EDATE(Y26,1)</f>
        <v>46054</v>
      </c>
      <c r="AA26" s="21">
        <f t="shared" ref="AA26" si="148">EDATE(Z26,1)</f>
        <v>46082</v>
      </c>
      <c r="AB26" s="20">
        <f t="shared" ref="AB26" si="149">EDATE(AA26,1)</f>
        <v>46113</v>
      </c>
      <c r="AC26" s="20">
        <f t="shared" ref="AC26" si="150">EDATE(AB26,1)</f>
        <v>46143</v>
      </c>
      <c r="AD26" s="20">
        <f t="shared" ref="AD26" si="151">EDATE(AC26,1)</f>
        <v>46174</v>
      </c>
      <c r="AE26" s="20">
        <f t="shared" ref="AE26" si="152">EDATE(AD26,1)</f>
        <v>46204</v>
      </c>
      <c r="AF26" s="20">
        <f t="shared" ref="AF26" si="153">EDATE(AE26,1)</f>
        <v>46235</v>
      </c>
      <c r="AG26" s="20">
        <f t="shared" ref="AG26" si="154">EDATE(AF26,1)</f>
        <v>46266</v>
      </c>
      <c r="AH26" s="20">
        <f t="shared" ref="AH26" si="155">EDATE(AG26,1)</f>
        <v>46296</v>
      </c>
      <c r="AI26" s="20">
        <f t="shared" ref="AI26" si="156">EDATE(AH26,1)</f>
        <v>46327</v>
      </c>
      <c r="AJ26" s="20">
        <f t="shared" ref="AJ26" si="157">EDATE(AI26,1)</f>
        <v>46357</v>
      </c>
      <c r="AK26" s="20">
        <f t="shared" ref="AK26" si="158">EDATE(AJ26,1)</f>
        <v>46388</v>
      </c>
      <c r="AL26" s="20">
        <f t="shared" ref="AL26" si="159">EDATE(AK26,1)</f>
        <v>46419</v>
      </c>
      <c r="AM26" s="21">
        <f t="shared" ref="AM26" si="160">EDATE(AL26,1)</f>
        <v>46447</v>
      </c>
      <c r="AN26" s="20">
        <f t="shared" ref="AN26" si="161">EDATE(AM26,1)</f>
        <v>46478</v>
      </c>
      <c r="AO26" s="20">
        <f t="shared" ref="AO26" si="162">EDATE(AN26,1)</f>
        <v>46508</v>
      </c>
      <c r="AP26" s="20">
        <f t="shared" ref="AP26" si="163">EDATE(AO26,1)</f>
        <v>46539</v>
      </c>
      <c r="AQ26" s="20">
        <f t="shared" ref="AQ26" si="164">EDATE(AP26,1)</f>
        <v>46569</v>
      </c>
      <c r="AR26" s="20">
        <f t="shared" ref="AR26" si="165">EDATE(AQ26,1)</f>
        <v>46600</v>
      </c>
      <c r="AS26" s="20">
        <f t="shared" ref="AS26" si="166">EDATE(AR26,1)</f>
        <v>46631</v>
      </c>
      <c r="AT26" s="20">
        <f t="shared" ref="AT26" si="167">EDATE(AS26,1)</f>
        <v>46661</v>
      </c>
      <c r="AU26" s="20">
        <f t="shared" ref="AU26" si="168">EDATE(AT26,1)</f>
        <v>46692</v>
      </c>
      <c r="AV26" s="20">
        <f t="shared" ref="AV26" si="169">EDATE(AU26,1)</f>
        <v>46722</v>
      </c>
      <c r="AW26" s="20">
        <f t="shared" ref="AW26" si="170">EDATE(AV26,1)</f>
        <v>46753</v>
      </c>
      <c r="AX26" s="21">
        <f t="shared" ref="AX26" si="171">EDATE(AW26,1)</f>
        <v>46784</v>
      </c>
      <c r="AY26" s="20">
        <f t="shared" ref="AY26" si="172">EDATE(AX26,1)</f>
        <v>46813</v>
      </c>
      <c r="AZ26" s="20">
        <f t="shared" ref="AZ26" si="173">EDATE(AY26,1)</f>
        <v>46844</v>
      </c>
      <c r="BA26" s="20">
        <f t="shared" ref="BA26" si="174">EDATE(AZ26,1)</f>
        <v>46874</v>
      </c>
      <c r="BB26" s="20">
        <f t="shared" ref="BB26" si="175">EDATE(BA26,1)</f>
        <v>46905</v>
      </c>
      <c r="BC26" s="20">
        <f t="shared" ref="BC26" si="176">EDATE(BB26,1)</f>
        <v>46935</v>
      </c>
      <c r="BD26" s="20">
        <f t="shared" ref="BD26" si="177">EDATE(BC26,1)</f>
        <v>46966</v>
      </c>
      <c r="BE26" s="20">
        <f t="shared" ref="BE26" si="178">EDATE(BD26,1)</f>
        <v>46997</v>
      </c>
      <c r="BF26" s="20">
        <f t="shared" ref="BF26" si="179">EDATE(BE26,1)</f>
        <v>47027</v>
      </c>
      <c r="BG26" s="20">
        <f t="shared" ref="BG26" si="180">EDATE(BF26,1)</f>
        <v>47058</v>
      </c>
      <c r="BH26" s="20">
        <f t="shared" ref="BH26" si="181">EDATE(BG26,1)</f>
        <v>47088</v>
      </c>
      <c r="BI26" s="20">
        <f t="shared" ref="BI26" si="182">EDATE(BH26,1)</f>
        <v>47119</v>
      </c>
      <c r="BJ26" s="21">
        <f t="shared" ref="BJ26" si="183">EDATE(BI26,1)</f>
        <v>47150</v>
      </c>
    </row>
    <row r="27" spans="1:62" x14ac:dyDescent="0.35">
      <c r="A27" s="15" t="str">
        <f>A26</f>
        <v>GNPA% - CV  (Stress)</v>
      </c>
      <c r="B27" s="15" t="s">
        <v>188</v>
      </c>
      <c r="C27" s="258">
        <f>C51</f>
        <v>2.6384548910955184E-2</v>
      </c>
      <c r="D27" s="259">
        <f>(D15*106.5%)/('Input - ENR'!D15*101.1%)</f>
        <v>2.7462480274958279E-2</v>
      </c>
      <c r="E27" s="259">
        <f>(E15*106.5%)/('Input - ENR'!E15*101.1%)</f>
        <v>2.8285877397326811E-2</v>
      </c>
      <c r="F27" s="259">
        <f>(F15*106.5%)/('Input - ENR'!F15*101.1%)</f>
        <v>2.9039538569737296E-2</v>
      </c>
      <c r="G27" s="259">
        <f>(G15*106.5%)/('Input - ENR'!G15*101.1%)</f>
        <v>2.9905123269296955E-2</v>
      </c>
      <c r="H27" s="259">
        <f>(H15*106.5%)/('Input - ENR'!H15*101.1%)</f>
        <v>3.0647583013217999E-2</v>
      </c>
      <c r="I27" s="259">
        <f>(I15*106.5%)/('Input - ENR'!I15*101.1%)</f>
        <v>3.0832674117130161E-2</v>
      </c>
      <c r="J27" s="259">
        <f>(J15*106.5%)/('Input - ENR'!J15*101.1%)</f>
        <v>3.2021388589240238E-2</v>
      </c>
      <c r="K27" s="259">
        <f>(K15*106.5%)/('Input - ENR'!K15*101.1%)</f>
        <v>3.3149133724956391E-2</v>
      </c>
      <c r="L27" s="259">
        <f>(L15*106.5%)/('Input - ENR'!L15*101.1%)</f>
        <v>3.3354109087165046E-2</v>
      </c>
      <c r="M27" s="259">
        <f>(M15*106.5%)/('Input - ENR'!M15*101.1%)</f>
        <v>3.4525101872755905E-2</v>
      </c>
      <c r="N27" s="259">
        <f>(N15*106.5%)/('Input - ENR'!N15*101.1%)</f>
        <v>3.4635101896793502E-2</v>
      </c>
      <c r="O27" s="308">
        <f>(O15*106.5%)/('Input - ENR'!O15*101.1%)</f>
        <v>3.5715321591722395E-2</v>
      </c>
      <c r="P27" s="259">
        <f>(P15*106.5%)/('Input - ENR'!P15*101.1%)</f>
        <v>3.7204293961442467E-2</v>
      </c>
      <c r="Q27" s="259">
        <f>(Q15*106.5%)/('Input - ENR'!Q15*101.1%)</f>
        <v>3.8552473643481737E-2</v>
      </c>
      <c r="R27" s="259">
        <f>(R15*106.5%)/('Input - ENR'!R15*101.1%)</f>
        <v>3.9926314890605809E-2</v>
      </c>
      <c r="S27" s="259">
        <f>(S15*106.5%)/('Input - ENR'!S15*101.1%)</f>
        <v>4.156796927370552E-2</v>
      </c>
      <c r="T27" s="259">
        <f>(T15*106.5%)/('Input - ENR'!T15*101.1%)</f>
        <v>4.3120328998473775E-2</v>
      </c>
      <c r="U27" s="259">
        <f>(U15*106.5%)/('Input - ENR'!U15*101.1%)</f>
        <v>4.4579176821596359E-2</v>
      </c>
      <c r="V27" s="259">
        <f>(V15*106.5%)/('Input - ENR'!V15*101.1%)</f>
        <v>4.3853042492220044E-2</v>
      </c>
      <c r="W27" s="259">
        <f>(W15*106.5%)/('Input - ENR'!W15*101.1%)</f>
        <v>4.3039967260492557E-2</v>
      </c>
      <c r="X27" s="259">
        <f>(X15*106.5%)/('Input - ENR'!X15*101.1%)</f>
        <v>4.0977698422985265E-2</v>
      </c>
      <c r="Y27" s="259">
        <f>(Y15*106.5%)/('Input - ENR'!Y15*101.1%)</f>
        <v>4.0249080259844576E-2</v>
      </c>
      <c r="Z27" s="259">
        <f>(Z15*106.5%)/('Input - ENR'!Z15*101.1%)</f>
        <v>3.8274124985279004E-2</v>
      </c>
      <c r="AA27" s="260">
        <f>(AA15*106.5%)/('Input - ENR'!AA15*101.1%)</f>
        <v>3.7408137630949342E-2</v>
      </c>
      <c r="AB27" s="259">
        <f>(AB15*106.5%)/('Input - ENR'!AB15*101.1%)</f>
        <v>3.6597871476106138E-2</v>
      </c>
      <c r="AC27" s="259">
        <f>(AC15*106.5%)/('Input - ENR'!AC15*101.1%)</f>
        <v>3.5316822150241386E-2</v>
      </c>
      <c r="AD27" s="259">
        <f>(AD15*106.5%)/('Input - ENR'!AD15*101.1%)</f>
        <v>3.414151502003944E-2</v>
      </c>
      <c r="AE27" s="259">
        <f>(AE15*106.5%)/('Input - ENR'!AE15*101.1%)</f>
        <v>3.31585562586348E-2</v>
      </c>
      <c r="AF27" s="259">
        <f>(AF15*106.5%)/('Input - ENR'!AF15*101.1%)</f>
        <v>3.208128730215197E-2</v>
      </c>
      <c r="AG27" s="259">
        <f>(AG15*106.5%)/('Input - ENR'!AG15*101.1%)</f>
        <v>3.0817429319946701E-2</v>
      </c>
      <c r="AH27" s="259">
        <f>(AH15*106.5%)/('Input - ENR'!AH15*101.1%)</f>
        <v>2.9811228863674807E-2</v>
      </c>
      <c r="AI27" s="259">
        <f>(AI15*106.5%)/('Input - ENR'!AI15*101.1%)</f>
        <v>2.8778069792955371E-2</v>
      </c>
      <c r="AJ27" s="259">
        <f>(AJ15*106.5%)/('Input - ENR'!AJ15*101.1%)</f>
        <v>2.7279884051795707E-2</v>
      </c>
      <c r="AK27" s="259">
        <f>(AK15*106.5%)/('Input - ENR'!AK15*101.1%)</f>
        <v>2.6313069421384241E-2</v>
      </c>
      <c r="AL27" s="259">
        <f>(AL15*106.5%)/('Input - ENR'!AL15*101.1%)</f>
        <v>2.4906091349162187E-2</v>
      </c>
      <c r="AM27" s="260">
        <f>(AM15*106.5%)/('Input - ENR'!AM15*101.1%)</f>
        <v>2.3801643745639575E-2</v>
      </c>
      <c r="AN27" s="17">
        <f t="shared" ref="AN27:BJ27" si="184">SUM(AN28:AN30)</f>
        <v>0</v>
      </c>
      <c r="AO27" s="17">
        <f t="shared" si="184"/>
        <v>0</v>
      </c>
      <c r="AP27" s="17">
        <f t="shared" si="184"/>
        <v>0</v>
      </c>
      <c r="AQ27" s="17">
        <f t="shared" si="184"/>
        <v>0</v>
      </c>
      <c r="AR27" s="17">
        <f t="shared" si="184"/>
        <v>0</v>
      </c>
      <c r="AS27" s="17">
        <f t="shared" si="184"/>
        <v>0</v>
      </c>
      <c r="AT27" s="17">
        <f t="shared" si="184"/>
        <v>0</v>
      </c>
      <c r="AU27" s="17">
        <f t="shared" si="184"/>
        <v>0</v>
      </c>
      <c r="AV27" s="17">
        <f t="shared" si="184"/>
        <v>0</v>
      </c>
      <c r="AW27" s="17">
        <f t="shared" si="184"/>
        <v>0</v>
      </c>
      <c r="AX27" s="18">
        <f t="shared" si="184"/>
        <v>0</v>
      </c>
      <c r="AY27" s="17">
        <f t="shared" si="184"/>
        <v>0</v>
      </c>
      <c r="AZ27" s="17">
        <f t="shared" si="184"/>
        <v>0</v>
      </c>
      <c r="BA27" s="17">
        <f t="shared" si="184"/>
        <v>0</v>
      </c>
      <c r="BB27" s="17">
        <f t="shared" si="184"/>
        <v>0</v>
      </c>
      <c r="BC27" s="17">
        <f t="shared" si="184"/>
        <v>0</v>
      </c>
      <c r="BD27" s="17">
        <f t="shared" si="184"/>
        <v>0</v>
      </c>
      <c r="BE27" s="17">
        <f t="shared" si="184"/>
        <v>0</v>
      </c>
      <c r="BF27" s="17">
        <f t="shared" si="184"/>
        <v>0</v>
      </c>
      <c r="BG27" s="17">
        <f t="shared" si="184"/>
        <v>0</v>
      </c>
      <c r="BH27" s="17">
        <f t="shared" si="184"/>
        <v>0</v>
      </c>
      <c r="BI27" s="17">
        <f t="shared" si="184"/>
        <v>0</v>
      </c>
      <c r="BJ27" s="18">
        <f t="shared" si="184"/>
        <v>0</v>
      </c>
    </row>
    <row r="28" spans="1:62" x14ac:dyDescent="0.35">
      <c r="A28" s="1" t="str">
        <f t="shared" ref="A28:A30" si="185">A27</f>
        <v>GNPA% - CV  (Stress)</v>
      </c>
      <c r="B28" s="1" t="s">
        <v>157</v>
      </c>
      <c r="C28" s="261">
        <f t="shared" ref="C28" si="186">C52</f>
        <v>2.3654983282357805E-2</v>
      </c>
      <c r="D28" s="262">
        <f>(D16*106.5%)/('Input - ENR'!D16*101.1%)</f>
        <v>2.4016591673001166E-2</v>
      </c>
      <c r="E28" s="262">
        <f>(E16*106.5%)/('Input - ENR'!E16*101.1%)</f>
        <v>2.4272062615547957E-2</v>
      </c>
      <c r="F28" s="262">
        <f>(F16*106.5%)/('Input - ENR'!F16*101.1%)</f>
        <v>2.448959039059578E-2</v>
      </c>
      <c r="G28" s="262">
        <f>(G16*106.5%)/('Input - ENR'!G16*101.1%)</f>
        <v>2.4848754249123181E-2</v>
      </c>
      <c r="H28" s="262">
        <f>(H16*106.5%)/('Input - ENR'!H16*101.1%)</f>
        <v>2.5102688135458906E-2</v>
      </c>
      <c r="I28" s="262">
        <f>(I16*106.5%)/('Input - ENR'!I16*101.1%)</f>
        <v>2.5384044445181286E-2</v>
      </c>
      <c r="J28" s="262">
        <f>(J16*106.5%)/('Input - ENR'!J16*101.1%)</f>
        <v>2.6037857770148439E-2</v>
      </c>
      <c r="K28" s="262">
        <f>(K16*106.5%)/('Input - ENR'!K16*101.1%)</f>
        <v>2.6660272994933329E-2</v>
      </c>
      <c r="L28" s="262">
        <f>(L16*106.5%)/('Input - ENR'!L16*101.1%)</f>
        <v>2.7300860880038816E-2</v>
      </c>
      <c r="M28" s="262">
        <f>(M16*106.5%)/('Input - ENR'!M16*101.1%)</f>
        <v>2.7972601015363616E-2</v>
      </c>
      <c r="N28" s="262">
        <f>(N16*106.5%)/('Input - ENR'!N16*101.1%)</f>
        <v>2.8631202096617927E-2</v>
      </c>
      <c r="O28" s="263">
        <f>(O16*106.5%)/('Input - ENR'!O16*101.1%)</f>
        <v>2.9237406676605088E-2</v>
      </c>
      <c r="P28" s="262">
        <f>(P16*106.5%)/('Input - ENR'!P16*101.1%)</f>
        <v>3.0241944517349625E-2</v>
      </c>
      <c r="Q28" s="262">
        <f>(Q16*106.5%)/('Input - ENR'!Q16*101.1%)</f>
        <v>3.0921305814192543E-2</v>
      </c>
      <c r="R28" s="262">
        <f>(R16*106.5%)/('Input - ENR'!R16*101.1%)</f>
        <v>3.1629674365685735E-2</v>
      </c>
      <c r="S28" s="262">
        <f>(S16*106.5%)/('Input - ENR'!S16*101.1%)</f>
        <v>3.2558004217555628E-2</v>
      </c>
      <c r="T28" s="262">
        <f>(T16*106.5%)/('Input - ENR'!T16*101.1%)</f>
        <v>3.3375859534600288E-2</v>
      </c>
      <c r="U28" s="262">
        <f>(U16*106.5%)/('Input - ENR'!U16*101.1%)</f>
        <v>3.4062698278280096E-2</v>
      </c>
      <c r="V28" s="262">
        <f>(V16*106.5%)/('Input - ENR'!V16*101.1%)</f>
        <v>3.3515197577000076E-2</v>
      </c>
      <c r="W28" s="262">
        <f>(W16*106.5%)/('Input - ENR'!W16*101.1%)</f>
        <v>3.2889643669730351E-2</v>
      </c>
      <c r="X28" s="262">
        <f>(X16*106.5%)/('Input - ENR'!X16*101.1%)</f>
        <v>3.2265719158936321E-2</v>
      </c>
      <c r="Y28" s="262">
        <f>(Y16*106.5%)/('Input - ENR'!Y16*101.1%)</f>
        <v>3.1674194451350599E-2</v>
      </c>
      <c r="Z28" s="262">
        <f>(Z16*106.5%)/('Input - ENR'!Z16*101.1%)</f>
        <v>3.1028293937485841E-2</v>
      </c>
      <c r="AA28" s="263">
        <f>(AA16*106.5%)/('Input - ENR'!AA16*101.1%)</f>
        <v>3.0292120583253191E-2</v>
      </c>
      <c r="AB28" s="262">
        <f>(AB16*106.5%)/('Input - ENR'!AB16*101.1%)</f>
        <v>2.990878125842459E-2</v>
      </c>
      <c r="AC28" s="262">
        <f>(AC16*106.5%)/('Input - ENR'!AC16*101.1%)</f>
        <v>2.8908653491738531E-2</v>
      </c>
      <c r="AD28" s="262">
        <f>(AD16*106.5%)/('Input - ENR'!AD16*101.1%)</f>
        <v>2.796508191155251E-2</v>
      </c>
      <c r="AE28" s="262">
        <f>(AE16*106.5%)/('Input - ENR'!AE16*101.1%)</f>
        <v>2.7208382792848707E-2</v>
      </c>
      <c r="AF28" s="262">
        <f>(AF16*106.5%)/('Input - ENR'!AF16*101.1%)</f>
        <v>2.6365314056956832E-2</v>
      </c>
      <c r="AG28" s="262">
        <f>(AG16*106.5%)/('Input - ENR'!AG16*101.1%)</f>
        <v>2.5581373171272882E-2</v>
      </c>
      <c r="AH28" s="262">
        <f>(AH16*106.5%)/('Input - ENR'!AH16*101.1%)</f>
        <v>2.4939206755642214E-2</v>
      </c>
      <c r="AI28" s="262">
        <f>(AI16*106.5%)/('Input - ENR'!AI16*101.1%)</f>
        <v>2.4258627633458648E-2</v>
      </c>
      <c r="AJ28" s="262">
        <f>(AJ16*106.5%)/('Input - ENR'!AJ16*101.1%)</f>
        <v>2.3574494309563893E-2</v>
      </c>
      <c r="AK28" s="262">
        <f>(AK16*106.5%)/('Input - ENR'!AK16*101.1%)</f>
        <v>2.2919038473245661E-2</v>
      </c>
      <c r="AL28" s="262">
        <f>(AL16*106.5%)/('Input - ENR'!AL16*101.1%)</f>
        <v>2.2219845667565422E-2</v>
      </c>
      <c r="AM28" s="263">
        <f>(AM16*106.5%)/('Input - ENR'!AM16*101.1%)</f>
        <v>2.1453853739495213E-2</v>
      </c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4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4"/>
    </row>
    <row r="29" spans="1:62" x14ac:dyDescent="0.35">
      <c r="A29" s="2" t="str">
        <f t="shared" si="185"/>
        <v>GNPA% - CV  (Stress)</v>
      </c>
      <c r="B29" s="2" t="s">
        <v>158</v>
      </c>
      <c r="C29" s="264">
        <f t="shared" ref="C29" si="187">C53</f>
        <v>4.4148123775266723E-2</v>
      </c>
      <c r="D29" s="265">
        <f>(D17*106.5%)/('Input - ENR'!D17*101.1%)</f>
        <v>4.6252005612240243E-2</v>
      </c>
      <c r="E29" s="265">
        <f>(E17*106.5%)/('Input - ENR'!E17*101.1%)</f>
        <v>4.8122221673137393E-2</v>
      </c>
      <c r="F29" s="265">
        <f>(F17*106.5%)/('Input - ENR'!F17*101.1%)</f>
        <v>4.9818066702214149E-2</v>
      </c>
      <c r="G29" s="265">
        <f>(G17*106.5%)/('Input - ENR'!G17*101.1%)</f>
        <v>5.1613198629984473E-2</v>
      </c>
      <c r="H29" s="265">
        <f>(H17*106.5%)/('Input - ENR'!H17*101.1%)</f>
        <v>5.3206212135271748E-2</v>
      </c>
      <c r="I29" s="265">
        <f>(I17*106.5%)/('Input - ENR'!I17*101.1%)</f>
        <v>5.464067740401022E-2</v>
      </c>
      <c r="J29" s="265">
        <f>(J17*106.5%)/('Input - ENR'!J17*101.1%)</f>
        <v>5.7014200537991992E-2</v>
      </c>
      <c r="K29" s="265">
        <f>(K17*106.5%)/('Input - ENR'!K17*101.1%)</f>
        <v>5.9145690327494116E-2</v>
      </c>
      <c r="L29" s="265">
        <f>(L17*106.5%)/('Input - ENR'!L17*101.1%)</f>
        <v>6.1244899683678078E-2</v>
      </c>
      <c r="M29" s="265">
        <f>(M17*106.5%)/('Input - ENR'!M17*101.1%)</f>
        <v>6.3443934766571758E-2</v>
      </c>
      <c r="N29" s="265">
        <f>(N17*106.5%)/('Input - ENR'!N17*101.1%)</f>
        <v>6.5458112078637054E-2</v>
      </c>
      <c r="O29" s="266">
        <f>(O17*106.5%)/('Input - ENR'!O17*101.1%)</f>
        <v>6.7422113479334342E-2</v>
      </c>
      <c r="P29" s="265">
        <f>(P17*106.5%)/('Input - ENR'!P17*101.1%)</f>
        <v>7.0049792867206653E-2</v>
      </c>
      <c r="Q29" s="265">
        <f>(Q17*106.5%)/('Input - ENR'!Q17*101.1%)</f>
        <v>7.3045006157045719E-2</v>
      </c>
      <c r="R29" s="265">
        <f>(R17*106.5%)/('Input - ENR'!R17*101.1%)</f>
        <v>7.6043035873205184E-2</v>
      </c>
      <c r="S29" s="265">
        <f>(S17*106.5%)/('Input - ENR'!S17*101.1%)</f>
        <v>7.9401576815795905E-2</v>
      </c>
      <c r="T29" s="265">
        <f>(T17*106.5%)/('Input - ENR'!T17*101.1%)</f>
        <v>8.2706333531054027E-2</v>
      </c>
      <c r="U29" s="265">
        <f>(U17*106.5%)/('Input - ENR'!U17*101.1%)</f>
        <v>8.5954808359832935E-2</v>
      </c>
      <c r="V29" s="265">
        <f>(V17*106.5%)/('Input - ENR'!V17*101.1%)</f>
        <v>8.3698422997816477E-2</v>
      </c>
      <c r="W29" s="265">
        <f>(W17*106.5%)/('Input - ENR'!W17*101.1%)</f>
        <v>8.1326416831805914E-2</v>
      </c>
      <c r="X29" s="265">
        <f>(X17*106.5%)/('Input - ENR'!X17*101.1%)</f>
        <v>7.8954365221261577E-2</v>
      </c>
      <c r="Y29" s="265">
        <f>(Y17*106.5%)/('Input - ENR'!Y17*101.1%)</f>
        <v>7.6628748757879589E-2</v>
      </c>
      <c r="Z29" s="265">
        <f>(Z17*106.5%)/('Input - ENR'!Z17*101.1%)</f>
        <v>7.4146323917429827E-2</v>
      </c>
      <c r="AA29" s="266">
        <f>(AA17*106.5%)/('Input - ENR'!AA17*101.1%)</f>
        <v>7.1581637745213617E-2</v>
      </c>
      <c r="AB29" s="265">
        <f>(AB17*106.5%)/('Input - ENR'!AB17*101.1%)</f>
        <v>6.8198157956814762E-2</v>
      </c>
      <c r="AC29" s="265">
        <f>(AC17*106.5%)/('Input - ENR'!AC17*101.1%)</f>
        <v>6.5211286048582146E-2</v>
      </c>
      <c r="AD29" s="265">
        <f>(AD17*106.5%)/('Input - ENR'!AD17*101.1%)</f>
        <v>6.229516983275224E-2</v>
      </c>
      <c r="AE29" s="265">
        <f>(AE17*106.5%)/('Input - ENR'!AE17*101.1%)</f>
        <v>5.9759199024299207E-2</v>
      </c>
      <c r="AF29" s="265">
        <f>(AF17*106.5%)/('Input - ENR'!AF17*101.1%)</f>
        <v>5.7203157404673542E-2</v>
      </c>
      <c r="AG29" s="265">
        <f>(AG17*106.5%)/('Input - ENR'!AG17*101.1%)</f>
        <v>5.4668063706059623E-2</v>
      </c>
      <c r="AH29" s="265">
        <f>(AH17*106.5%)/('Input - ENR'!AH17*101.1%)</f>
        <v>5.2184151872564498E-2</v>
      </c>
      <c r="AI29" s="265">
        <f>(AI17*106.5%)/('Input - ENR'!AI17*101.1%)</f>
        <v>4.9615953967836968E-2</v>
      </c>
      <c r="AJ29" s="265">
        <f>(AJ17*106.5%)/('Input - ENR'!AJ17*101.1%)</f>
        <v>4.7046064102760535E-2</v>
      </c>
      <c r="AK29" s="265">
        <f>(AK17*106.5%)/('Input - ENR'!AK17*101.1%)</f>
        <v>4.4496879573783205E-2</v>
      </c>
      <c r="AL29" s="265">
        <f>(AL17*106.5%)/('Input - ENR'!AL17*101.1%)</f>
        <v>4.1822569270312235E-2</v>
      </c>
      <c r="AM29" s="266">
        <f>(AM17*106.5%)/('Input - ENR'!AM17*101.1%)</f>
        <v>3.9088140533311458E-2</v>
      </c>
      <c r="AN29" s="56"/>
      <c r="AO29" s="56"/>
      <c r="AP29" s="56"/>
      <c r="AQ29" s="56"/>
      <c r="AR29" s="56"/>
      <c r="AS29" s="56"/>
      <c r="AT29" s="56"/>
      <c r="AU29" s="56"/>
      <c r="AV29" s="56"/>
      <c r="AW29" s="56"/>
      <c r="AX29" s="57"/>
      <c r="AY29" s="56"/>
      <c r="AZ29" s="56"/>
      <c r="BA29" s="56"/>
      <c r="BB29" s="56"/>
      <c r="BC29" s="56"/>
      <c r="BD29" s="56"/>
      <c r="BE29" s="56"/>
      <c r="BF29" s="56"/>
      <c r="BG29" s="56"/>
      <c r="BH29" s="56"/>
      <c r="BI29" s="56"/>
      <c r="BJ29" s="57"/>
    </row>
    <row r="30" spans="1:62" x14ac:dyDescent="0.35">
      <c r="A30" s="3" t="str">
        <f t="shared" si="185"/>
        <v>GNPA% - CV  (Stress)</v>
      </c>
      <c r="B30" s="3" t="s">
        <v>159</v>
      </c>
      <c r="C30" s="267">
        <f t="shared" ref="C30" si="188">C54</f>
        <v>0</v>
      </c>
      <c r="D30" s="268">
        <f>(D18*106.5%)/('Input - ENR'!D18*101.1%)</f>
        <v>1.2176981750107541E-3</v>
      </c>
      <c r="E30" s="268">
        <f>(E18*106.5%)/('Input - ENR'!E18*101.1%)</f>
        <v>1.2148573473617092E-3</v>
      </c>
      <c r="F30" s="268">
        <f>(F18*106.5%)/('Input - ENR'!F18*101.1%)</f>
        <v>1.2042320827807807E-3</v>
      </c>
      <c r="G30" s="268">
        <f>(G18*106.5%)/('Input - ENR'!G18*101.1%)</f>
        <v>1.182872322658509E-3</v>
      </c>
      <c r="H30" s="268">
        <f>(H18*106.5%)/('Input - ENR'!H18*101.1%)</f>
        <v>1.1525643024686656E-3</v>
      </c>
      <c r="I30" s="268">
        <f>(I18*106.5%)/('Input - ENR'!I18*101.1%)</f>
        <v>1.1186940208208977E-3</v>
      </c>
      <c r="J30" s="268">
        <f>(J18*106.5%)/('Input - ENR'!J18*101.1%)</f>
        <v>1.0823128873122822E-3</v>
      </c>
      <c r="K30" s="268">
        <f>(K18*106.5%)/('Input - ENR'!K18*101.1%)</f>
        <v>1.0503480348453107E-3</v>
      </c>
      <c r="L30" s="268">
        <f>(L18*106.5%)/('Input - ENR'!L18*101.1%)</f>
        <v>1.0164217145032135E-3</v>
      </c>
      <c r="M30" s="268">
        <f>(M18*106.5%)/('Input - ENR'!M18*101.1%)</f>
        <v>9.8130914415235702E-4</v>
      </c>
      <c r="N30" s="268">
        <f>(N18*106.5%)/('Input - ENR'!N18*101.1%)</f>
        <v>9.4811685455051405E-4</v>
      </c>
      <c r="O30" s="269">
        <f>(O18*106.5%)/('Input - ENR'!O18*101.1%)</f>
        <v>8.9871262207699449E-4</v>
      </c>
      <c r="P30" s="268">
        <f>(P18*106.5%)/('Input - ENR'!P18*101.1%)</f>
        <v>9.1021828367262528E-4</v>
      </c>
      <c r="Q30" s="268">
        <f>(Q18*106.5%)/('Input - ENR'!Q18*101.1%)</f>
        <v>9.1587473511002679E-4</v>
      </c>
      <c r="R30" s="268">
        <f>(R18*106.5%)/('Input - ENR'!R18*101.1%)</f>
        <v>9.1585185559355659E-4</v>
      </c>
      <c r="S30" s="268">
        <f>(S18*106.5%)/('Input - ENR'!S18*101.1%)</f>
        <v>9.0787742381335482E-4</v>
      </c>
      <c r="T30" s="268">
        <f>(T18*106.5%)/('Input - ENR'!T18*101.1%)</f>
        <v>8.9284906849071649E-4</v>
      </c>
      <c r="U30" s="268">
        <f>(U18*106.5%)/('Input - ENR'!U18*101.1%)</f>
        <v>8.7432755037081527E-4</v>
      </c>
      <c r="V30" s="268">
        <f>(V18*106.5%)/('Input - ENR'!V18*101.1%)</f>
        <v>8.5301290346471764E-4</v>
      </c>
      <c r="W30" s="268">
        <f>(W18*106.5%)/('Input - ENR'!W18*101.1%)</f>
        <v>8.3398731955136151E-4</v>
      </c>
      <c r="X30" s="268">
        <f>(X18*106.5%)/('Input - ENR'!X18*101.1%)</f>
        <v>8.1270281306080705E-4</v>
      </c>
      <c r="Y30" s="268">
        <f>(Y18*106.5%)/('Input - ENR'!Y18*101.1%)</f>
        <v>7.897488921907881E-4</v>
      </c>
      <c r="Z30" s="268">
        <f>(Z18*106.5%)/('Input - ENR'!Z18*101.1%)</f>
        <v>7.6753029855832031E-4</v>
      </c>
      <c r="AA30" s="269">
        <f>(AA18*106.5%)/('Input - ENR'!AA18*101.1%)</f>
        <v>7.321306278622624E-4</v>
      </c>
      <c r="AB30" s="268">
        <f>(AB18*106.5%)/('Input - ENR'!AB18*101.1%)</f>
        <v>7.4418516841620358E-4</v>
      </c>
      <c r="AC30" s="268">
        <f>(AC18*106.5%)/('Input - ENR'!AC18*101.1%)</f>
        <v>7.5169023851568871E-4</v>
      </c>
      <c r="AD30" s="268">
        <f>(AD18*106.5%)/('Input - ENR'!AD18*101.1%)</f>
        <v>7.5467817350341406E-4</v>
      </c>
      <c r="AE30" s="268">
        <f>(AE18*106.5%)/('Input - ENR'!AE18*101.1%)</f>
        <v>7.5127481290903264E-4</v>
      </c>
      <c r="AF30" s="268">
        <f>(AF18*106.5%)/('Input - ENR'!AF18*101.1%)</f>
        <v>7.420491524407041E-4</v>
      </c>
      <c r="AG30" s="268">
        <f>(AG18*106.5%)/('Input - ENR'!AG18*101.1%)</f>
        <v>7.2971748149658257E-4</v>
      </c>
      <c r="AH30" s="268">
        <f>(AH18*106.5%)/('Input - ENR'!AH18*101.1%)</f>
        <v>7.1480020132289154E-4</v>
      </c>
      <c r="AI30" s="268">
        <f>(AI18*106.5%)/('Input - ENR'!AI18*101.1%)</f>
        <v>7.013829162420697E-4</v>
      </c>
      <c r="AJ30" s="268">
        <f>(AJ18*106.5%)/('Input - ENR'!AJ18*101.1%)</f>
        <v>6.858305237425321E-4</v>
      </c>
      <c r="AK30" s="268">
        <f>(AK18*106.5%)/('Input - ENR'!AK18*101.1%)</f>
        <v>6.686149873054815E-4</v>
      </c>
      <c r="AL30" s="268">
        <f>(AL18*106.5%)/('Input - ENR'!AL18*101.1%)</f>
        <v>6.5171848228205524E-4</v>
      </c>
      <c r="AM30" s="269">
        <f>(AM18*106.5%)/('Input - ENR'!AM18*101.1%)</f>
        <v>6.2364155572436743E-4</v>
      </c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X30" s="60"/>
      <c r="AY30" s="59"/>
      <c r="AZ30" s="59"/>
      <c r="BA30" s="59"/>
      <c r="BB30" s="59"/>
      <c r="BC30" s="59"/>
      <c r="BD30" s="59"/>
      <c r="BE30" s="59"/>
      <c r="BF30" s="59"/>
      <c r="BG30" s="59"/>
      <c r="BH30" s="59"/>
      <c r="BI30" s="59"/>
      <c r="BJ30" s="60"/>
    </row>
    <row r="32" spans="1:62" x14ac:dyDescent="0.35">
      <c r="A32" s="25" t="s">
        <v>212</v>
      </c>
      <c r="B32" s="4" t="s">
        <v>3</v>
      </c>
      <c r="C32" s="19">
        <f>C26</f>
        <v>45352</v>
      </c>
      <c r="D32" s="20">
        <f>EDATE(C32,1)</f>
        <v>45383</v>
      </c>
      <c r="E32" s="20">
        <f>EDATE(D32,1)</f>
        <v>45413</v>
      </c>
      <c r="F32" s="20">
        <f>EDATE(E32,1)</f>
        <v>45444</v>
      </c>
      <c r="G32" s="20">
        <f t="shared" ref="G32" si="189">EDATE(F32,1)</f>
        <v>45474</v>
      </c>
      <c r="H32" s="20">
        <f t="shared" ref="H32" si="190">EDATE(G32,1)</f>
        <v>45505</v>
      </c>
      <c r="I32" s="20">
        <f t="shared" ref="I32" si="191">EDATE(H32,1)</f>
        <v>45536</v>
      </c>
      <c r="J32" s="20">
        <f t="shared" ref="J32" si="192">EDATE(I32,1)</f>
        <v>45566</v>
      </c>
      <c r="K32" s="20">
        <f t="shared" ref="K32" si="193">EDATE(J32,1)</f>
        <v>45597</v>
      </c>
      <c r="L32" s="20">
        <f t="shared" ref="L32" si="194">EDATE(K32,1)</f>
        <v>45627</v>
      </c>
      <c r="M32" s="20">
        <f t="shared" ref="M32" si="195">EDATE(L32,1)</f>
        <v>45658</v>
      </c>
      <c r="N32" s="20">
        <f t="shared" ref="N32" si="196">EDATE(M32,1)</f>
        <v>45689</v>
      </c>
      <c r="O32" s="21">
        <f t="shared" ref="O32" si="197">EDATE(N32,1)</f>
        <v>45717</v>
      </c>
      <c r="P32" s="20">
        <f t="shared" ref="P32" si="198">EDATE(O32,1)</f>
        <v>45748</v>
      </c>
      <c r="Q32" s="20">
        <f t="shared" ref="Q32" si="199">EDATE(P32,1)</f>
        <v>45778</v>
      </c>
      <c r="R32" s="20">
        <f t="shared" ref="R32" si="200">EDATE(Q32,1)</f>
        <v>45809</v>
      </c>
      <c r="S32" s="20">
        <f t="shared" ref="S32" si="201">EDATE(R32,1)</f>
        <v>45839</v>
      </c>
      <c r="T32" s="20">
        <f t="shared" ref="T32" si="202">EDATE(S32,1)</f>
        <v>45870</v>
      </c>
      <c r="U32" s="20">
        <f t="shared" ref="U32" si="203">EDATE(T32,1)</f>
        <v>45901</v>
      </c>
      <c r="V32" s="20">
        <f t="shared" ref="V32" si="204">EDATE(U32,1)</f>
        <v>45931</v>
      </c>
      <c r="W32" s="20">
        <f t="shared" ref="W32" si="205">EDATE(V32,1)</f>
        <v>45962</v>
      </c>
      <c r="X32" s="20">
        <f t="shared" ref="X32" si="206">EDATE(W32,1)</f>
        <v>45992</v>
      </c>
      <c r="Y32" s="20">
        <f t="shared" ref="Y32" si="207">EDATE(X32,1)</f>
        <v>46023</v>
      </c>
      <c r="Z32" s="20">
        <f t="shared" ref="Z32" si="208">EDATE(Y32,1)</f>
        <v>46054</v>
      </c>
      <c r="AA32" s="21">
        <f t="shared" ref="AA32" si="209">EDATE(Z32,1)</f>
        <v>46082</v>
      </c>
      <c r="AB32" s="20">
        <f t="shared" ref="AB32" si="210">EDATE(AA32,1)</f>
        <v>46113</v>
      </c>
      <c r="AC32" s="20">
        <f t="shared" ref="AC32" si="211">EDATE(AB32,1)</f>
        <v>46143</v>
      </c>
      <c r="AD32" s="20">
        <f t="shared" ref="AD32" si="212">EDATE(AC32,1)</f>
        <v>46174</v>
      </c>
      <c r="AE32" s="20">
        <f t="shared" ref="AE32" si="213">EDATE(AD32,1)</f>
        <v>46204</v>
      </c>
      <c r="AF32" s="20">
        <f t="shared" ref="AF32" si="214">EDATE(AE32,1)</f>
        <v>46235</v>
      </c>
      <c r="AG32" s="20">
        <f t="shared" ref="AG32" si="215">EDATE(AF32,1)</f>
        <v>46266</v>
      </c>
      <c r="AH32" s="20">
        <f t="shared" ref="AH32" si="216">EDATE(AG32,1)</f>
        <v>46296</v>
      </c>
      <c r="AI32" s="20">
        <f t="shared" ref="AI32" si="217">EDATE(AH32,1)</f>
        <v>46327</v>
      </c>
      <c r="AJ32" s="20">
        <f t="shared" ref="AJ32" si="218">EDATE(AI32,1)</f>
        <v>46357</v>
      </c>
      <c r="AK32" s="20">
        <f t="shared" ref="AK32" si="219">EDATE(AJ32,1)</f>
        <v>46388</v>
      </c>
      <c r="AL32" s="20">
        <f t="shared" ref="AL32" si="220">EDATE(AK32,1)</f>
        <v>46419</v>
      </c>
      <c r="AM32" s="21">
        <f t="shared" ref="AM32" si="221">EDATE(AL32,1)</f>
        <v>46447</v>
      </c>
      <c r="AN32" s="20">
        <f t="shared" ref="AN32" si="222">EDATE(AM32,1)</f>
        <v>46478</v>
      </c>
      <c r="AO32" s="20">
        <f t="shared" ref="AO32" si="223">EDATE(AN32,1)</f>
        <v>46508</v>
      </c>
      <c r="AP32" s="20">
        <f t="shared" ref="AP32" si="224">EDATE(AO32,1)</f>
        <v>46539</v>
      </c>
      <c r="AQ32" s="20">
        <f t="shared" ref="AQ32" si="225">EDATE(AP32,1)</f>
        <v>46569</v>
      </c>
      <c r="AR32" s="20">
        <f t="shared" ref="AR32" si="226">EDATE(AQ32,1)</f>
        <v>46600</v>
      </c>
      <c r="AS32" s="20">
        <f t="shared" ref="AS32" si="227">EDATE(AR32,1)</f>
        <v>46631</v>
      </c>
      <c r="AT32" s="20">
        <f t="shared" ref="AT32" si="228">EDATE(AS32,1)</f>
        <v>46661</v>
      </c>
      <c r="AU32" s="20">
        <f t="shared" ref="AU32" si="229">EDATE(AT32,1)</f>
        <v>46692</v>
      </c>
      <c r="AV32" s="20">
        <f t="shared" ref="AV32" si="230">EDATE(AU32,1)</f>
        <v>46722</v>
      </c>
      <c r="AW32" s="20">
        <f t="shared" ref="AW32" si="231">EDATE(AV32,1)</f>
        <v>46753</v>
      </c>
      <c r="AX32" s="21">
        <f t="shared" ref="AX32" si="232">EDATE(AW32,1)</f>
        <v>46784</v>
      </c>
      <c r="AY32" s="20">
        <f t="shared" ref="AY32" si="233">EDATE(AX32,1)</f>
        <v>46813</v>
      </c>
      <c r="AZ32" s="20">
        <f t="shared" ref="AZ32" si="234">EDATE(AY32,1)</f>
        <v>46844</v>
      </c>
      <c r="BA32" s="20">
        <f t="shared" ref="BA32" si="235">EDATE(AZ32,1)</f>
        <v>46874</v>
      </c>
      <c r="BB32" s="20">
        <f t="shared" ref="BB32" si="236">EDATE(BA32,1)</f>
        <v>46905</v>
      </c>
      <c r="BC32" s="20">
        <f t="shared" ref="BC32" si="237">EDATE(BB32,1)</f>
        <v>46935</v>
      </c>
      <c r="BD32" s="20">
        <f t="shared" ref="BD32" si="238">EDATE(BC32,1)</f>
        <v>46966</v>
      </c>
      <c r="BE32" s="20">
        <f t="shared" ref="BE32" si="239">EDATE(BD32,1)</f>
        <v>46997</v>
      </c>
      <c r="BF32" s="20">
        <f t="shared" ref="BF32" si="240">EDATE(BE32,1)</f>
        <v>47027</v>
      </c>
      <c r="BG32" s="20">
        <f t="shared" ref="BG32" si="241">EDATE(BF32,1)</f>
        <v>47058</v>
      </c>
      <c r="BH32" s="20">
        <f t="shared" ref="BH32" si="242">EDATE(BG32,1)</f>
        <v>47088</v>
      </c>
      <c r="BI32" s="20">
        <f t="shared" ref="BI32" si="243">EDATE(BH32,1)</f>
        <v>47119</v>
      </c>
      <c r="BJ32" s="21">
        <f t="shared" ref="BJ32" si="244">EDATE(BI32,1)</f>
        <v>47150</v>
      </c>
    </row>
    <row r="33" spans="1:62" x14ac:dyDescent="0.35">
      <c r="A33" s="15" t="str">
        <f>A32</f>
        <v>NNPA% - CV  (Stress)</v>
      </c>
      <c r="B33" s="15" t="s">
        <v>188</v>
      </c>
      <c r="C33" s="258">
        <f>C57</f>
        <v>1.6703051248971652E-2</v>
      </c>
      <c r="D33" s="259">
        <f>(D21+6.5%*D15)/('Input - ENR'!D15*101.1%)</f>
        <v>1.7403230708683982E-2</v>
      </c>
      <c r="E33" s="259">
        <f>(E21+6.5%*E15)/('Input - ENR'!E15*101.1%)</f>
        <v>1.8007106997259888E-2</v>
      </c>
      <c r="F33" s="259">
        <f>(F21+6.5%*F15)/('Input - ENR'!F15*101.1%)</f>
        <v>1.8559089309629347E-2</v>
      </c>
      <c r="G33" s="259">
        <f>(G21+6.5%*G15)/('Input - ENR'!G15*101.1%)</f>
        <v>1.9195281751250026E-2</v>
      </c>
      <c r="H33" s="259">
        <f>(H21+6.5%*H15)/('Input - ENR'!H15*101.1%)</f>
        <v>1.9757106774939092E-2</v>
      </c>
      <c r="I33" s="259">
        <f>(I21+6.5%*I15)/('Input - ENR'!I15*101.1%)</f>
        <v>1.9893629903848305E-2</v>
      </c>
      <c r="J33" s="259">
        <f>(J21+6.5%*J15)/('Input - ENR'!J15*101.1%)</f>
        <v>1.940511752125652E-2</v>
      </c>
      <c r="K33" s="259">
        <f>(K21+6.5%*K15)/('Input - ENR'!K15*101.1%)</f>
        <v>2.0143633185100627E-2</v>
      </c>
      <c r="L33" s="259">
        <f>(L21+6.5%*L15)/('Input - ENR'!L15*101.1%)</f>
        <v>2.0244235264293753E-2</v>
      </c>
      <c r="M33" s="259">
        <f>(M21+6.5%*M15)/('Input - ENR'!M15*101.1%)</f>
        <v>2.1111139189167395E-2</v>
      </c>
      <c r="N33" s="259">
        <f>(N21+6.5%*N15)/('Input - ENR'!N15*101.1%)</f>
        <v>2.1113466485002463E-2</v>
      </c>
      <c r="O33" s="260">
        <f>(O21+6.5%*O15)/('Input - ENR'!O15*101.1%)</f>
        <v>2.1573256951494542E-2</v>
      </c>
      <c r="P33" s="259">
        <f>(P21+6.5%*P15)/('Input - ENR'!P15*101.1%)</f>
        <v>2.2771264507509353E-2</v>
      </c>
      <c r="Q33" s="259">
        <f>(Q21+6.5%*Q15)/('Input - ENR'!Q15*101.1%)</f>
        <v>2.3656605799307569E-2</v>
      </c>
      <c r="R33" s="259">
        <f>(R21+6.5%*R15)/('Input - ENR'!R15*101.1%)</f>
        <v>2.4554527633440456E-2</v>
      </c>
      <c r="S33" s="259">
        <f>(S21+6.5%*S15)/('Input - ENR'!S15*101.1%)</f>
        <v>2.5703436128207816E-2</v>
      </c>
      <c r="T33" s="259">
        <f>(T21+6.5%*T15)/('Input - ENR'!T15*101.1%)</f>
        <v>2.6733099968671351E-2</v>
      </c>
      <c r="U33" s="259">
        <f>(U21+6.5%*U15)/('Input - ENR'!U15*101.1%)</f>
        <v>2.7742415880146889E-2</v>
      </c>
      <c r="V33" s="259">
        <f>(V21+6.5%*V15)/('Input - ENR'!V15*101.1%)</f>
        <v>2.7282974441723683E-2</v>
      </c>
      <c r="W33" s="259">
        <f>(W21+6.5%*W15)/('Input - ENR'!W15*101.1%)</f>
        <v>2.6786246733688738E-2</v>
      </c>
      <c r="X33" s="259">
        <f>(X21+6.5%*X15)/('Input - ENR'!X15*101.1%)</f>
        <v>2.540799882803027E-2</v>
      </c>
      <c r="Y33" s="259">
        <f>(Y21+6.5%*Y15)/('Input - ENR'!Y15*101.1%)</f>
        <v>2.496603346962871E-2</v>
      </c>
      <c r="Z33" s="259">
        <f>(Z21+6.5%*Z15)/('Input - ENR'!Z15*101.1%)</f>
        <v>2.3648411290453735E-2</v>
      </c>
      <c r="AA33" s="260">
        <f>(AA21+6.5%*AA15)/('Input - ENR'!AA15*101.1%)</f>
        <v>2.3134959731704867E-2</v>
      </c>
      <c r="AB33" s="259">
        <f>(AB21+6.5%*AB15)/('Input - ENR'!AB15*101.1%)</f>
        <v>2.2734550383403773E-2</v>
      </c>
      <c r="AC33" s="259">
        <f>(AC21+6.5%*AC15)/('Input - ENR'!AC15*101.1%)</f>
        <v>2.1934221256136928E-2</v>
      </c>
      <c r="AD33" s="259">
        <f>(AD21+6.5%*AD15)/('Input - ENR'!AD15*101.1%)</f>
        <v>2.1213833188586023E-2</v>
      </c>
      <c r="AE33" s="259">
        <f>(AE21+6.5%*AE15)/('Input - ENR'!AE15*101.1%)</f>
        <v>2.0636278475202396E-2</v>
      </c>
      <c r="AF33" s="259">
        <f>(AF21+6.5%*AF15)/('Input - ENR'!AF15*101.1%)</f>
        <v>2.0024771496157855E-2</v>
      </c>
      <c r="AG33" s="259">
        <f>(AG21+6.5%*AG15)/('Input - ENR'!AG15*101.1%)</f>
        <v>1.925424651581794E-2</v>
      </c>
      <c r="AH33" s="259">
        <f>(AH21+6.5%*AH15)/('Input - ENR'!AH15*101.1%)</f>
        <v>1.8653593068173022E-2</v>
      </c>
      <c r="AI33" s="259">
        <f>(AI21+6.5%*AI15)/('Input - ENR'!AI15*101.1%)</f>
        <v>1.803329454675389E-2</v>
      </c>
      <c r="AJ33" s="259">
        <f>(AJ21+6.5%*AJ15)/('Input - ENR'!AJ15*101.1%)</f>
        <v>1.706185384771295E-2</v>
      </c>
      <c r="AK33" s="259">
        <f>(AK21+6.5%*AK15)/('Input - ENR'!AK15*101.1%)</f>
        <v>1.646439380791551E-2</v>
      </c>
      <c r="AL33" s="259">
        <f>(AL21+6.5%*AL15)/('Input - ENR'!AL15*101.1%)</f>
        <v>1.555569403531131E-2</v>
      </c>
      <c r="AM33" s="260">
        <f>(AM21+6.5%*AM15)/('Input - ENR'!AM15*101.1%)</f>
        <v>1.4874649696951974E-2</v>
      </c>
      <c r="AN33" s="17">
        <f t="shared" ref="AN33:BJ33" si="245">SUM(AN34:AN36)</f>
        <v>0</v>
      </c>
      <c r="AO33" s="17">
        <f t="shared" si="245"/>
        <v>0</v>
      </c>
      <c r="AP33" s="17">
        <f t="shared" si="245"/>
        <v>0</v>
      </c>
      <c r="AQ33" s="17">
        <f t="shared" si="245"/>
        <v>0</v>
      </c>
      <c r="AR33" s="17">
        <f t="shared" si="245"/>
        <v>0</v>
      </c>
      <c r="AS33" s="17">
        <f t="shared" si="245"/>
        <v>0</v>
      </c>
      <c r="AT33" s="17">
        <f t="shared" si="245"/>
        <v>0</v>
      </c>
      <c r="AU33" s="17">
        <f t="shared" si="245"/>
        <v>0</v>
      </c>
      <c r="AV33" s="17">
        <f t="shared" si="245"/>
        <v>0</v>
      </c>
      <c r="AW33" s="17">
        <f t="shared" si="245"/>
        <v>0</v>
      </c>
      <c r="AX33" s="18">
        <f t="shared" si="245"/>
        <v>0</v>
      </c>
      <c r="AY33" s="17">
        <f t="shared" si="245"/>
        <v>0</v>
      </c>
      <c r="AZ33" s="17">
        <f t="shared" si="245"/>
        <v>0</v>
      </c>
      <c r="BA33" s="17">
        <f t="shared" si="245"/>
        <v>0</v>
      </c>
      <c r="BB33" s="17">
        <f t="shared" si="245"/>
        <v>0</v>
      </c>
      <c r="BC33" s="17">
        <f t="shared" si="245"/>
        <v>0</v>
      </c>
      <c r="BD33" s="17">
        <f t="shared" si="245"/>
        <v>0</v>
      </c>
      <c r="BE33" s="17">
        <f t="shared" si="245"/>
        <v>0</v>
      </c>
      <c r="BF33" s="17">
        <f t="shared" si="245"/>
        <v>0</v>
      </c>
      <c r="BG33" s="17">
        <f t="shared" si="245"/>
        <v>0</v>
      </c>
      <c r="BH33" s="17">
        <f t="shared" si="245"/>
        <v>0</v>
      </c>
      <c r="BI33" s="17">
        <f t="shared" si="245"/>
        <v>0</v>
      </c>
      <c r="BJ33" s="18">
        <f t="shared" si="245"/>
        <v>0</v>
      </c>
    </row>
    <row r="34" spans="1:62" x14ac:dyDescent="0.35">
      <c r="A34" s="1" t="str">
        <f t="shared" ref="A34:A36" si="246">A33</f>
        <v>NNPA% - CV  (Stress)</v>
      </c>
      <c r="B34" s="1" t="s">
        <v>157</v>
      </c>
      <c r="C34" s="261">
        <f t="shared" ref="C34" si="247">C58</f>
        <v>1.4600840773242467E-2</v>
      </c>
      <c r="D34" s="262">
        <f>(D22+6.5%*D16)/('Input - ENR'!D16*101.1%)</f>
        <v>1.4818427631598356E-2</v>
      </c>
      <c r="E34" s="262">
        <f>(E22+6.5%*E16)/('Input - ENR'!E16*101.1%)</f>
        <v>1.4986237576865602E-2</v>
      </c>
      <c r="F34" s="262">
        <f>(F22+6.5%*F16)/('Input - ENR'!F16*101.1%)</f>
        <v>1.5149235392574208E-2</v>
      </c>
      <c r="G34" s="262">
        <f>(G22+6.5%*G16)/('Input - ENR'!G16*101.1%)</f>
        <v>1.5414876081064672E-2</v>
      </c>
      <c r="H34" s="262">
        <f>(H22+6.5%*H16)/('Input - ENR'!H16*101.1%)</f>
        <v>1.5617757690128029E-2</v>
      </c>
      <c r="I34" s="262">
        <f>(I22+6.5%*I16)/('Input - ENR'!I16*101.1%)</f>
        <v>1.5837006539055697E-2</v>
      </c>
      <c r="J34" s="262">
        <f>(J22+6.5%*J16)/('Input - ENR'!J16*101.1%)</f>
        <v>1.5122789387668775E-2</v>
      </c>
      <c r="K34" s="262">
        <f>(K22+6.5%*K16)/('Input - ENR'!K16*101.1%)</f>
        <v>1.551552622321147E-2</v>
      </c>
      <c r="L34" s="262">
        <f>(L22+6.5%*L16)/('Input - ENR'!L16*101.1%)</f>
        <v>1.5915947543528212E-2</v>
      </c>
      <c r="M34" s="262">
        <f>(M22+6.5%*M16)/('Input - ENR'!M16*101.1%)</f>
        <v>1.6354994153132348E-2</v>
      </c>
      <c r="N34" s="262">
        <f>(N22+6.5%*N16)/('Input - ENR'!N16*101.1%)</f>
        <v>1.6773115312134049E-2</v>
      </c>
      <c r="O34" s="263">
        <f>(O22+6.5%*O16)/('Input - ENR'!O16*101.1%)</f>
        <v>1.6938401733481386E-2</v>
      </c>
      <c r="P34" s="262">
        <f>(P22+6.5%*P16)/('Input - ENR'!P16*101.1%)</f>
        <v>1.7764229395720119E-2</v>
      </c>
      <c r="Q34" s="262">
        <f>(Q22+6.5%*Q16)/('Input - ENR'!Q16*101.1%)</f>
        <v>1.8181787766922041E-2</v>
      </c>
      <c r="R34" s="262">
        <f>(R22+6.5%*R16)/('Input - ENR'!R16*101.1%)</f>
        <v>1.8619997219744163E-2</v>
      </c>
      <c r="S34" s="262">
        <f>(S22+6.5%*S16)/('Input - ENR'!S16*101.1%)</f>
        <v>1.9313059760668695E-2</v>
      </c>
      <c r="T34" s="262">
        <f>(T22+6.5%*T16)/('Input - ENR'!T16*101.1%)</f>
        <v>1.9848775966044525E-2</v>
      </c>
      <c r="U34" s="262">
        <f>(U22+6.5%*U16)/('Input - ENR'!U16*101.1%)</f>
        <v>2.0317777415696365E-2</v>
      </c>
      <c r="V34" s="262">
        <f>(V22+6.5%*V16)/('Input - ENR'!V16*101.1%)</f>
        <v>1.9979378549709426E-2</v>
      </c>
      <c r="W34" s="262">
        <f>(W22+6.5%*W16)/('Input - ENR'!W16*101.1%)</f>
        <v>1.9613576105990162E-2</v>
      </c>
      <c r="X34" s="262">
        <f>(X22+6.5%*X16)/('Input - ENR'!X16*101.1%)</f>
        <v>1.9235399369096701E-2</v>
      </c>
      <c r="Y34" s="262">
        <f>(Y22+6.5%*Y16)/('Input - ENR'!Y16*101.1%)</f>
        <v>1.8878975910995448E-2</v>
      </c>
      <c r="Z34" s="262">
        <f>(Z22+6.5%*Z16)/('Input - ENR'!Z16*101.1%)</f>
        <v>1.8489121799833429E-2</v>
      </c>
      <c r="AA34" s="263">
        <f>(AA22+6.5%*AA16)/('Input - ENR'!AA16*101.1%)</f>
        <v>1.8054692427760904E-2</v>
      </c>
      <c r="AB34" s="262">
        <f>(AB22+6.5%*AB16)/('Input - ENR'!AB16*101.1%)</f>
        <v>1.7964163117292757E-2</v>
      </c>
      <c r="AC34" s="262">
        <f>(AC22+6.5%*AC16)/('Input - ENR'!AC16*101.1%)</f>
        <v>1.7355811863380269E-2</v>
      </c>
      <c r="AD34" s="262">
        <f>(AD22+6.5%*AD16)/('Input - ENR'!AD16*101.1%)</f>
        <v>1.6793246906830796E-2</v>
      </c>
      <c r="AE34" s="262">
        <f>(AE22+6.5%*AE16)/('Input - ENR'!AE16*101.1%)</f>
        <v>1.6368251300007165E-2</v>
      </c>
      <c r="AF34" s="262">
        <f>(AF22+6.5%*AF16)/('Input - ENR'!AF16*101.1%)</f>
        <v>1.5920750360597577E-2</v>
      </c>
      <c r="AG34" s="262">
        <f>(AG22+6.5%*AG16)/('Input - ENR'!AG16*101.1%)</f>
        <v>1.5485433149483538E-2</v>
      </c>
      <c r="AH34" s="262">
        <f>(AH22+6.5%*AH16)/('Input - ENR'!AH16*101.1%)</f>
        <v>1.5118491770702716E-2</v>
      </c>
      <c r="AI34" s="262">
        <f>(AI22+6.5%*AI16)/('Input - ENR'!AI16*101.1%)</f>
        <v>1.4733294398810817E-2</v>
      </c>
      <c r="AJ34" s="262">
        <f>(AJ22+6.5%*AJ16)/('Input - ENR'!AJ16*101.1%)</f>
        <v>1.4326184995635365E-2</v>
      </c>
      <c r="AK34" s="262">
        <f>(AK22+6.5%*AK16)/('Input - ENR'!AK16*101.1%)</f>
        <v>1.393757260023407E-2</v>
      </c>
      <c r="AL34" s="262">
        <f>(AL22+6.5%*AL16)/('Input - ENR'!AL16*101.1%)</f>
        <v>1.3520628921030594E-2</v>
      </c>
      <c r="AM34" s="263">
        <f>(AM22+6.5%*AM16)/('Input - ENR'!AM16*101.1%)</f>
        <v>1.3061285581986663E-2</v>
      </c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4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4"/>
    </row>
    <row r="35" spans="1:62" x14ac:dyDescent="0.35">
      <c r="A35" s="2" t="str">
        <f t="shared" si="246"/>
        <v>NNPA% - CV  (Stress)</v>
      </c>
      <c r="B35" s="2" t="s">
        <v>158</v>
      </c>
      <c r="C35" s="264">
        <f t="shared" ref="C35" si="248">C59</f>
        <v>2.9102133321601057E-2</v>
      </c>
      <c r="D35" s="265">
        <f>(D23+6.5%*D17)/('Input - ENR'!D17*101.1%)</f>
        <v>3.0190597366683756E-2</v>
      </c>
      <c r="E35" s="265">
        <f>(E23+6.5%*E17)/('Input - ENR'!E17*101.1%)</f>
        <v>3.1681710597584824E-2</v>
      </c>
      <c r="F35" s="265">
        <f>(F23+6.5%*F17)/('Input - ENR'!F17*101.1%)</f>
        <v>3.2976459809285284E-2</v>
      </c>
      <c r="G35" s="265">
        <f>(G23+6.5%*G17)/('Input - ENR'!G17*101.1%)</f>
        <v>3.4348981539102957E-2</v>
      </c>
      <c r="H35" s="265">
        <f>(H23+6.5%*H17)/('Input - ENR'!H17*101.1%)</f>
        <v>3.5593392645018325E-2</v>
      </c>
      <c r="I35" s="265">
        <f>(I23+6.5%*I17)/('Input - ENR'!I17*101.1%)</f>
        <v>3.6600921405161108E-2</v>
      </c>
      <c r="J35" s="265">
        <f>(J23+6.5%*J17)/('Input - ENR'!J17*101.1%)</f>
        <v>3.6188120912975165E-2</v>
      </c>
      <c r="K35" s="265">
        <f>(K23+6.5%*K17)/('Input - ENR'!K17*101.1%)</f>
        <v>3.7647273960760216E-2</v>
      </c>
      <c r="L35" s="265">
        <f>(L23+6.5%*L17)/('Input - ENR'!L17*101.1%)</f>
        <v>3.9030137921427212E-2</v>
      </c>
      <c r="M35" s="265">
        <f>(M23+6.5%*M17)/('Input - ENR'!M17*101.1%)</f>
        <v>4.0919896258687236E-2</v>
      </c>
      <c r="N35" s="265">
        <f>(N23+6.5%*N17)/('Input - ENR'!N17*101.1%)</f>
        <v>4.2109670743251559E-2</v>
      </c>
      <c r="O35" s="266">
        <f>(O23+6.5%*O17)/('Input - ENR'!O17*101.1%)</f>
        <v>4.303173758360241E-2</v>
      </c>
      <c r="P35" s="265">
        <f>(P23+6.5%*P17)/('Input - ENR'!P17*101.1%)</f>
        <v>4.5233923355968389E-2</v>
      </c>
      <c r="Q35" s="265">
        <f>(Q23+6.5%*Q17)/('Input - ENR'!Q17*101.1%)</f>
        <v>4.7304928781520532E-2</v>
      </c>
      <c r="R35" s="265">
        <f>(R23+6.5%*R17)/('Input - ENR'!R17*101.1%)</f>
        <v>4.9351272266825438E-2</v>
      </c>
      <c r="S35" s="265">
        <f>(S23+6.5%*S17)/('Input - ENR'!S17*101.1%)</f>
        <v>5.1609093902981379E-2</v>
      </c>
      <c r="T35" s="265">
        <f>(T23+6.5%*T17)/('Input - ENR'!T17*101.1%)</f>
        <v>5.3833854113620079E-2</v>
      </c>
      <c r="U35" s="265">
        <f>(U23+6.5%*U17)/('Input - ENR'!U17*101.1%)</f>
        <v>5.6136324750654089E-2</v>
      </c>
      <c r="V35" s="265">
        <f>(V23+6.5%*V17)/('Input - ENR'!V17*101.1%)</f>
        <v>5.4661381137612257E-2</v>
      </c>
      <c r="W35" s="265">
        <f>(W23+6.5%*W17)/('Input - ENR'!W17*101.1%)</f>
        <v>5.3117090039295822E-2</v>
      </c>
      <c r="X35" s="265">
        <f>(X23+6.5%*X17)/('Input - ENR'!X17*101.1%)</f>
        <v>5.1511754767409212E-2</v>
      </c>
      <c r="Y35" s="265">
        <f>(Y23+6.5%*Y17)/('Input - ENR'!Y17*101.1%)</f>
        <v>5.001992907350826E-2</v>
      </c>
      <c r="Z35" s="265">
        <f>(Z23+6.5%*Z17)/('Input - ENR'!Z17*101.1%)</f>
        <v>4.8316963740247187E-2</v>
      </c>
      <c r="AA35" s="266">
        <f>(AA23+6.5%*AA17)/('Input - ENR'!AA17*101.1%)</f>
        <v>4.6676748287236357E-2</v>
      </c>
      <c r="AB35" s="265">
        <f>(AB23+6.5%*AB17)/('Input - ENR'!AB17*101.1%)</f>
        <v>4.4486650122360888E-2</v>
      </c>
      <c r="AC35" s="265">
        <f>(AC23+6.5%*AC17)/('Input - ENR'!AC17*101.1%)</f>
        <v>4.2544758220293799E-2</v>
      </c>
      <c r="AD35" s="265">
        <f>(AD23+6.5%*AD17)/('Input - ENR'!AD17*101.1%)</f>
        <v>4.0645343289897572E-2</v>
      </c>
      <c r="AE35" s="265">
        <f>(AE23+6.5%*AE17)/('Input - ENR'!AE17*101.1%)</f>
        <v>3.9017394717094193E-2</v>
      </c>
      <c r="AF35" s="265">
        <f>(AF23+6.5%*AF17)/('Input - ENR'!AF17*101.1%)</f>
        <v>3.7388230796589476E-2</v>
      </c>
      <c r="AG35" s="265">
        <f>(AG23+6.5%*AG17)/('Input - ENR'!AG17*101.1%)</f>
        <v>3.5730480536332349E-2</v>
      </c>
      <c r="AH35" s="265">
        <f>(AH23+6.5%*AH17)/('Input - ENR'!AH17*101.1%)</f>
        <v>3.4143235805323559E-2</v>
      </c>
      <c r="AI35" s="265">
        <f>(AI23+6.5%*AI17)/('Input - ENR'!AI17*101.1%)</f>
        <v>3.247934312468953E-2</v>
      </c>
      <c r="AJ35" s="265">
        <f>(AJ23+6.5%*AJ17)/('Input - ENR'!AJ17*101.1%)</f>
        <v>3.0754420309611605E-2</v>
      </c>
      <c r="AK35" s="265">
        <f>(AK23+6.5%*AK17)/('Input - ENR'!AK17*101.1%)</f>
        <v>2.9077910868880806E-2</v>
      </c>
      <c r="AL35" s="265">
        <f>(AL23+6.5%*AL17)/('Input - ENR'!AL17*101.1%)</f>
        <v>2.7284996724286827E-2</v>
      </c>
      <c r="AM35" s="266">
        <f>(AM23+6.5%*AM17)/('Input - ENR'!AM17*101.1%)</f>
        <v>2.5511848315601507E-2</v>
      </c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7"/>
      <c r="AY35" s="56"/>
      <c r="AZ35" s="56"/>
      <c r="BA35" s="56"/>
      <c r="BB35" s="56"/>
      <c r="BC35" s="56"/>
      <c r="BD35" s="56"/>
      <c r="BE35" s="56"/>
      <c r="BF35" s="56"/>
      <c r="BG35" s="56"/>
      <c r="BH35" s="56"/>
      <c r="BI35" s="56"/>
      <c r="BJ35" s="57"/>
    </row>
    <row r="36" spans="1:62" x14ac:dyDescent="0.35">
      <c r="A36" s="3" t="str">
        <f t="shared" si="246"/>
        <v>NNPA% - CV  (Stress)</v>
      </c>
      <c r="B36" s="3" t="s">
        <v>159</v>
      </c>
      <c r="C36" s="267">
        <f t="shared" ref="C36" si="249">C60</f>
        <v>0</v>
      </c>
      <c r="D36" s="268">
        <f>(D24+6.5%*D18)/('Input - ENR'!D18*101.1%)</f>
        <v>1.2176981750107541E-3</v>
      </c>
      <c r="E36" s="268">
        <f>(E24+6.5%*E18)/('Input - ENR'!E18*101.1%)</f>
        <v>1.2148573473617095E-3</v>
      </c>
      <c r="F36" s="268">
        <f>(F24+6.5%*F18)/('Input - ENR'!F18*101.1%)</f>
        <v>1.2042320827807807E-3</v>
      </c>
      <c r="G36" s="268">
        <f>(G24+6.5%*G18)/('Input - ENR'!G18*101.1%)</f>
        <v>1.182872322658509E-3</v>
      </c>
      <c r="H36" s="268">
        <f>(H24+6.5%*H18)/('Input - ENR'!H18*101.1%)</f>
        <v>1.1525643024686656E-3</v>
      </c>
      <c r="I36" s="268">
        <f>(I24+6.5%*I18)/('Input - ENR'!I18*101.1%)</f>
        <v>1.1186940208208977E-3</v>
      </c>
      <c r="J36" s="268">
        <f>(J24+6.5%*J18)/('Input - ENR'!J18*101.1%)</f>
        <v>1.0823128873122822E-3</v>
      </c>
      <c r="K36" s="268">
        <f>(K24+6.5%*K18)/('Input - ENR'!K18*101.1%)</f>
        <v>1.0503480348453109E-3</v>
      </c>
      <c r="L36" s="268">
        <f>(L24+6.5%*L18)/('Input - ENR'!L18*101.1%)</f>
        <v>1.0164217145032135E-3</v>
      </c>
      <c r="M36" s="268">
        <f>(M24+6.5%*M18)/('Input - ENR'!M18*101.1%)</f>
        <v>9.8130914415235702E-4</v>
      </c>
      <c r="N36" s="268">
        <f>(N24+6.5%*N18)/('Input - ENR'!N18*101.1%)</f>
        <v>9.4811685455051405E-4</v>
      </c>
      <c r="O36" s="269">
        <f>(O24+6.5%*O18)/('Input - ENR'!O18*101.1%)</f>
        <v>8.9871262207699449E-4</v>
      </c>
      <c r="P36" s="268">
        <f>(P24+6.5%*P18)/('Input - ENR'!P18*101.1%)</f>
        <v>9.1021828367262528E-4</v>
      </c>
      <c r="Q36" s="268">
        <f>(Q24+6.5%*Q18)/('Input - ENR'!Q18*101.1%)</f>
        <v>9.1587473511002679E-4</v>
      </c>
      <c r="R36" s="268">
        <f>(R24+6.5%*R18)/('Input - ENR'!R18*101.1%)</f>
        <v>9.1585185559355659E-4</v>
      </c>
      <c r="S36" s="268">
        <f>(S24+6.5%*S18)/('Input - ENR'!S18*101.1%)</f>
        <v>9.0787742381335504E-4</v>
      </c>
      <c r="T36" s="268">
        <f>(T24+6.5%*T18)/('Input - ENR'!T18*101.1%)</f>
        <v>8.928490684907166E-4</v>
      </c>
      <c r="U36" s="268">
        <f>(U24+6.5%*U18)/('Input - ENR'!U18*101.1%)</f>
        <v>8.7432755037081527E-4</v>
      </c>
      <c r="V36" s="268">
        <f>(V24+6.5%*V18)/('Input - ENR'!V18*101.1%)</f>
        <v>8.5301290346471764E-4</v>
      </c>
      <c r="W36" s="268">
        <f>(W24+6.5%*W18)/('Input - ENR'!W18*101.1%)</f>
        <v>8.3398731955136151E-4</v>
      </c>
      <c r="X36" s="268">
        <f>(X24+6.5%*X18)/('Input - ENR'!X18*101.1%)</f>
        <v>8.1270281306080705E-4</v>
      </c>
      <c r="Y36" s="268">
        <f>(Y24+6.5%*Y18)/('Input - ENR'!Y18*101.1%)</f>
        <v>7.897488921907881E-4</v>
      </c>
      <c r="Z36" s="268">
        <f>(Z24+6.5%*Z18)/('Input - ENR'!Z18*101.1%)</f>
        <v>7.6753029855832031E-4</v>
      </c>
      <c r="AA36" s="269">
        <f>(AA24+6.5%*AA18)/('Input - ENR'!AA18*101.1%)</f>
        <v>7.321306278622624E-4</v>
      </c>
      <c r="AB36" s="268">
        <f>(AB24+6.5%*AB18)/('Input - ENR'!AB18*101.1%)</f>
        <v>7.4418516841620358E-4</v>
      </c>
      <c r="AC36" s="268">
        <f>(AC24+6.5%*AC18)/('Input - ENR'!AC18*101.1%)</f>
        <v>7.5169023851568871E-4</v>
      </c>
      <c r="AD36" s="268">
        <f>(AD24+6.5%*AD18)/('Input - ENR'!AD18*101.1%)</f>
        <v>7.5467817350341406E-4</v>
      </c>
      <c r="AE36" s="268">
        <f>(AE24+6.5%*AE18)/('Input - ENR'!AE18*101.1%)</f>
        <v>7.5127481290903264E-4</v>
      </c>
      <c r="AF36" s="268">
        <f>(AF24+6.5%*AF18)/('Input - ENR'!AF18*101.1%)</f>
        <v>7.420491524407041E-4</v>
      </c>
      <c r="AG36" s="268">
        <f>(AG24+6.5%*AG18)/('Input - ENR'!AG18*101.1%)</f>
        <v>7.2971748149658268E-4</v>
      </c>
      <c r="AH36" s="268">
        <f>(AH24+6.5%*AH18)/('Input - ENR'!AH18*101.1%)</f>
        <v>7.1480020132289154E-4</v>
      </c>
      <c r="AI36" s="268">
        <f>(AI24+6.5%*AI18)/('Input - ENR'!AI18*101.1%)</f>
        <v>7.013829162420697E-4</v>
      </c>
      <c r="AJ36" s="268">
        <f>(AJ24+6.5%*AJ18)/('Input - ENR'!AJ18*101.1%)</f>
        <v>6.858305237425321E-4</v>
      </c>
      <c r="AK36" s="268">
        <f>(AK24+6.5%*AK18)/('Input - ENR'!AK18*101.1%)</f>
        <v>6.6861498730548161E-4</v>
      </c>
      <c r="AL36" s="268">
        <f>(AL24+6.5%*AL18)/('Input - ENR'!AL18*101.1%)</f>
        <v>6.5171848228205524E-4</v>
      </c>
      <c r="AM36" s="269">
        <f>(AM24+6.5%*AM18)/('Input - ENR'!AM18*101.1%)</f>
        <v>6.2364155572436743E-4</v>
      </c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60"/>
      <c r="AY36" s="59"/>
      <c r="AZ36" s="59"/>
      <c r="BA36" s="59"/>
      <c r="BB36" s="59"/>
      <c r="BC36" s="59"/>
      <c r="BD36" s="59"/>
      <c r="BE36" s="59"/>
      <c r="BF36" s="59"/>
      <c r="BG36" s="59"/>
      <c r="BH36" s="59"/>
      <c r="BI36" s="59"/>
      <c r="BJ36" s="60"/>
    </row>
    <row r="38" spans="1:62" x14ac:dyDescent="0.35">
      <c r="A38" s="25" t="s">
        <v>189</v>
      </c>
      <c r="B38" s="4" t="s">
        <v>3</v>
      </c>
      <c r="C38" s="19">
        <f>C8</f>
        <v>45352</v>
      </c>
      <c r="D38" s="20">
        <f>EDATE(C38,1)</f>
        <v>45383</v>
      </c>
      <c r="E38" s="20">
        <f>EDATE(D38,1)</f>
        <v>45413</v>
      </c>
      <c r="F38" s="20">
        <f>EDATE(E38,1)</f>
        <v>45444</v>
      </c>
      <c r="G38" s="20">
        <f t="shared" ref="G38" si="250">EDATE(F38,1)</f>
        <v>45474</v>
      </c>
      <c r="H38" s="20">
        <f t="shared" ref="H38" si="251">EDATE(G38,1)</f>
        <v>45505</v>
      </c>
      <c r="I38" s="20">
        <f t="shared" ref="I38" si="252">EDATE(H38,1)</f>
        <v>45536</v>
      </c>
      <c r="J38" s="20">
        <f t="shared" ref="J38" si="253">EDATE(I38,1)</f>
        <v>45566</v>
      </c>
      <c r="K38" s="20">
        <f t="shared" ref="K38" si="254">EDATE(J38,1)</f>
        <v>45597</v>
      </c>
      <c r="L38" s="20">
        <f t="shared" ref="L38" si="255">EDATE(K38,1)</f>
        <v>45627</v>
      </c>
      <c r="M38" s="20">
        <f t="shared" ref="M38" si="256">EDATE(L38,1)</f>
        <v>45658</v>
      </c>
      <c r="N38" s="20">
        <f t="shared" ref="N38" si="257">EDATE(M38,1)</f>
        <v>45689</v>
      </c>
      <c r="O38" s="21">
        <f t="shared" ref="O38" si="258">EDATE(N38,1)</f>
        <v>45717</v>
      </c>
      <c r="P38" s="20">
        <f t="shared" ref="P38" si="259">EDATE(O38,1)</f>
        <v>45748</v>
      </c>
      <c r="Q38" s="20">
        <f t="shared" ref="Q38" si="260">EDATE(P38,1)</f>
        <v>45778</v>
      </c>
      <c r="R38" s="20">
        <f t="shared" ref="R38" si="261">EDATE(Q38,1)</f>
        <v>45809</v>
      </c>
      <c r="S38" s="20">
        <f t="shared" ref="S38" si="262">EDATE(R38,1)</f>
        <v>45839</v>
      </c>
      <c r="T38" s="20">
        <f t="shared" ref="T38" si="263">EDATE(S38,1)</f>
        <v>45870</v>
      </c>
      <c r="U38" s="20">
        <f t="shared" ref="U38" si="264">EDATE(T38,1)</f>
        <v>45901</v>
      </c>
      <c r="V38" s="20">
        <f t="shared" ref="V38" si="265">EDATE(U38,1)</f>
        <v>45931</v>
      </c>
      <c r="W38" s="20">
        <f t="shared" ref="W38" si="266">EDATE(V38,1)</f>
        <v>45962</v>
      </c>
      <c r="X38" s="20">
        <f t="shared" ref="X38" si="267">EDATE(W38,1)</f>
        <v>45992</v>
      </c>
      <c r="Y38" s="20">
        <f t="shared" ref="Y38" si="268">EDATE(X38,1)</f>
        <v>46023</v>
      </c>
      <c r="Z38" s="20">
        <f t="shared" ref="Z38" si="269">EDATE(Y38,1)</f>
        <v>46054</v>
      </c>
      <c r="AA38" s="21">
        <f t="shared" ref="AA38" si="270">EDATE(Z38,1)</f>
        <v>46082</v>
      </c>
      <c r="AB38" s="20">
        <f t="shared" ref="AB38" si="271">EDATE(AA38,1)</f>
        <v>46113</v>
      </c>
      <c r="AC38" s="20">
        <f t="shared" ref="AC38" si="272">EDATE(AB38,1)</f>
        <v>46143</v>
      </c>
      <c r="AD38" s="20">
        <f t="shared" ref="AD38" si="273">EDATE(AC38,1)</f>
        <v>46174</v>
      </c>
      <c r="AE38" s="20">
        <f t="shared" ref="AE38" si="274">EDATE(AD38,1)</f>
        <v>46204</v>
      </c>
      <c r="AF38" s="20">
        <f t="shared" ref="AF38" si="275">EDATE(AE38,1)</f>
        <v>46235</v>
      </c>
      <c r="AG38" s="20">
        <f t="shared" ref="AG38" si="276">EDATE(AF38,1)</f>
        <v>46266</v>
      </c>
      <c r="AH38" s="20">
        <f t="shared" ref="AH38" si="277">EDATE(AG38,1)</f>
        <v>46296</v>
      </c>
      <c r="AI38" s="20">
        <f t="shared" ref="AI38" si="278">EDATE(AH38,1)</f>
        <v>46327</v>
      </c>
      <c r="AJ38" s="20">
        <f t="shared" ref="AJ38" si="279">EDATE(AI38,1)</f>
        <v>46357</v>
      </c>
      <c r="AK38" s="20">
        <f t="shared" ref="AK38" si="280">EDATE(AJ38,1)</f>
        <v>46388</v>
      </c>
      <c r="AL38" s="20">
        <f t="shared" ref="AL38" si="281">EDATE(AK38,1)</f>
        <v>46419</v>
      </c>
      <c r="AM38" s="21">
        <f t="shared" ref="AM38" si="282">EDATE(AL38,1)</f>
        <v>46447</v>
      </c>
      <c r="AN38" s="20">
        <f t="shared" ref="AN38" si="283">EDATE(AM38,1)</f>
        <v>46478</v>
      </c>
      <c r="AO38" s="20">
        <f t="shared" ref="AO38" si="284">EDATE(AN38,1)</f>
        <v>46508</v>
      </c>
      <c r="AP38" s="20">
        <f t="shared" ref="AP38" si="285">EDATE(AO38,1)</f>
        <v>46539</v>
      </c>
      <c r="AQ38" s="20">
        <f t="shared" ref="AQ38" si="286">EDATE(AP38,1)</f>
        <v>46569</v>
      </c>
      <c r="AR38" s="20">
        <f t="shared" ref="AR38" si="287">EDATE(AQ38,1)</f>
        <v>46600</v>
      </c>
      <c r="AS38" s="20">
        <f t="shared" ref="AS38" si="288">EDATE(AR38,1)</f>
        <v>46631</v>
      </c>
      <c r="AT38" s="20">
        <f t="shared" ref="AT38" si="289">EDATE(AS38,1)</f>
        <v>46661</v>
      </c>
      <c r="AU38" s="20">
        <f t="shared" ref="AU38" si="290">EDATE(AT38,1)</f>
        <v>46692</v>
      </c>
      <c r="AV38" s="20">
        <f t="shared" ref="AV38" si="291">EDATE(AU38,1)</f>
        <v>46722</v>
      </c>
      <c r="AW38" s="20">
        <f t="shared" ref="AW38" si="292">EDATE(AV38,1)</f>
        <v>46753</v>
      </c>
      <c r="AX38" s="21">
        <f t="shared" ref="AX38" si="293">EDATE(AW38,1)</f>
        <v>46784</v>
      </c>
      <c r="AY38" s="20">
        <f t="shared" ref="AY38" si="294">EDATE(AX38,1)</f>
        <v>46813</v>
      </c>
      <c r="AZ38" s="20">
        <f t="shared" ref="AZ38" si="295">EDATE(AY38,1)</f>
        <v>46844</v>
      </c>
      <c r="BA38" s="20">
        <f t="shared" ref="BA38" si="296">EDATE(AZ38,1)</f>
        <v>46874</v>
      </c>
      <c r="BB38" s="20">
        <f t="shared" ref="BB38" si="297">EDATE(BA38,1)</f>
        <v>46905</v>
      </c>
      <c r="BC38" s="20">
        <f t="shared" ref="BC38" si="298">EDATE(BB38,1)</f>
        <v>46935</v>
      </c>
      <c r="BD38" s="20">
        <f t="shared" ref="BD38" si="299">EDATE(BC38,1)</f>
        <v>46966</v>
      </c>
      <c r="BE38" s="20">
        <f t="shared" ref="BE38" si="300">EDATE(BD38,1)</f>
        <v>46997</v>
      </c>
      <c r="BF38" s="20">
        <f t="shared" ref="BF38" si="301">EDATE(BE38,1)</f>
        <v>47027</v>
      </c>
      <c r="BG38" s="20">
        <f t="shared" ref="BG38" si="302">EDATE(BF38,1)</f>
        <v>47058</v>
      </c>
      <c r="BH38" s="20">
        <f t="shared" ref="BH38" si="303">EDATE(BG38,1)</f>
        <v>47088</v>
      </c>
      <c r="BI38" s="20">
        <f t="shared" ref="BI38" si="304">EDATE(BH38,1)</f>
        <v>47119</v>
      </c>
      <c r="BJ38" s="21">
        <f t="shared" ref="BJ38" si="305">EDATE(BI38,1)</f>
        <v>47150</v>
      </c>
    </row>
    <row r="39" spans="1:62" x14ac:dyDescent="0.35">
      <c r="A39" s="15" t="s">
        <v>189</v>
      </c>
      <c r="B39" s="15" t="s">
        <v>188</v>
      </c>
      <c r="C39" s="16">
        <f>SUM(C40:C42)</f>
        <v>2101.3681875397383</v>
      </c>
      <c r="D39" s="17">
        <f t="shared" ref="D39:BJ39" si="306">SUM(D40:D42)</f>
        <v>2115.267706674188</v>
      </c>
      <c r="E39" s="17">
        <f t="shared" si="306"/>
        <v>2150.155764658803</v>
      </c>
      <c r="F39" s="17">
        <f t="shared" si="306"/>
        <v>2181.9576254397834</v>
      </c>
      <c r="G39" s="17">
        <f t="shared" si="306"/>
        <v>2209.6602992134672</v>
      </c>
      <c r="H39" s="17">
        <f t="shared" si="306"/>
        <v>2234.0338193349244</v>
      </c>
      <c r="I39" s="17">
        <f t="shared" si="306"/>
        <v>2264.9306506521934</v>
      </c>
      <c r="J39" s="17">
        <f t="shared" si="306"/>
        <v>2284.2623806237334</v>
      </c>
      <c r="K39" s="17">
        <f t="shared" si="306"/>
        <v>2308.4934696193945</v>
      </c>
      <c r="L39" s="17">
        <f t="shared" si="306"/>
        <v>2297.7049900046591</v>
      </c>
      <c r="M39" s="17">
        <f t="shared" si="306"/>
        <v>2284.7741614592583</v>
      </c>
      <c r="N39" s="17">
        <f t="shared" si="306"/>
        <v>2301.5693140974718</v>
      </c>
      <c r="O39" s="18">
        <f t="shared" si="306"/>
        <v>2313.1767222120252</v>
      </c>
      <c r="P39" s="17">
        <f t="shared" si="306"/>
        <v>2353.4142114457495</v>
      </c>
      <c r="Q39" s="17">
        <f t="shared" si="306"/>
        <v>2373.289784785663</v>
      </c>
      <c r="R39" s="17">
        <f t="shared" si="306"/>
        <v>2382.8398264749385</v>
      </c>
      <c r="S39" s="17">
        <f t="shared" si="306"/>
        <v>2358.6064255990023</v>
      </c>
      <c r="T39" s="17">
        <f t="shared" si="306"/>
        <v>2379.8927279174954</v>
      </c>
      <c r="U39" s="17">
        <f t="shared" si="306"/>
        <v>2403.0647905768064</v>
      </c>
      <c r="V39" s="17">
        <f t="shared" si="306"/>
        <v>2460.5954839021379</v>
      </c>
      <c r="W39" s="17">
        <f t="shared" si="306"/>
        <v>2495.8549365071658</v>
      </c>
      <c r="X39" s="17">
        <f t="shared" si="306"/>
        <v>2531.3447006680153</v>
      </c>
      <c r="Y39" s="17">
        <f t="shared" si="306"/>
        <v>2559.8784498978252</v>
      </c>
      <c r="Z39" s="17">
        <f t="shared" si="306"/>
        <v>2587.2392785456241</v>
      </c>
      <c r="AA39" s="18">
        <f t="shared" si="306"/>
        <v>2608.9877023687268</v>
      </c>
      <c r="AB39" s="17">
        <f t="shared" si="306"/>
        <v>2594.1598260046394</v>
      </c>
      <c r="AC39" s="17">
        <f t="shared" si="306"/>
        <v>2635.7656526403825</v>
      </c>
      <c r="AD39" s="17">
        <f t="shared" si="306"/>
        <v>2674.5894244496567</v>
      </c>
      <c r="AE39" s="17">
        <f t="shared" si="306"/>
        <v>2706.3204708711669</v>
      </c>
      <c r="AF39" s="17">
        <f t="shared" si="306"/>
        <v>2737.3256465627251</v>
      </c>
      <c r="AG39" s="17">
        <f t="shared" si="306"/>
        <v>2784.3098512597999</v>
      </c>
      <c r="AH39" s="17">
        <f t="shared" si="306"/>
        <v>2827.6173351900752</v>
      </c>
      <c r="AI39" s="17">
        <f t="shared" si="306"/>
        <v>2867.3523056204485</v>
      </c>
      <c r="AJ39" s="17">
        <f t="shared" si="306"/>
        <v>2905.4022281977409</v>
      </c>
      <c r="AK39" s="17">
        <f t="shared" si="306"/>
        <v>2932.7975210623845</v>
      </c>
      <c r="AL39" s="17">
        <f t="shared" si="306"/>
        <v>2950.6786265372562</v>
      </c>
      <c r="AM39" s="18">
        <f t="shared" si="306"/>
        <v>2951.5246540108883</v>
      </c>
      <c r="AN39" s="17">
        <f t="shared" si="306"/>
        <v>0</v>
      </c>
      <c r="AO39" s="17">
        <f t="shared" si="306"/>
        <v>0</v>
      </c>
      <c r="AP39" s="17">
        <f t="shared" si="306"/>
        <v>0</v>
      </c>
      <c r="AQ39" s="17">
        <f t="shared" si="306"/>
        <v>0</v>
      </c>
      <c r="AR39" s="17">
        <f t="shared" si="306"/>
        <v>0</v>
      </c>
      <c r="AS39" s="17">
        <f t="shared" si="306"/>
        <v>0</v>
      </c>
      <c r="AT39" s="17">
        <f t="shared" si="306"/>
        <v>0</v>
      </c>
      <c r="AU39" s="17">
        <f t="shared" si="306"/>
        <v>0</v>
      </c>
      <c r="AV39" s="17">
        <f t="shared" si="306"/>
        <v>0</v>
      </c>
      <c r="AW39" s="17">
        <f t="shared" si="306"/>
        <v>0</v>
      </c>
      <c r="AX39" s="18">
        <f t="shared" si="306"/>
        <v>0</v>
      </c>
      <c r="AY39" s="17">
        <f t="shared" si="306"/>
        <v>0</v>
      </c>
      <c r="AZ39" s="17">
        <f t="shared" si="306"/>
        <v>0</v>
      </c>
      <c r="BA39" s="17">
        <f t="shared" si="306"/>
        <v>0</v>
      </c>
      <c r="BB39" s="17">
        <f t="shared" si="306"/>
        <v>0</v>
      </c>
      <c r="BC39" s="17">
        <f t="shared" si="306"/>
        <v>0</v>
      </c>
      <c r="BD39" s="17">
        <f t="shared" si="306"/>
        <v>0</v>
      </c>
      <c r="BE39" s="17">
        <f t="shared" si="306"/>
        <v>0</v>
      </c>
      <c r="BF39" s="17">
        <f t="shared" si="306"/>
        <v>0</v>
      </c>
      <c r="BG39" s="17">
        <f t="shared" si="306"/>
        <v>0</v>
      </c>
      <c r="BH39" s="17">
        <f t="shared" si="306"/>
        <v>0</v>
      </c>
      <c r="BI39" s="17">
        <f t="shared" si="306"/>
        <v>0</v>
      </c>
      <c r="BJ39" s="18">
        <f t="shared" si="306"/>
        <v>0</v>
      </c>
    </row>
    <row r="40" spans="1:62" x14ac:dyDescent="0.35">
      <c r="A40" s="1" t="s">
        <v>189</v>
      </c>
      <c r="B40" s="1" t="s">
        <v>157</v>
      </c>
      <c r="C40" s="52">
        <v>1244.2148196036367</v>
      </c>
      <c r="D40" s="53">
        <v>1239.2606929255148</v>
      </c>
      <c r="E40" s="53">
        <v>1254.8710432711105</v>
      </c>
      <c r="F40" s="53">
        <v>1269.7000565383198</v>
      </c>
      <c r="G40" s="53">
        <v>1287.5425187735837</v>
      </c>
      <c r="H40" s="53">
        <v>1306.6879410283318</v>
      </c>
      <c r="I40" s="53">
        <v>1336.9133343878736</v>
      </c>
      <c r="J40" s="53">
        <v>1353.8752038191474</v>
      </c>
      <c r="K40" s="53">
        <v>1379.7070680245715</v>
      </c>
      <c r="L40" s="53">
        <v>1405.48540992261</v>
      </c>
      <c r="M40" s="53">
        <v>1430.7851523912614</v>
      </c>
      <c r="N40" s="53">
        <v>1455.9648778205403</v>
      </c>
      <c r="O40" s="54">
        <v>1476.7072525034189</v>
      </c>
      <c r="P40" s="53">
        <v>1525.0884454670231</v>
      </c>
      <c r="Q40" s="53">
        <v>1550.1694833543299</v>
      </c>
      <c r="R40" s="53">
        <v>1578.1748727881998</v>
      </c>
      <c r="S40" s="53">
        <v>1552.5563057729653</v>
      </c>
      <c r="T40" s="53">
        <v>1579.8547106012904</v>
      </c>
      <c r="U40" s="53">
        <v>1613.6828089889671</v>
      </c>
      <c r="V40" s="53">
        <v>1662.3448842146372</v>
      </c>
      <c r="W40" s="53">
        <v>1693.3263304184675</v>
      </c>
      <c r="X40" s="53">
        <v>1729.8788215282968</v>
      </c>
      <c r="Y40" s="53">
        <v>1759.7178697400464</v>
      </c>
      <c r="Z40" s="53">
        <v>1790.8155458683384</v>
      </c>
      <c r="AA40" s="54">
        <v>1813.1164804842379</v>
      </c>
      <c r="AB40" s="53">
        <v>1811.7226421658288</v>
      </c>
      <c r="AC40" s="53">
        <v>1850.9812323013821</v>
      </c>
      <c r="AD40" s="53">
        <v>1891.4166167597186</v>
      </c>
      <c r="AE40" s="53">
        <v>1918.3124018560677</v>
      </c>
      <c r="AF40" s="53">
        <v>1940.277741364602</v>
      </c>
      <c r="AG40" s="53">
        <v>1977.1500081692716</v>
      </c>
      <c r="AH40" s="53">
        <v>2012.3347925916948</v>
      </c>
      <c r="AI40" s="53">
        <v>2048.3841297360532</v>
      </c>
      <c r="AJ40" s="53">
        <v>2081.0120917578247</v>
      </c>
      <c r="AK40" s="53">
        <v>2105.3209019311353</v>
      </c>
      <c r="AL40" s="53">
        <v>2124.4288928838182</v>
      </c>
      <c r="AM40" s="54">
        <v>2127.8026795277397</v>
      </c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4"/>
      <c r="AY40" s="53"/>
      <c r="AZ40" s="53"/>
      <c r="BA40" s="53"/>
      <c r="BB40" s="53"/>
      <c r="BC40" s="53"/>
      <c r="BD40" s="53"/>
      <c r="BE40" s="53"/>
      <c r="BF40" s="53"/>
      <c r="BG40" s="53"/>
      <c r="BH40" s="53"/>
      <c r="BI40" s="53"/>
      <c r="BJ40" s="54"/>
    </row>
    <row r="41" spans="1:62" x14ac:dyDescent="0.35">
      <c r="A41" s="2" t="s">
        <v>189</v>
      </c>
      <c r="B41" s="2" t="s">
        <v>158</v>
      </c>
      <c r="C41" s="55">
        <v>857.15336793610174</v>
      </c>
      <c r="D41" s="56">
        <v>876.0070137486731</v>
      </c>
      <c r="E41" s="56">
        <v>895.28472138769257</v>
      </c>
      <c r="F41" s="56">
        <v>912.25756890146386</v>
      </c>
      <c r="G41" s="56">
        <v>922.11778043988363</v>
      </c>
      <c r="H41" s="56">
        <v>927.34587830659245</v>
      </c>
      <c r="I41" s="56">
        <v>928.01731626431956</v>
      </c>
      <c r="J41" s="56">
        <v>930.38717680458581</v>
      </c>
      <c r="K41" s="56">
        <v>928.78640159482302</v>
      </c>
      <c r="L41" s="56">
        <v>892.21958008204911</v>
      </c>
      <c r="M41" s="56">
        <v>853.98900906799679</v>
      </c>
      <c r="N41" s="56">
        <v>845.60443627693132</v>
      </c>
      <c r="O41" s="57">
        <v>836.46946970860608</v>
      </c>
      <c r="P41" s="56">
        <v>828.32576597872639</v>
      </c>
      <c r="Q41" s="56">
        <v>823.12030143133279</v>
      </c>
      <c r="R41" s="56">
        <v>804.66495368673873</v>
      </c>
      <c r="S41" s="56">
        <v>806.05011982603696</v>
      </c>
      <c r="T41" s="56">
        <v>800.0380173162049</v>
      </c>
      <c r="U41" s="56">
        <v>789.38198158783962</v>
      </c>
      <c r="V41" s="56">
        <v>798.25059968750065</v>
      </c>
      <c r="W41" s="56">
        <v>802.52860608869855</v>
      </c>
      <c r="X41" s="56">
        <v>801.46587913971825</v>
      </c>
      <c r="Y41" s="56">
        <v>800.16058015777878</v>
      </c>
      <c r="Z41" s="56">
        <v>796.42373267728567</v>
      </c>
      <c r="AA41" s="57">
        <v>795.87122188448905</v>
      </c>
      <c r="AB41" s="56">
        <v>782.43718383881082</v>
      </c>
      <c r="AC41" s="56">
        <v>784.78442033900058</v>
      </c>
      <c r="AD41" s="56">
        <v>783.17280768993828</v>
      </c>
      <c r="AE41" s="56">
        <v>788.00806901509918</v>
      </c>
      <c r="AF41" s="56">
        <v>797.0479051981232</v>
      </c>
      <c r="AG41" s="56">
        <v>807.1598430905284</v>
      </c>
      <c r="AH41" s="56">
        <v>815.28254259838047</v>
      </c>
      <c r="AI41" s="56">
        <v>818.96817588439546</v>
      </c>
      <c r="AJ41" s="56">
        <v>824.39013643991632</v>
      </c>
      <c r="AK41" s="56">
        <v>827.47661913124909</v>
      </c>
      <c r="AL41" s="56">
        <v>826.24973365343783</v>
      </c>
      <c r="AM41" s="57">
        <v>823.72197448314876</v>
      </c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7"/>
      <c r="AY41" s="56"/>
      <c r="AZ41" s="56"/>
      <c r="BA41" s="56"/>
      <c r="BB41" s="56"/>
      <c r="BC41" s="56"/>
      <c r="BD41" s="56"/>
      <c r="BE41" s="56"/>
      <c r="BF41" s="56"/>
      <c r="BG41" s="56"/>
      <c r="BH41" s="56"/>
      <c r="BI41" s="56"/>
      <c r="BJ41" s="57"/>
    </row>
    <row r="42" spans="1:62" x14ac:dyDescent="0.35">
      <c r="A42" s="3" t="s">
        <v>189</v>
      </c>
      <c r="B42" s="3" t="s">
        <v>159</v>
      </c>
      <c r="C42" s="58">
        <v>0</v>
      </c>
      <c r="D42" s="59">
        <v>0</v>
      </c>
      <c r="E42" s="59">
        <v>0</v>
      </c>
      <c r="F42" s="59">
        <v>0</v>
      </c>
      <c r="G42" s="59">
        <v>0</v>
      </c>
      <c r="H42" s="59">
        <v>0</v>
      </c>
      <c r="I42" s="59">
        <v>0</v>
      </c>
      <c r="J42" s="59">
        <v>0</v>
      </c>
      <c r="K42" s="59">
        <v>0</v>
      </c>
      <c r="L42" s="59">
        <v>0</v>
      </c>
      <c r="M42" s="59">
        <v>0</v>
      </c>
      <c r="N42" s="59">
        <v>0</v>
      </c>
      <c r="O42" s="60">
        <v>0</v>
      </c>
      <c r="P42" s="59">
        <v>0</v>
      </c>
      <c r="Q42" s="59">
        <v>0</v>
      </c>
      <c r="R42" s="59">
        <v>0</v>
      </c>
      <c r="S42" s="59">
        <v>0</v>
      </c>
      <c r="T42" s="59">
        <v>0</v>
      </c>
      <c r="U42" s="59">
        <v>0</v>
      </c>
      <c r="V42" s="59">
        <v>0</v>
      </c>
      <c r="W42" s="59">
        <v>0</v>
      </c>
      <c r="X42" s="59">
        <v>0</v>
      </c>
      <c r="Y42" s="59">
        <v>0</v>
      </c>
      <c r="Z42" s="59">
        <v>0</v>
      </c>
      <c r="AA42" s="60">
        <v>0</v>
      </c>
      <c r="AB42" s="59">
        <v>0</v>
      </c>
      <c r="AC42" s="59">
        <v>0</v>
      </c>
      <c r="AD42" s="59">
        <v>0</v>
      </c>
      <c r="AE42" s="59">
        <v>0</v>
      </c>
      <c r="AF42" s="59">
        <v>0</v>
      </c>
      <c r="AG42" s="59">
        <v>0</v>
      </c>
      <c r="AH42" s="59">
        <v>0</v>
      </c>
      <c r="AI42" s="59">
        <v>0</v>
      </c>
      <c r="AJ42" s="59">
        <v>0</v>
      </c>
      <c r="AK42" s="59">
        <v>0</v>
      </c>
      <c r="AL42" s="59">
        <v>0</v>
      </c>
      <c r="AM42" s="60">
        <v>0</v>
      </c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60"/>
      <c r="AY42" s="59"/>
      <c r="AZ42" s="59"/>
      <c r="BA42" s="59"/>
      <c r="BB42" s="59"/>
      <c r="BC42" s="59"/>
      <c r="BD42" s="59"/>
      <c r="BE42" s="59"/>
      <c r="BF42" s="59"/>
      <c r="BG42" s="59"/>
      <c r="BH42" s="59"/>
      <c r="BI42" s="59"/>
      <c r="BJ42" s="60"/>
    </row>
    <row r="43" spans="1:62" x14ac:dyDescent="0.35">
      <c r="C43" s="230"/>
      <c r="D43" s="230"/>
      <c r="E43" s="230"/>
      <c r="F43" s="230"/>
      <c r="G43" s="230"/>
      <c r="H43" s="230"/>
      <c r="I43" s="230"/>
      <c r="J43" s="230"/>
      <c r="K43" s="230"/>
      <c r="L43" s="230"/>
      <c r="M43" s="230"/>
      <c r="N43" s="230"/>
      <c r="O43" s="230"/>
      <c r="P43" s="230"/>
      <c r="Q43" s="230"/>
      <c r="R43" s="230"/>
      <c r="S43" s="230"/>
      <c r="T43" s="230"/>
      <c r="U43" s="230"/>
      <c r="V43" s="230"/>
      <c r="W43" s="230"/>
      <c r="X43" s="230"/>
      <c r="Y43" s="230"/>
      <c r="Z43" s="230"/>
      <c r="AA43" s="230"/>
      <c r="AB43" s="230"/>
      <c r="AC43" s="230"/>
      <c r="AD43" s="230"/>
      <c r="AE43" s="230"/>
      <c r="AF43" s="230"/>
      <c r="AG43" s="230"/>
      <c r="AH43" s="230"/>
      <c r="AI43" s="230"/>
      <c r="AJ43" s="230"/>
      <c r="AK43" s="230"/>
      <c r="AL43" s="230"/>
    </row>
    <row r="44" spans="1:62" x14ac:dyDescent="0.35">
      <c r="A44" s="25" t="s">
        <v>190</v>
      </c>
      <c r="B44" s="4" t="s">
        <v>3</v>
      </c>
      <c r="C44" s="19">
        <f>C38</f>
        <v>45352</v>
      </c>
      <c r="D44" s="20">
        <f>EDATE(C44,1)</f>
        <v>45383</v>
      </c>
      <c r="E44" s="20">
        <f>EDATE(D44,1)</f>
        <v>45413</v>
      </c>
      <c r="F44" s="20">
        <f>EDATE(E44,1)</f>
        <v>45444</v>
      </c>
      <c r="G44" s="20">
        <f t="shared" ref="G44" si="307">EDATE(F44,1)</f>
        <v>45474</v>
      </c>
      <c r="H44" s="20">
        <f t="shared" ref="H44" si="308">EDATE(G44,1)</f>
        <v>45505</v>
      </c>
      <c r="I44" s="20">
        <f t="shared" ref="I44" si="309">EDATE(H44,1)</f>
        <v>45536</v>
      </c>
      <c r="J44" s="20">
        <f t="shared" ref="J44" si="310">EDATE(I44,1)</f>
        <v>45566</v>
      </c>
      <c r="K44" s="20">
        <f t="shared" ref="K44" si="311">EDATE(J44,1)</f>
        <v>45597</v>
      </c>
      <c r="L44" s="20">
        <f t="shared" ref="L44" si="312">EDATE(K44,1)</f>
        <v>45627</v>
      </c>
      <c r="M44" s="20">
        <f t="shared" ref="M44" si="313">EDATE(L44,1)</f>
        <v>45658</v>
      </c>
      <c r="N44" s="20">
        <f t="shared" ref="N44" si="314">EDATE(M44,1)</f>
        <v>45689</v>
      </c>
      <c r="O44" s="21">
        <f t="shared" ref="O44" si="315">EDATE(N44,1)</f>
        <v>45717</v>
      </c>
      <c r="P44" s="20">
        <f t="shared" ref="P44" si="316">EDATE(O44,1)</f>
        <v>45748</v>
      </c>
      <c r="Q44" s="20">
        <f t="shared" ref="Q44" si="317">EDATE(P44,1)</f>
        <v>45778</v>
      </c>
      <c r="R44" s="20">
        <f t="shared" ref="R44" si="318">EDATE(Q44,1)</f>
        <v>45809</v>
      </c>
      <c r="S44" s="20">
        <f t="shared" ref="S44" si="319">EDATE(R44,1)</f>
        <v>45839</v>
      </c>
      <c r="T44" s="20">
        <f t="shared" ref="T44" si="320">EDATE(S44,1)</f>
        <v>45870</v>
      </c>
      <c r="U44" s="20">
        <f t="shared" ref="U44" si="321">EDATE(T44,1)</f>
        <v>45901</v>
      </c>
      <c r="V44" s="20">
        <f t="shared" ref="V44" si="322">EDATE(U44,1)</f>
        <v>45931</v>
      </c>
      <c r="W44" s="20">
        <f t="shared" ref="W44" si="323">EDATE(V44,1)</f>
        <v>45962</v>
      </c>
      <c r="X44" s="20">
        <f t="shared" ref="X44" si="324">EDATE(W44,1)</f>
        <v>45992</v>
      </c>
      <c r="Y44" s="20">
        <f t="shared" ref="Y44" si="325">EDATE(X44,1)</f>
        <v>46023</v>
      </c>
      <c r="Z44" s="20">
        <f t="shared" ref="Z44" si="326">EDATE(Y44,1)</f>
        <v>46054</v>
      </c>
      <c r="AA44" s="21">
        <f t="shared" ref="AA44" si="327">EDATE(Z44,1)</f>
        <v>46082</v>
      </c>
      <c r="AB44" s="20">
        <f t="shared" ref="AB44" si="328">EDATE(AA44,1)</f>
        <v>46113</v>
      </c>
      <c r="AC44" s="20">
        <f t="shared" ref="AC44" si="329">EDATE(AB44,1)</f>
        <v>46143</v>
      </c>
      <c r="AD44" s="20">
        <f t="shared" ref="AD44" si="330">EDATE(AC44,1)</f>
        <v>46174</v>
      </c>
      <c r="AE44" s="20">
        <f t="shared" ref="AE44" si="331">EDATE(AD44,1)</f>
        <v>46204</v>
      </c>
      <c r="AF44" s="20">
        <f t="shared" ref="AF44" si="332">EDATE(AE44,1)</f>
        <v>46235</v>
      </c>
      <c r="AG44" s="20">
        <f t="shared" ref="AG44" si="333">EDATE(AF44,1)</f>
        <v>46266</v>
      </c>
      <c r="AH44" s="20">
        <f t="shared" ref="AH44" si="334">EDATE(AG44,1)</f>
        <v>46296</v>
      </c>
      <c r="AI44" s="20">
        <f t="shared" ref="AI44" si="335">EDATE(AH44,1)</f>
        <v>46327</v>
      </c>
      <c r="AJ44" s="20">
        <f t="shared" ref="AJ44" si="336">EDATE(AI44,1)</f>
        <v>46357</v>
      </c>
      <c r="AK44" s="20">
        <f t="shared" ref="AK44" si="337">EDATE(AJ44,1)</f>
        <v>46388</v>
      </c>
      <c r="AL44" s="20">
        <f t="shared" ref="AL44" si="338">EDATE(AK44,1)</f>
        <v>46419</v>
      </c>
      <c r="AM44" s="21">
        <f t="shared" ref="AM44" si="339">EDATE(AL44,1)</f>
        <v>46447</v>
      </c>
    </row>
    <row r="45" spans="1:62" x14ac:dyDescent="0.35">
      <c r="A45" s="15" t="s">
        <v>190</v>
      </c>
      <c r="B45" s="15" t="s">
        <v>188</v>
      </c>
      <c r="C45" s="16">
        <f>SUM(C46:C48)</f>
        <v>1317.19798968552</v>
      </c>
      <c r="D45" s="17">
        <f t="shared" ref="D45:AM45" si="340">SUM(D46:D48)</f>
        <v>1333.452352345015</v>
      </c>
      <c r="E45" s="17">
        <f t="shared" si="340"/>
        <v>1359.272680601912</v>
      </c>
      <c r="F45" s="17">
        <f t="shared" si="340"/>
        <v>1383.0247564776414</v>
      </c>
      <c r="G45" s="17">
        <f t="shared" si="340"/>
        <v>1404.2751958361719</v>
      </c>
      <c r="H45" s="17">
        <f t="shared" si="340"/>
        <v>1423.6239135066555</v>
      </c>
      <c r="I45" s="17">
        <f t="shared" si="340"/>
        <v>1447.5420254504543</v>
      </c>
      <c r="J45" s="17">
        <f t="shared" si="340"/>
        <v>1469.8337571700497</v>
      </c>
      <c r="K45" s="17">
        <f t="shared" si="340"/>
        <v>1486.8201687330607</v>
      </c>
      <c r="L45" s="17">
        <f t="shared" si="340"/>
        <v>1483.640112677939</v>
      </c>
      <c r="M45" s="17">
        <f t="shared" si="340"/>
        <v>1484.1948073376766</v>
      </c>
      <c r="N45" s="17">
        <f t="shared" si="340"/>
        <v>1495.5731554872218</v>
      </c>
      <c r="O45" s="18">
        <f t="shared" si="340"/>
        <v>1502.8707367638854</v>
      </c>
      <c r="P45" s="17">
        <f t="shared" si="340"/>
        <v>1530.9535153992258</v>
      </c>
      <c r="Q45" s="17">
        <f t="shared" si="340"/>
        <v>1545.4432492570645</v>
      </c>
      <c r="R45" s="17">
        <f t="shared" si="340"/>
        <v>1553.0676091454029</v>
      </c>
      <c r="S45" s="17">
        <f t="shared" si="340"/>
        <v>1552.0214911638432</v>
      </c>
      <c r="T45" s="17">
        <f t="shared" si="340"/>
        <v>1569.8536151554922</v>
      </c>
      <c r="U45" s="17">
        <f t="shared" si="340"/>
        <v>1592.0336684160352</v>
      </c>
      <c r="V45" s="17">
        <f t="shared" si="340"/>
        <v>1632.2708824910819</v>
      </c>
      <c r="W45" s="17">
        <f t="shared" si="340"/>
        <v>1657.8842205526912</v>
      </c>
      <c r="X45" s="17">
        <f t="shared" si="340"/>
        <v>1683.561335440432</v>
      </c>
      <c r="Y45" s="17">
        <f t="shared" si="340"/>
        <v>1702.7228180887564</v>
      </c>
      <c r="Z45" s="17">
        <f t="shared" si="340"/>
        <v>1721.0905365120398</v>
      </c>
      <c r="AA45" s="18">
        <f t="shared" si="340"/>
        <v>1735.1589030651508</v>
      </c>
      <c r="AB45" s="17">
        <f t="shared" si="340"/>
        <v>1734.8861131260091</v>
      </c>
      <c r="AC45" s="17">
        <f t="shared" si="340"/>
        <v>1761.5885682088365</v>
      </c>
      <c r="AD45" s="17">
        <f t="shared" si="340"/>
        <v>1788.3427019410206</v>
      </c>
      <c r="AE45" s="17">
        <f t="shared" si="340"/>
        <v>1815.6753610723822</v>
      </c>
      <c r="AF45" s="17">
        <f t="shared" si="340"/>
        <v>1843.3413011995863</v>
      </c>
      <c r="AG45" s="17">
        <f t="shared" si="340"/>
        <v>1879.1958978247915</v>
      </c>
      <c r="AH45" s="17">
        <f t="shared" si="340"/>
        <v>1913.2377333578338</v>
      </c>
      <c r="AI45" s="17">
        <f t="shared" si="340"/>
        <v>1942.6546904838021</v>
      </c>
      <c r="AJ45" s="17">
        <f t="shared" si="340"/>
        <v>1969.1311476161541</v>
      </c>
      <c r="AK45" s="17">
        <f t="shared" si="340"/>
        <v>1987.2432911398671</v>
      </c>
      <c r="AL45" s="17">
        <f t="shared" si="340"/>
        <v>1999.1903737596881</v>
      </c>
      <c r="AM45" s="18">
        <f t="shared" si="340"/>
        <v>1999.6398188424473</v>
      </c>
    </row>
    <row r="46" spans="1:62" x14ac:dyDescent="0.35">
      <c r="A46" s="1" t="s">
        <v>190</v>
      </c>
      <c r="B46" s="1" t="s">
        <v>157</v>
      </c>
      <c r="C46" s="52">
        <v>760.92475970018006</v>
      </c>
      <c r="D46" s="53">
        <v>763.63499797307077</v>
      </c>
      <c r="E46" s="53">
        <v>773.11383549734251</v>
      </c>
      <c r="F46" s="53">
        <v>783.61590438069993</v>
      </c>
      <c r="G46" s="53">
        <v>796.44348842776469</v>
      </c>
      <c r="H46" s="53">
        <v>810.24379911401127</v>
      </c>
      <c r="I46" s="53">
        <v>830.80881029704574</v>
      </c>
      <c r="J46" s="53">
        <v>848.75748490479214</v>
      </c>
      <c r="K46" s="53">
        <v>866.58185249042049</v>
      </c>
      <c r="L46" s="53">
        <v>884.06034540338658</v>
      </c>
      <c r="M46" s="53">
        <v>902.26724113758837</v>
      </c>
      <c r="N46" s="53">
        <v>919.48732844474182</v>
      </c>
      <c r="O46" s="54">
        <v>933.08527429036872</v>
      </c>
      <c r="P46" s="53">
        <v>967.27440808866129</v>
      </c>
      <c r="Q46" s="53">
        <v>983.74105477669252</v>
      </c>
      <c r="R46" s="53">
        <v>1002.5814420933378</v>
      </c>
      <c r="S46" s="53">
        <v>999.59118461723779</v>
      </c>
      <c r="T46" s="53">
        <v>1020.6639049576</v>
      </c>
      <c r="U46" s="53">
        <v>1046.9121351522838</v>
      </c>
      <c r="V46" s="53">
        <v>1080.2798593084694</v>
      </c>
      <c r="W46" s="53">
        <v>1102.5711160597641</v>
      </c>
      <c r="X46" s="53">
        <v>1126.9990262219928</v>
      </c>
      <c r="Y46" s="53">
        <v>1146.6994708472448</v>
      </c>
      <c r="Z46" s="53">
        <v>1166.738026718358</v>
      </c>
      <c r="AA46" s="54">
        <v>1181.2522560036291</v>
      </c>
      <c r="AB46" s="53">
        <v>1193.2025825806068</v>
      </c>
      <c r="AC46" s="53">
        <v>1217.808769361603</v>
      </c>
      <c r="AD46" s="53">
        <v>1244.9953592063757</v>
      </c>
      <c r="AE46" s="53">
        <v>1267.5026774885096</v>
      </c>
      <c r="AF46" s="53">
        <v>1287.587341039361</v>
      </c>
      <c r="AG46" s="53">
        <v>1315.5128257523907</v>
      </c>
      <c r="AH46" s="53">
        <v>1342.4149350704454</v>
      </c>
      <c r="AI46" s="53">
        <v>1368.7401516263885</v>
      </c>
      <c r="AJ46" s="53">
        <v>1391.0092266256911</v>
      </c>
      <c r="AK46" s="53">
        <v>1407.5736223482868</v>
      </c>
      <c r="AL46" s="53">
        <v>1420.4522693034876</v>
      </c>
      <c r="AM46" s="54">
        <v>1422.7600773671961</v>
      </c>
    </row>
    <row r="47" spans="1:62" x14ac:dyDescent="0.35">
      <c r="A47" s="2" t="s">
        <v>190</v>
      </c>
      <c r="B47" s="2" t="s">
        <v>158</v>
      </c>
      <c r="C47" s="55">
        <v>556.27322998533987</v>
      </c>
      <c r="D47" s="56">
        <v>569.81735437194425</v>
      </c>
      <c r="E47" s="56">
        <v>586.15884510456954</v>
      </c>
      <c r="F47" s="56">
        <v>599.40885209694159</v>
      </c>
      <c r="G47" s="56">
        <v>607.83170740840728</v>
      </c>
      <c r="H47" s="56">
        <v>613.38011439264426</v>
      </c>
      <c r="I47" s="56">
        <v>616.73321515340865</v>
      </c>
      <c r="J47" s="56">
        <v>621.07627226525756</v>
      </c>
      <c r="K47" s="56">
        <v>620.23831624264017</v>
      </c>
      <c r="L47" s="56">
        <v>599.57976727455241</v>
      </c>
      <c r="M47" s="56">
        <v>581.92756620008811</v>
      </c>
      <c r="N47" s="56">
        <v>576.0858270424801</v>
      </c>
      <c r="O47" s="57">
        <v>569.78546247351665</v>
      </c>
      <c r="P47" s="56">
        <v>563.67910731056452</v>
      </c>
      <c r="Q47" s="56">
        <v>561.70219448037187</v>
      </c>
      <c r="R47" s="56">
        <v>550.48616705206507</v>
      </c>
      <c r="S47" s="56">
        <v>552.43030654660549</v>
      </c>
      <c r="T47" s="56">
        <v>549.18971019789205</v>
      </c>
      <c r="U47" s="56">
        <v>545.12153326375142</v>
      </c>
      <c r="V47" s="56">
        <v>551.99102318261248</v>
      </c>
      <c r="W47" s="56">
        <v>555.3131044929271</v>
      </c>
      <c r="X47" s="56">
        <v>556.56230921843917</v>
      </c>
      <c r="Y47" s="56">
        <v>556.02334724151171</v>
      </c>
      <c r="Z47" s="56">
        <v>554.35250979368186</v>
      </c>
      <c r="AA47" s="57">
        <v>553.90664706152177</v>
      </c>
      <c r="AB47" s="56">
        <v>541.68353054540239</v>
      </c>
      <c r="AC47" s="56">
        <v>543.77979884723345</v>
      </c>
      <c r="AD47" s="56">
        <v>543.34734273464483</v>
      </c>
      <c r="AE47" s="56">
        <v>548.17268358387275</v>
      </c>
      <c r="AF47" s="56">
        <v>555.75396016022523</v>
      </c>
      <c r="AG47" s="56">
        <v>563.68307207240082</v>
      </c>
      <c r="AH47" s="56">
        <v>570.82279828738831</v>
      </c>
      <c r="AI47" s="56">
        <v>573.91453885741362</v>
      </c>
      <c r="AJ47" s="56">
        <v>578.12192099046297</v>
      </c>
      <c r="AK47" s="56">
        <v>579.66966879158031</v>
      </c>
      <c r="AL47" s="56">
        <v>578.73810445620052</v>
      </c>
      <c r="AM47" s="57">
        <v>576.87974147525131</v>
      </c>
    </row>
    <row r="48" spans="1:62" x14ac:dyDescent="0.35">
      <c r="A48" s="3" t="s">
        <v>190</v>
      </c>
      <c r="B48" s="3" t="s">
        <v>159</v>
      </c>
      <c r="C48" s="58">
        <v>0</v>
      </c>
      <c r="D48" s="59">
        <v>0</v>
      </c>
      <c r="E48" s="59">
        <v>0</v>
      </c>
      <c r="F48" s="59">
        <v>0</v>
      </c>
      <c r="G48" s="59">
        <v>0</v>
      </c>
      <c r="H48" s="59">
        <v>0</v>
      </c>
      <c r="I48" s="59">
        <v>0</v>
      </c>
      <c r="J48" s="59">
        <v>0</v>
      </c>
      <c r="K48" s="59">
        <v>0</v>
      </c>
      <c r="L48" s="59">
        <v>0</v>
      </c>
      <c r="M48" s="59">
        <v>0</v>
      </c>
      <c r="N48" s="59">
        <v>0</v>
      </c>
      <c r="O48" s="60">
        <v>0</v>
      </c>
      <c r="P48" s="59">
        <v>0</v>
      </c>
      <c r="Q48" s="59">
        <v>0</v>
      </c>
      <c r="R48" s="59">
        <v>0</v>
      </c>
      <c r="S48" s="59">
        <v>0</v>
      </c>
      <c r="T48" s="59">
        <v>0</v>
      </c>
      <c r="U48" s="59">
        <v>0</v>
      </c>
      <c r="V48" s="59">
        <v>0</v>
      </c>
      <c r="W48" s="59">
        <v>0</v>
      </c>
      <c r="X48" s="59">
        <v>0</v>
      </c>
      <c r="Y48" s="59">
        <v>0</v>
      </c>
      <c r="Z48" s="59">
        <v>0</v>
      </c>
      <c r="AA48" s="60">
        <v>0</v>
      </c>
      <c r="AB48" s="59">
        <v>0</v>
      </c>
      <c r="AC48" s="59">
        <v>0</v>
      </c>
      <c r="AD48" s="59">
        <v>0</v>
      </c>
      <c r="AE48" s="59">
        <v>0</v>
      </c>
      <c r="AF48" s="59">
        <v>0</v>
      </c>
      <c r="AG48" s="59">
        <v>0</v>
      </c>
      <c r="AH48" s="59">
        <v>0</v>
      </c>
      <c r="AI48" s="59">
        <v>0</v>
      </c>
      <c r="AJ48" s="59">
        <v>0</v>
      </c>
      <c r="AK48" s="59">
        <v>0</v>
      </c>
      <c r="AL48" s="59">
        <v>0</v>
      </c>
      <c r="AM48" s="60">
        <v>0</v>
      </c>
    </row>
    <row r="49" spans="1:62" x14ac:dyDescent="0.35">
      <c r="C49" s="230"/>
      <c r="D49" s="230"/>
      <c r="E49" s="230"/>
      <c r="F49" s="230"/>
      <c r="G49" s="230"/>
      <c r="H49" s="230"/>
      <c r="I49" s="230"/>
      <c r="J49" s="230"/>
      <c r="K49" s="230"/>
      <c r="L49" s="230"/>
      <c r="M49" s="230"/>
      <c r="N49" s="230"/>
      <c r="O49" s="230"/>
      <c r="P49" s="230"/>
      <c r="Q49" s="230"/>
      <c r="R49" s="230"/>
      <c r="S49" s="230"/>
      <c r="T49" s="230"/>
      <c r="U49" s="230"/>
      <c r="V49" s="230"/>
      <c r="W49" s="230"/>
      <c r="X49" s="230"/>
      <c r="Y49" s="230"/>
      <c r="Z49" s="230"/>
      <c r="AA49" s="230"/>
      <c r="AB49" s="230"/>
      <c r="AC49" s="230"/>
      <c r="AD49" s="230"/>
      <c r="AE49" s="230"/>
      <c r="AF49" s="230"/>
      <c r="AG49" s="230"/>
      <c r="AH49" s="230"/>
      <c r="AI49" s="230"/>
      <c r="AJ49" s="230"/>
      <c r="AK49" s="230"/>
      <c r="AL49" s="230"/>
    </row>
    <row r="50" spans="1:62" x14ac:dyDescent="0.35">
      <c r="A50" s="25" t="s">
        <v>191</v>
      </c>
      <c r="B50" s="4" t="s">
        <v>3</v>
      </c>
      <c r="C50" s="19">
        <f>C44</f>
        <v>45352</v>
      </c>
      <c r="D50" s="20">
        <f>EDATE(C50,1)</f>
        <v>45383</v>
      </c>
      <c r="E50" s="20">
        <f>EDATE(D50,1)</f>
        <v>45413</v>
      </c>
      <c r="F50" s="20">
        <f>EDATE(E50,1)</f>
        <v>45444</v>
      </c>
      <c r="G50" s="20">
        <f t="shared" ref="G50" si="341">EDATE(F50,1)</f>
        <v>45474</v>
      </c>
      <c r="H50" s="20">
        <f t="shared" ref="H50" si="342">EDATE(G50,1)</f>
        <v>45505</v>
      </c>
      <c r="I50" s="20">
        <f t="shared" ref="I50" si="343">EDATE(H50,1)</f>
        <v>45536</v>
      </c>
      <c r="J50" s="20">
        <f t="shared" ref="J50" si="344">EDATE(I50,1)</f>
        <v>45566</v>
      </c>
      <c r="K50" s="20">
        <f t="shared" ref="K50" si="345">EDATE(J50,1)</f>
        <v>45597</v>
      </c>
      <c r="L50" s="20">
        <f t="shared" ref="L50" si="346">EDATE(K50,1)</f>
        <v>45627</v>
      </c>
      <c r="M50" s="20">
        <f t="shared" ref="M50" si="347">EDATE(L50,1)</f>
        <v>45658</v>
      </c>
      <c r="N50" s="20">
        <f t="shared" ref="N50" si="348">EDATE(M50,1)</f>
        <v>45689</v>
      </c>
      <c r="O50" s="21">
        <f t="shared" ref="O50" si="349">EDATE(N50,1)</f>
        <v>45717</v>
      </c>
      <c r="P50" s="20">
        <f t="shared" ref="P50" si="350">EDATE(O50,1)</f>
        <v>45748</v>
      </c>
      <c r="Q50" s="20">
        <f t="shared" ref="Q50" si="351">EDATE(P50,1)</f>
        <v>45778</v>
      </c>
      <c r="R50" s="20">
        <f t="shared" ref="R50" si="352">EDATE(Q50,1)</f>
        <v>45809</v>
      </c>
      <c r="S50" s="20">
        <f t="shared" ref="S50" si="353">EDATE(R50,1)</f>
        <v>45839</v>
      </c>
      <c r="T50" s="20">
        <f t="shared" ref="T50" si="354">EDATE(S50,1)</f>
        <v>45870</v>
      </c>
      <c r="U50" s="20">
        <f t="shared" ref="U50" si="355">EDATE(T50,1)</f>
        <v>45901</v>
      </c>
      <c r="V50" s="20">
        <f t="shared" ref="V50" si="356">EDATE(U50,1)</f>
        <v>45931</v>
      </c>
      <c r="W50" s="20">
        <f t="shared" ref="W50" si="357">EDATE(V50,1)</f>
        <v>45962</v>
      </c>
      <c r="X50" s="20">
        <f t="shared" ref="X50" si="358">EDATE(W50,1)</f>
        <v>45992</v>
      </c>
      <c r="Y50" s="20">
        <f t="shared" ref="Y50" si="359">EDATE(X50,1)</f>
        <v>46023</v>
      </c>
      <c r="Z50" s="20">
        <f t="shared" ref="Z50" si="360">EDATE(Y50,1)</f>
        <v>46054</v>
      </c>
      <c r="AA50" s="21">
        <f t="shared" ref="AA50" si="361">EDATE(Z50,1)</f>
        <v>46082</v>
      </c>
      <c r="AB50" s="20">
        <f t="shared" ref="AB50" si="362">EDATE(AA50,1)</f>
        <v>46113</v>
      </c>
      <c r="AC50" s="20">
        <f t="shared" ref="AC50" si="363">EDATE(AB50,1)</f>
        <v>46143</v>
      </c>
      <c r="AD50" s="20">
        <f t="shared" ref="AD50" si="364">EDATE(AC50,1)</f>
        <v>46174</v>
      </c>
      <c r="AE50" s="20">
        <f t="shared" ref="AE50" si="365">EDATE(AD50,1)</f>
        <v>46204</v>
      </c>
      <c r="AF50" s="20">
        <f t="shared" ref="AF50" si="366">EDATE(AE50,1)</f>
        <v>46235</v>
      </c>
      <c r="AG50" s="20">
        <f t="shared" ref="AG50" si="367">EDATE(AF50,1)</f>
        <v>46266</v>
      </c>
      <c r="AH50" s="20">
        <f t="shared" ref="AH50" si="368">EDATE(AG50,1)</f>
        <v>46296</v>
      </c>
      <c r="AI50" s="20">
        <f t="shared" ref="AI50" si="369">EDATE(AH50,1)</f>
        <v>46327</v>
      </c>
      <c r="AJ50" s="20">
        <f t="shared" ref="AJ50" si="370">EDATE(AI50,1)</f>
        <v>46357</v>
      </c>
      <c r="AK50" s="20">
        <f t="shared" ref="AK50" si="371">EDATE(AJ50,1)</f>
        <v>46388</v>
      </c>
      <c r="AL50" s="20">
        <f t="shared" ref="AL50" si="372">EDATE(AK50,1)</f>
        <v>46419</v>
      </c>
      <c r="AM50" s="21">
        <f t="shared" ref="AM50" si="373">EDATE(AL50,1)</f>
        <v>46447</v>
      </c>
      <c r="AN50" s="20">
        <f t="shared" ref="AN50" si="374">EDATE(AM50,1)</f>
        <v>46478</v>
      </c>
      <c r="AO50" s="20">
        <f t="shared" ref="AO50" si="375">EDATE(AN50,1)</f>
        <v>46508</v>
      </c>
      <c r="AP50" s="20">
        <f t="shared" ref="AP50" si="376">EDATE(AO50,1)</f>
        <v>46539</v>
      </c>
      <c r="AQ50" s="20">
        <f t="shared" ref="AQ50" si="377">EDATE(AP50,1)</f>
        <v>46569</v>
      </c>
      <c r="AR50" s="20">
        <f t="shared" ref="AR50" si="378">EDATE(AQ50,1)</f>
        <v>46600</v>
      </c>
      <c r="AS50" s="20">
        <f t="shared" ref="AS50" si="379">EDATE(AR50,1)</f>
        <v>46631</v>
      </c>
      <c r="AT50" s="20">
        <f t="shared" ref="AT50" si="380">EDATE(AS50,1)</f>
        <v>46661</v>
      </c>
      <c r="AU50" s="20">
        <f t="shared" ref="AU50" si="381">EDATE(AT50,1)</f>
        <v>46692</v>
      </c>
      <c r="AV50" s="20">
        <f t="shared" ref="AV50" si="382">EDATE(AU50,1)</f>
        <v>46722</v>
      </c>
      <c r="AW50" s="20">
        <f t="shared" ref="AW50" si="383">EDATE(AV50,1)</f>
        <v>46753</v>
      </c>
      <c r="AX50" s="21">
        <f t="shared" ref="AX50" si="384">EDATE(AW50,1)</f>
        <v>46784</v>
      </c>
      <c r="AY50" s="20">
        <f t="shared" ref="AY50" si="385">EDATE(AX50,1)</f>
        <v>46813</v>
      </c>
      <c r="AZ50" s="20">
        <f t="shared" ref="AZ50" si="386">EDATE(AY50,1)</f>
        <v>46844</v>
      </c>
      <c r="BA50" s="20">
        <f t="shared" ref="BA50" si="387">EDATE(AZ50,1)</f>
        <v>46874</v>
      </c>
      <c r="BB50" s="20">
        <f t="shared" ref="BB50" si="388">EDATE(BA50,1)</f>
        <v>46905</v>
      </c>
      <c r="BC50" s="20">
        <f t="shared" ref="BC50" si="389">EDATE(BB50,1)</f>
        <v>46935</v>
      </c>
      <c r="BD50" s="20">
        <f t="shared" ref="BD50" si="390">EDATE(BC50,1)</f>
        <v>46966</v>
      </c>
      <c r="BE50" s="20">
        <f t="shared" ref="BE50" si="391">EDATE(BD50,1)</f>
        <v>46997</v>
      </c>
      <c r="BF50" s="20">
        <f t="shared" ref="BF50" si="392">EDATE(BE50,1)</f>
        <v>47027</v>
      </c>
      <c r="BG50" s="20">
        <f t="shared" ref="BG50" si="393">EDATE(BF50,1)</f>
        <v>47058</v>
      </c>
      <c r="BH50" s="20">
        <f t="shared" ref="BH50" si="394">EDATE(BG50,1)</f>
        <v>47088</v>
      </c>
      <c r="BI50" s="20">
        <f t="shared" ref="BI50" si="395">EDATE(BH50,1)</f>
        <v>47119</v>
      </c>
      <c r="BJ50" s="21">
        <f t="shared" ref="BJ50" si="396">EDATE(BI50,1)</f>
        <v>47150</v>
      </c>
    </row>
    <row r="51" spans="1:62" x14ac:dyDescent="0.35">
      <c r="A51" s="15" t="s">
        <v>191</v>
      </c>
      <c r="B51" s="15" t="s">
        <v>188</v>
      </c>
      <c r="C51" s="258">
        <v>2.6384548910955184E-2</v>
      </c>
      <c r="D51" s="259">
        <v>2.5994948371613702E-2</v>
      </c>
      <c r="E51" s="259">
        <v>2.5720811054145983E-2</v>
      </c>
      <c r="F51" s="259">
        <v>2.5926990732673023E-2</v>
      </c>
      <c r="G51" s="259">
        <v>2.5391217651911224E-2</v>
      </c>
      <c r="H51" s="259">
        <v>2.4726585932422513E-2</v>
      </c>
      <c r="I51" s="259">
        <v>2.4594644953775589E-2</v>
      </c>
      <c r="J51" s="259">
        <v>2.3878870967636377E-2</v>
      </c>
      <c r="K51" s="259">
        <v>2.3125465822718808E-2</v>
      </c>
      <c r="L51" s="259">
        <v>2.2644004900806876E-2</v>
      </c>
      <c r="M51" s="259">
        <v>2.1506712482012653E-2</v>
      </c>
      <c r="N51" s="259">
        <v>2.1306320416788219E-2</v>
      </c>
      <c r="O51" s="260">
        <v>2.0403726717862624E-2</v>
      </c>
      <c r="P51" s="259">
        <v>2.0439831084154828E-2</v>
      </c>
      <c r="Q51" s="259">
        <v>2.019912576203893E-2</v>
      </c>
      <c r="R51" s="259">
        <v>2.0235083733917185E-2</v>
      </c>
      <c r="S51" s="259">
        <v>1.9512825316023732E-2</v>
      </c>
      <c r="T51" s="259">
        <v>1.9099151552061499E-2</v>
      </c>
      <c r="U51" s="259">
        <v>1.9018990233197711E-2</v>
      </c>
      <c r="V51" s="259">
        <v>1.8863644992469626E-2</v>
      </c>
      <c r="W51" s="259">
        <v>1.8453889472818064E-2</v>
      </c>
      <c r="X51" s="259">
        <v>1.8387370179851259E-2</v>
      </c>
      <c r="Y51" s="259">
        <v>1.7864154813261045E-2</v>
      </c>
      <c r="Z51" s="259">
        <v>1.7735131546882391E-2</v>
      </c>
      <c r="AA51" s="260">
        <v>1.7149110285355422E-2</v>
      </c>
      <c r="AB51" s="259">
        <v>1.6867959758466458E-2</v>
      </c>
      <c r="AC51" s="259">
        <v>1.6757962719899901E-2</v>
      </c>
      <c r="AD51" s="259">
        <v>1.7019706834167831E-2</v>
      </c>
      <c r="AE51" s="259">
        <v>1.6863732297304188E-2</v>
      </c>
      <c r="AF51" s="259">
        <v>1.6641728120614017E-2</v>
      </c>
      <c r="AG51" s="259">
        <v>1.6761983211656031E-2</v>
      </c>
      <c r="AH51" s="259">
        <v>1.6578517478299016E-2</v>
      </c>
      <c r="AI51" s="259">
        <v>1.6306204377410809E-2</v>
      </c>
      <c r="AJ51" s="259">
        <v>1.6244671944187453E-2</v>
      </c>
      <c r="AK51" s="259">
        <v>1.5845333061620351E-2</v>
      </c>
      <c r="AL51" s="259">
        <v>1.5671068338952026E-2</v>
      </c>
      <c r="AM51" s="260">
        <v>1.5114984923419554E-2</v>
      </c>
      <c r="AN51" s="17">
        <f t="shared" ref="AN51:BJ51" si="397">SUM(AN52:AN54)</f>
        <v>0</v>
      </c>
      <c r="AO51" s="17">
        <f t="shared" si="397"/>
        <v>0</v>
      </c>
      <c r="AP51" s="17">
        <f t="shared" si="397"/>
        <v>0</v>
      </c>
      <c r="AQ51" s="17">
        <f t="shared" si="397"/>
        <v>0</v>
      </c>
      <c r="AR51" s="17">
        <f t="shared" si="397"/>
        <v>0</v>
      </c>
      <c r="AS51" s="17">
        <f t="shared" si="397"/>
        <v>0</v>
      </c>
      <c r="AT51" s="17">
        <f t="shared" si="397"/>
        <v>0</v>
      </c>
      <c r="AU51" s="17">
        <f t="shared" si="397"/>
        <v>0</v>
      </c>
      <c r="AV51" s="17">
        <f t="shared" si="397"/>
        <v>0</v>
      </c>
      <c r="AW51" s="17">
        <f t="shared" si="397"/>
        <v>0</v>
      </c>
      <c r="AX51" s="18">
        <f t="shared" si="397"/>
        <v>0</v>
      </c>
      <c r="AY51" s="17">
        <f t="shared" si="397"/>
        <v>0</v>
      </c>
      <c r="AZ51" s="17">
        <f t="shared" si="397"/>
        <v>0</v>
      </c>
      <c r="BA51" s="17">
        <f t="shared" si="397"/>
        <v>0</v>
      </c>
      <c r="BB51" s="17">
        <f t="shared" si="397"/>
        <v>0</v>
      </c>
      <c r="BC51" s="17">
        <f t="shared" si="397"/>
        <v>0</v>
      </c>
      <c r="BD51" s="17">
        <f t="shared" si="397"/>
        <v>0</v>
      </c>
      <c r="BE51" s="17">
        <f t="shared" si="397"/>
        <v>0</v>
      </c>
      <c r="BF51" s="17">
        <f t="shared" si="397"/>
        <v>0</v>
      </c>
      <c r="BG51" s="17">
        <f t="shared" si="397"/>
        <v>0</v>
      </c>
      <c r="BH51" s="17">
        <f t="shared" si="397"/>
        <v>0</v>
      </c>
      <c r="BI51" s="17">
        <f t="shared" si="397"/>
        <v>0</v>
      </c>
      <c r="BJ51" s="18">
        <f t="shared" si="397"/>
        <v>0</v>
      </c>
    </row>
    <row r="52" spans="1:62" x14ac:dyDescent="0.35">
      <c r="A52" s="1" t="s">
        <v>191</v>
      </c>
      <c r="B52" s="1" t="s">
        <v>157</v>
      </c>
      <c r="C52" s="261">
        <v>2.3654983282357805E-2</v>
      </c>
      <c r="D52" s="262">
        <v>2.3074700523064467E-2</v>
      </c>
      <c r="E52" s="262">
        <v>2.2759035316623957E-2</v>
      </c>
      <c r="F52" s="262">
        <v>2.2374152853728485E-2</v>
      </c>
      <c r="G52" s="262">
        <v>2.2002131234488916E-2</v>
      </c>
      <c r="H52" s="262">
        <v>2.1575728722902511E-2</v>
      </c>
      <c r="I52" s="262">
        <v>2.1269593422322954E-2</v>
      </c>
      <c r="J52" s="262">
        <v>2.0832486695810497E-2</v>
      </c>
      <c r="K52" s="262">
        <v>2.0423609336526465E-2</v>
      </c>
      <c r="L52" s="262">
        <v>1.9956979924563679E-2</v>
      </c>
      <c r="M52" s="262">
        <v>1.9507840710449888E-2</v>
      </c>
      <c r="N52" s="262">
        <v>1.9103239338831065E-2</v>
      </c>
      <c r="O52" s="263">
        <v>1.8616953078111988E-2</v>
      </c>
      <c r="P52" s="262">
        <v>1.8970012050304717E-2</v>
      </c>
      <c r="Q52" s="262">
        <v>1.8939763369066637E-2</v>
      </c>
      <c r="R52" s="262">
        <v>1.8892733436635764E-2</v>
      </c>
      <c r="S52" s="262">
        <v>1.8190640345167642E-2</v>
      </c>
      <c r="T52" s="262">
        <v>1.8040779839763946E-2</v>
      </c>
      <c r="U52" s="262">
        <v>1.7910526483003425E-2</v>
      </c>
      <c r="V52" s="262">
        <v>1.7978618347407372E-2</v>
      </c>
      <c r="W52" s="262">
        <v>1.7762617450498373E-2</v>
      </c>
      <c r="X52" s="262">
        <v>1.754772695708133E-2</v>
      </c>
      <c r="Y52" s="262">
        <v>1.7260963210432204E-2</v>
      </c>
      <c r="Z52" s="262">
        <v>1.7013817504676555E-2</v>
      </c>
      <c r="AA52" s="263">
        <v>1.6657465988509638E-2</v>
      </c>
      <c r="AB52" s="262">
        <v>1.6502442563505221E-2</v>
      </c>
      <c r="AC52" s="262">
        <v>1.6480627751742333E-2</v>
      </c>
      <c r="AD52" s="262">
        <v>1.6591535477577714E-2</v>
      </c>
      <c r="AE52" s="262">
        <v>1.6549503549361352E-2</v>
      </c>
      <c r="AF52" s="262">
        <v>1.6409051579970201E-2</v>
      </c>
      <c r="AG52" s="262">
        <v>1.6345958750751868E-2</v>
      </c>
      <c r="AH52" s="262">
        <v>1.6295844340789092E-2</v>
      </c>
      <c r="AI52" s="262">
        <v>1.6176026231969374E-2</v>
      </c>
      <c r="AJ52" s="262">
        <v>1.5979632252574053E-2</v>
      </c>
      <c r="AK52" s="262">
        <v>1.5719317864692602E-2</v>
      </c>
      <c r="AL52" s="262">
        <v>1.5440175895691138E-2</v>
      </c>
      <c r="AM52" s="263">
        <v>1.5026991369131543E-2</v>
      </c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4"/>
      <c r="AY52" s="53"/>
      <c r="AZ52" s="53"/>
      <c r="BA52" s="53"/>
      <c r="BB52" s="53"/>
      <c r="BC52" s="53"/>
      <c r="BD52" s="53"/>
      <c r="BE52" s="53"/>
      <c r="BF52" s="53"/>
      <c r="BG52" s="53"/>
      <c r="BH52" s="53"/>
      <c r="BI52" s="53"/>
      <c r="BJ52" s="54"/>
    </row>
    <row r="53" spans="1:62" x14ac:dyDescent="0.35">
      <c r="A53" s="2" t="s">
        <v>191</v>
      </c>
      <c r="B53" s="2" t="s">
        <v>158</v>
      </c>
      <c r="C53" s="264">
        <v>4.4148123775266723E-2</v>
      </c>
      <c r="D53" s="265">
        <v>4.3645934137346042E-2</v>
      </c>
      <c r="E53" s="265">
        <v>4.2947773360845855E-2</v>
      </c>
      <c r="F53" s="265">
        <v>4.623875694080759E-2</v>
      </c>
      <c r="G53" s="265">
        <v>4.4574843044296653E-2</v>
      </c>
      <c r="H53" s="265">
        <v>4.2612383064328338E-2</v>
      </c>
      <c r="I53" s="265">
        <v>4.4259599061505422E-2</v>
      </c>
      <c r="J53" s="265">
        <v>4.2048235147285166E-2</v>
      </c>
      <c r="K53" s="265">
        <v>3.958164092862633E-2</v>
      </c>
      <c r="L53" s="265">
        <v>4.0655235330122205E-2</v>
      </c>
      <c r="M53" s="265">
        <v>3.6391556255860519E-2</v>
      </c>
      <c r="N53" s="265">
        <v>3.8344733484257924E-2</v>
      </c>
      <c r="O53" s="266">
        <v>3.5206491550212562E-2</v>
      </c>
      <c r="P53" s="265">
        <v>3.3694749427356258E-2</v>
      </c>
      <c r="Q53" s="265">
        <v>3.2216845160612871E-2</v>
      </c>
      <c r="R53" s="265">
        <v>3.3352316176443533E-2</v>
      </c>
      <c r="S53" s="265">
        <v>3.1811165877056083E-2</v>
      </c>
      <c r="T53" s="265">
        <v>2.9989159527213462E-2</v>
      </c>
      <c r="U53" s="265">
        <v>3.074381911701831E-2</v>
      </c>
      <c r="V53" s="265">
        <v>2.9415891270344902E-2</v>
      </c>
      <c r="W53" s="265">
        <v>2.7838674137486166E-2</v>
      </c>
      <c r="X53" s="265">
        <v>2.8927166113352009E-2</v>
      </c>
      <c r="Y53" s="265">
        <v>2.6997376003340269E-2</v>
      </c>
      <c r="Z53" s="265">
        <v>2.7870382511098274E-2</v>
      </c>
      <c r="AA53" s="266">
        <v>2.5961243638247932E-2</v>
      </c>
      <c r="AB53" s="265">
        <v>2.4776820406596879E-2</v>
      </c>
      <c r="AC53" s="265">
        <v>2.4022826288123508E-2</v>
      </c>
      <c r="AD53" s="265">
        <v>2.5351226510073616E-2</v>
      </c>
      <c r="AE53" s="265">
        <v>2.4428481521231355E-2</v>
      </c>
      <c r="AF53" s="265">
        <v>2.35967260638415E-2</v>
      </c>
      <c r="AG53" s="265">
        <v>2.48524419952823E-2</v>
      </c>
      <c r="AH53" s="265">
        <v>2.3885468759661098E-2</v>
      </c>
      <c r="AI53" s="265">
        <v>2.2731840264058861E-2</v>
      </c>
      <c r="AJ53" s="265">
        <v>2.3461136070540935E-2</v>
      </c>
      <c r="AK53" s="265">
        <v>2.2169677007524233E-2</v>
      </c>
      <c r="AL53" s="265">
        <v>2.2632990015319401E-2</v>
      </c>
      <c r="AM53" s="266">
        <v>2.1206475388873439E-2</v>
      </c>
      <c r="AN53" s="56"/>
      <c r="AO53" s="56"/>
      <c r="AP53" s="56"/>
      <c r="AQ53" s="56"/>
      <c r="AR53" s="56"/>
      <c r="AS53" s="56"/>
      <c r="AT53" s="56"/>
      <c r="AU53" s="56"/>
      <c r="AV53" s="56"/>
      <c r="AW53" s="56"/>
      <c r="AX53" s="57"/>
      <c r="AY53" s="56"/>
      <c r="AZ53" s="56"/>
      <c r="BA53" s="56"/>
      <c r="BB53" s="56"/>
      <c r="BC53" s="56"/>
      <c r="BD53" s="56"/>
      <c r="BE53" s="56"/>
      <c r="BF53" s="56"/>
      <c r="BG53" s="56"/>
      <c r="BH53" s="56"/>
      <c r="BI53" s="56"/>
      <c r="BJ53" s="57"/>
    </row>
    <row r="54" spans="1:62" x14ac:dyDescent="0.35">
      <c r="A54" s="3" t="s">
        <v>191</v>
      </c>
      <c r="B54" s="3" t="s">
        <v>159</v>
      </c>
      <c r="C54" s="267">
        <v>0</v>
      </c>
      <c r="D54" s="268">
        <v>0</v>
      </c>
      <c r="E54" s="268">
        <v>0</v>
      </c>
      <c r="F54" s="268">
        <v>0</v>
      </c>
      <c r="G54" s="268">
        <v>0</v>
      </c>
      <c r="H54" s="268">
        <v>0</v>
      </c>
      <c r="I54" s="268">
        <v>0</v>
      </c>
      <c r="J54" s="268">
        <v>0</v>
      </c>
      <c r="K54" s="268">
        <v>0</v>
      </c>
      <c r="L54" s="268">
        <v>0</v>
      </c>
      <c r="M54" s="268">
        <v>0</v>
      </c>
      <c r="N54" s="268">
        <v>0</v>
      </c>
      <c r="O54" s="269">
        <v>0</v>
      </c>
      <c r="P54" s="268">
        <v>0</v>
      </c>
      <c r="Q54" s="268">
        <v>0</v>
      </c>
      <c r="R54" s="268">
        <v>0</v>
      </c>
      <c r="S54" s="268">
        <v>0</v>
      </c>
      <c r="T54" s="268">
        <v>0</v>
      </c>
      <c r="U54" s="268">
        <v>0</v>
      </c>
      <c r="V54" s="268">
        <v>0</v>
      </c>
      <c r="W54" s="268">
        <v>0</v>
      </c>
      <c r="X54" s="268">
        <v>0</v>
      </c>
      <c r="Y54" s="268">
        <v>0</v>
      </c>
      <c r="Z54" s="268">
        <v>0</v>
      </c>
      <c r="AA54" s="269">
        <v>0</v>
      </c>
      <c r="AB54" s="268">
        <v>0</v>
      </c>
      <c r="AC54" s="268">
        <v>0</v>
      </c>
      <c r="AD54" s="268">
        <v>0</v>
      </c>
      <c r="AE54" s="268">
        <v>0</v>
      </c>
      <c r="AF54" s="268">
        <v>0</v>
      </c>
      <c r="AG54" s="268">
        <v>0</v>
      </c>
      <c r="AH54" s="268">
        <v>0</v>
      </c>
      <c r="AI54" s="268">
        <v>0</v>
      </c>
      <c r="AJ54" s="268">
        <v>0</v>
      </c>
      <c r="AK54" s="268">
        <v>0</v>
      </c>
      <c r="AL54" s="268">
        <v>0</v>
      </c>
      <c r="AM54" s="269">
        <v>0</v>
      </c>
      <c r="AN54" s="59"/>
      <c r="AO54" s="59"/>
      <c r="AP54" s="59"/>
      <c r="AQ54" s="59"/>
      <c r="AR54" s="59"/>
      <c r="AS54" s="59"/>
      <c r="AT54" s="59"/>
      <c r="AU54" s="59"/>
      <c r="AV54" s="59"/>
      <c r="AW54" s="59"/>
      <c r="AX54" s="60"/>
      <c r="AY54" s="59"/>
      <c r="AZ54" s="59"/>
      <c r="BA54" s="59"/>
      <c r="BB54" s="59"/>
      <c r="BC54" s="59"/>
      <c r="BD54" s="59"/>
      <c r="BE54" s="59"/>
      <c r="BF54" s="59"/>
      <c r="BG54" s="59"/>
      <c r="BH54" s="59"/>
      <c r="BI54" s="59"/>
      <c r="BJ54" s="60"/>
    </row>
    <row r="55" spans="1:62" x14ac:dyDescent="0.35">
      <c r="C55" s="230"/>
      <c r="D55" s="230"/>
      <c r="E55" s="230"/>
      <c r="F55" s="230"/>
      <c r="G55" s="230"/>
      <c r="H55" s="230"/>
      <c r="I55" s="230"/>
      <c r="J55" s="230"/>
      <c r="K55" s="230"/>
      <c r="L55" s="230"/>
      <c r="M55" s="230"/>
      <c r="N55" s="230"/>
      <c r="O55" s="230"/>
      <c r="P55" s="230"/>
      <c r="Q55" s="230"/>
      <c r="R55" s="230"/>
      <c r="S55" s="230"/>
      <c r="T55" s="230"/>
      <c r="U55" s="230"/>
      <c r="V55" s="230"/>
      <c r="W55" s="230"/>
      <c r="X55" s="230"/>
      <c r="Y55" s="230"/>
      <c r="Z55" s="230"/>
      <c r="AA55" s="230"/>
      <c r="AB55" s="230"/>
      <c r="AC55" s="230"/>
      <c r="AD55" s="230"/>
      <c r="AE55" s="230"/>
      <c r="AF55" s="230"/>
      <c r="AG55" s="230"/>
      <c r="AH55" s="230"/>
      <c r="AI55" s="230"/>
      <c r="AJ55" s="230"/>
      <c r="AK55" s="230"/>
      <c r="AL55" s="230"/>
    </row>
    <row r="56" spans="1:62" x14ac:dyDescent="0.35">
      <c r="A56" s="25" t="s">
        <v>192</v>
      </c>
      <c r="B56" s="4" t="s">
        <v>3</v>
      </c>
      <c r="C56" s="19">
        <f>C50</f>
        <v>45352</v>
      </c>
      <c r="D56" s="20">
        <f>EDATE(C56,1)</f>
        <v>45383</v>
      </c>
      <c r="E56" s="20">
        <f>EDATE(D56,1)</f>
        <v>45413</v>
      </c>
      <c r="F56" s="20">
        <f>EDATE(E56,1)</f>
        <v>45444</v>
      </c>
      <c r="G56" s="20">
        <f t="shared" ref="G56" si="398">EDATE(F56,1)</f>
        <v>45474</v>
      </c>
      <c r="H56" s="20">
        <f t="shared" ref="H56" si="399">EDATE(G56,1)</f>
        <v>45505</v>
      </c>
      <c r="I56" s="20">
        <f t="shared" ref="I56" si="400">EDATE(H56,1)</f>
        <v>45536</v>
      </c>
      <c r="J56" s="20">
        <f t="shared" ref="J56" si="401">EDATE(I56,1)</f>
        <v>45566</v>
      </c>
      <c r="K56" s="20">
        <f t="shared" ref="K56" si="402">EDATE(J56,1)</f>
        <v>45597</v>
      </c>
      <c r="L56" s="20">
        <f t="shared" ref="L56" si="403">EDATE(K56,1)</f>
        <v>45627</v>
      </c>
      <c r="M56" s="20">
        <f t="shared" ref="M56" si="404">EDATE(L56,1)</f>
        <v>45658</v>
      </c>
      <c r="N56" s="20">
        <f t="shared" ref="N56" si="405">EDATE(M56,1)</f>
        <v>45689</v>
      </c>
      <c r="O56" s="21">
        <f t="shared" ref="O56" si="406">EDATE(N56,1)</f>
        <v>45717</v>
      </c>
      <c r="P56" s="20">
        <f t="shared" ref="P56" si="407">EDATE(O56,1)</f>
        <v>45748</v>
      </c>
      <c r="Q56" s="20">
        <f t="shared" ref="Q56" si="408">EDATE(P56,1)</f>
        <v>45778</v>
      </c>
      <c r="R56" s="20">
        <f t="shared" ref="R56" si="409">EDATE(Q56,1)</f>
        <v>45809</v>
      </c>
      <c r="S56" s="20">
        <f t="shared" ref="S56" si="410">EDATE(R56,1)</f>
        <v>45839</v>
      </c>
      <c r="T56" s="20">
        <f t="shared" ref="T56" si="411">EDATE(S56,1)</f>
        <v>45870</v>
      </c>
      <c r="U56" s="20">
        <f t="shared" ref="U56" si="412">EDATE(T56,1)</f>
        <v>45901</v>
      </c>
      <c r="V56" s="20">
        <f t="shared" ref="V56" si="413">EDATE(U56,1)</f>
        <v>45931</v>
      </c>
      <c r="W56" s="20">
        <f t="shared" ref="W56" si="414">EDATE(V56,1)</f>
        <v>45962</v>
      </c>
      <c r="X56" s="20">
        <f t="shared" ref="X56" si="415">EDATE(W56,1)</f>
        <v>45992</v>
      </c>
      <c r="Y56" s="20">
        <f t="shared" ref="Y56" si="416">EDATE(X56,1)</f>
        <v>46023</v>
      </c>
      <c r="Z56" s="20">
        <f t="shared" ref="Z56" si="417">EDATE(Y56,1)</f>
        <v>46054</v>
      </c>
      <c r="AA56" s="21">
        <f t="shared" ref="AA56" si="418">EDATE(Z56,1)</f>
        <v>46082</v>
      </c>
      <c r="AB56" s="20">
        <f t="shared" ref="AB56" si="419">EDATE(AA56,1)</f>
        <v>46113</v>
      </c>
      <c r="AC56" s="20">
        <f t="shared" ref="AC56" si="420">EDATE(AB56,1)</f>
        <v>46143</v>
      </c>
      <c r="AD56" s="20">
        <f t="shared" ref="AD56" si="421">EDATE(AC56,1)</f>
        <v>46174</v>
      </c>
      <c r="AE56" s="20">
        <f t="shared" ref="AE56" si="422">EDATE(AD56,1)</f>
        <v>46204</v>
      </c>
      <c r="AF56" s="20">
        <f t="shared" ref="AF56" si="423">EDATE(AE56,1)</f>
        <v>46235</v>
      </c>
      <c r="AG56" s="20">
        <f t="shared" ref="AG56" si="424">EDATE(AF56,1)</f>
        <v>46266</v>
      </c>
      <c r="AH56" s="20">
        <f t="shared" ref="AH56" si="425">EDATE(AG56,1)</f>
        <v>46296</v>
      </c>
      <c r="AI56" s="20">
        <f t="shared" ref="AI56" si="426">EDATE(AH56,1)</f>
        <v>46327</v>
      </c>
      <c r="AJ56" s="20">
        <f t="shared" ref="AJ56" si="427">EDATE(AI56,1)</f>
        <v>46357</v>
      </c>
      <c r="AK56" s="20">
        <f t="shared" ref="AK56" si="428">EDATE(AJ56,1)</f>
        <v>46388</v>
      </c>
      <c r="AL56" s="20">
        <f t="shared" ref="AL56" si="429">EDATE(AK56,1)</f>
        <v>46419</v>
      </c>
      <c r="AM56" s="21">
        <f t="shared" ref="AM56" si="430">EDATE(AL56,1)</f>
        <v>46447</v>
      </c>
    </row>
    <row r="57" spans="1:62" x14ac:dyDescent="0.35">
      <c r="A57" s="15" t="s">
        <v>192</v>
      </c>
      <c r="B57" s="15" t="s">
        <v>188</v>
      </c>
      <c r="C57" s="258">
        <v>1.6703051248971652E-2</v>
      </c>
      <c r="D57" s="259">
        <v>1.6546035357171581E-2</v>
      </c>
      <c r="E57" s="259">
        <v>1.6415331191398978E-2</v>
      </c>
      <c r="F57" s="259">
        <v>1.6591220156451283E-2</v>
      </c>
      <c r="G57" s="259">
        <v>1.6287266876540214E-2</v>
      </c>
      <c r="H57" s="259">
        <v>1.5899474326383105E-2</v>
      </c>
      <c r="I57" s="259">
        <v>1.5859475107531055E-2</v>
      </c>
      <c r="J57" s="259">
        <v>1.5497060284881577E-2</v>
      </c>
      <c r="K57" s="259">
        <v>1.5017921277632854E-2</v>
      </c>
      <c r="L57" s="259">
        <v>1.4739602946240918E-2</v>
      </c>
      <c r="M57" s="259">
        <v>1.4076894384360732E-2</v>
      </c>
      <c r="N57" s="259">
        <v>1.3949049928075033E-2</v>
      </c>
      <c r="O57" s="260">
        <v>1.335173018141698E-2</v>
      </c>
      <c r="P57" s="259">
        <v>1.3392274106567481E-2</v>
      </c>
      <c r="Q57" s="259">
        <v>1.3246637668509169E-2</v>
      </c>
      <c r="R57" s="259">
        <v>1.3282247711669514E-2</v>
      </c>
      <c r="S57" s="259">
        <v>1.2926177850846664E-2</v>
      </c>
      <c r="T57" s="259">
        <v>1.2680848139069811E-2</v>
      </c>
      <c r="U57" s="259">
        <v>1.2681507830931861E-2</v>
      </c>
      <c r="V57" s="259">
        <v>1.2593436790954602E-2</v>
      </c>
      <c r="W57" s="259">
        <v>1.2334511258543675E-2</v>
      </c>
      <c r="X57" s="259">
        <v>1.2304954497513055E-2</v>
      </c>
      <c r="Y57" s="259">
        <v>1.195398467267075E-2</v>
      </c>
      <c r="Z57" s="259">
        <v>1.1868279471783979E-2</v>
      </c>
      <c r="AA57" s="260">
        <v>1.147124318612611E-2</v>
      </c>
      <c r="AB57" s="259">
        <v>1.1344101647641042E-2</v>
      </c>
      <c r="AC57" s="259">
        <v>1.1262619820125429E-2</v>
      </c>
      <c r="AD57" s="259">
        <v>1.1444633399954145E-2</v>
      </c>
      <c r="AE57" s="259">
        <v>1.1377049503212472E-2</v>
      </c>
      <c r="AF57" s="259">
        <v>1.1267940651327725E-2</v>
      </c>
      <c r="AG57" s="259">
        <v>1.1375036618184764E-2</v>
      </c>
      <c r="AH57" s="259">
        <v>1.1277907822576205E-2</v>
      </c>
      <c r="AI57" s="259">
        <v>1.1105989272952251E-2</v>
      </c>
      <c r="AJ57" s="259">
        <v>1.106773547399525E-2</v>
      </c>
      <c r="AK57" s="259">
        <v>1.0791819532305841E-2</v>
      </c>
      <c r="AL57" s="259">
        <v>1.0671637275277156E-2</v>
      </c>
      <c r="AM57" s="260">
        <v>1.0290472131156587E-2</v>
      </c>
    </row>
    <row r="58" spans="1:62" x14ac:dyDescent="0.35">
      <c r="A58" s="1" t="s">
        <v>192</v>
      </c>
      <c r="B58" s="1" t="s">
        <v>157</v>
      </c>
      <c r="C58" s="261">
        <v>1.4600840773242467E-2</v>
      </c>
      <c r="D58" s="262">
        <v>1.4345724164795598E-2</v>
      </c>
      <c r="E58" s="262">
        <v>1.4145212730433713E-2</v>
      </c>
      <c r="F58" s="262">
        <v>1.3927870259516587E-2</v>
      </c>
      <c r="G58" s="262">
        <v>1.372518390668246E-2</v>
      </c>
      <c r="H58" s="262">
        <v>1.3489130708947757E-2</v>
      </c>
      <c r="I58" s="262">
        <v>1.3325025804114574E-2</v>
      </c>
      <c r="J58" s="262">
        <v>1.3162391139876916E-2</v>
      </c>
      <c r="K58" s="262">
        <v>1.2926071893150178E-2</v>
      </c>
      <c r="L58" s="262">
        <v>1.2646717684558242E-2</v>
      </c>
      <c r="M58" s="262">
        <v>1.2391127435474752E-2</v>
      </c>
      <c r="N58" s="262">
        <v>1.2149814635808004E-2</v>
      </c>
      <c r="O58" s="263">
        <v>1.1844649315721179E-2</v>
      </c>
      <c r="P58" s="262">
        <v>1.2115632832243799E-2</v>
      </c>
      <c r="Q58" s="262">
        <v>1.2102975814477512E-2</v>
      </c>
      <c r="R58" s="262">
        <v>1.2085433440036555E-2</v>
      </c>
      <c r="S58" s="262">
        <v>1.1788157544127102E-2</v>
      </c>
      <c r="T58" s="262">
        <v>1.1730135102018896E-2</v>
      </c>
      <c r="U58" s="262">
        <v>1.1693406580063964E-2</v>
      </c>
      <c r="V58" s="262">
        <v>1.1757474771887336E-2</v>
      </c>
      <c r="W58" s="262">
        <v>1.1637844799670668E-2</v>
      </c>
      <c r="X58" s="262">
        <v>1.1502515676004837E-2</v>
      </c>
      <c r="Y58" s="262">
        <v>1.1315947300337428E-2</v>
      </c>
      <c r="Z58" s="262">
        <v>1.1150822699842444E-2</v>
      </c>
      <c r="AA58" s="263">
        <v>1.0915768933084612E-2</v>
      </c>
      <c r="AB58" s="262">
        <v>1.0930106643376717E-2</v>
      </c>
      <c r="AC58" s="262">
        <v>1.0904509496760311E-2</v>
      </c>
      <c r="AD58" s="262">
        <v>1.0983398776870545E-2</v>
      </c>
      <c r="AE58" s="262">
        <v>1.099663440972164E-2</v>
      </c>
      <c r="AF58" s="262">
        <v>1.094964793060246E-2</v>
      </c>
      <c r="AG58" s="262">
        <v>1.0935735429343981E-2</v>
      </c>
      <c r="AH58" s="262">
        <v>1.0930143579640238E-2</v>
      </c>
      <c r="AI58" s="262">
        <v>1.0867224499340892E-2</v>
      </c>
      <c r="AJ58" s="262">
        <v>1.0738147422547866E-2</v>
      </c>
      <c r="AK58" s="262">
        <v>1.0564646647109851E-2</v>
      </c>
      <c r="AL58" s="262">
        <v>1.0376823665753326E-2</v>
      </c>
      <c r="AM58" s="263">
        <v>1.009811189907483E-2</v>
      </c>
    </row>
    <row r="59" spans="1:62" x14ac:dyDescent="0.35">
      <c r="A59" s="2" t="s">
        <v>192</v>
      </c>
      <c r="B59" s="2" t="s">
        <v>158</v>
      </c>
      <c r="C59" s="264">
        <v>2.9102133321601057E-2</v>
      </c>
      <c r="D59" s="265">
        <v>2.8830244274404147E-2</v>
      </c>
      <c r="E59" s="265">
        <v>2.8541922856230698E-2</v>
      </c>
      <c r="F59" s="265">
        <v>3.0871210003970272E-2</v>
      </c>
      <c r="G59" s="265">
        <v>2.9835644218487199E-2</v>
      </c>
      <c r="H59" s="265">
        <v>2.8597954849508306E-2</v>
      </c>
      <c r="I59" s="265">
        <v>2.9856891657466127E-2</v>
      </c>
      <c r="J59" s="265">
        <v>2.8467076897378693E-2</v>
      </c>
      <c r="K59" s="265">
        <v>2.6784593555388807E-2</v>
      </c>
      <c r="L59" s="265">
        <v>2.7689924712227598E-2</v>
      </c>
      <c r="M59" s="265">
        <v>2.5088904230486396E-2</v>
      </c>
      <c r="N59" s="265">
        <v>2.6446373436991185E-2</v>
      </c>
      <c r="O59" s="266">
        <v>2.4254166317222676E-2</v>
      </c>
      <c r="P59" s="265">
        <v>2.3178945318509867E-2</v>
      </c>
      <c r="Q59" s="265">
        <v>2.2212239887001564E-2</v>
      </c>
      <c r="R59" s="265">
        <v>2.3059880541020497E-2</v>
      </c>
      <c r="S59" s="265">
        <v>2.2022361657048992E-2</v>
      </c>
      <c r="T59" s="265">
        <v>2.0781602691235933E-2</v>
      </c>
      <c r="U59" s="265">
        <v>2.1434592199556544E-2</v>
      </c>
      <c r="V59" s="265">
        <v>2.052739736438413E-2</v>
      </c>
      <c r="W59" s="265">
        <v>1.9429710868118313E-2</v>
      </c>
      <c r="X59" s="265">
        <v>2.0267050667636413E-2</v>
      </c>
      <c r="Y59" s="265">
        <v>1.891601312703331E-2</v>
      </c>
      <c r="Z59" s="265">
        <v>1.9564979405499446E-2</v>
      </c>
      <c r="AA59" s="266">
        <v>1.8212128000607664E-2</v>
      </c>
      <c r="AB59" s="265">
        <v>1.7284839991344517E-2</v>
      </c>
      <c r="AC59" s="265">
        <v>1.6769210153248323E-2</v>
      </c>
      <c r="AD59" s="265">
        <v>1.7725706779263557E-2</v>
      </c>
      <c r="AE59" s="265">
        <v>1.7120806790166081E-2</v>
      </c>
      <c r="AF59" s="265">
        <v>1.6571561320504441E-2</v>
      </c>
      <c r="AG59" s="265">
        <v>1.7486888128977515E-2</v>
      </c>
      <c r="AH59" s="265">
        <v>1.6844128092539924E-2</v>
      </c>
      <c r="AI59" s="265">
        <v>1.6039059776335889E-2</v>
      </c>
      <c r="AJ59" s="265">
        <v>1.656876561119764E-2</v>
      </c>
      <c r="AK59" s="265">
        <v>1.563425540027728E-2</v>
      </c>
      <c r="AL59" s="265">
        <v>1.5961260912554464E-2</v>
      </c>
      <c r="AM59" s="266">
        <v>1.4946579781853368E-2</v>
      </c>
    </row>
    <row r="60" spans="1:62" x14ac:dyDescent="0.35">
      <c r="A60" s="3" t="s">
        <v>192</v>
      </c>
      <c r="B60" s="3" t="s">
        <v>159</v>
      </c>
      <c r="C60" s="267">
        <v>0</v>
      </c>
      <c r="D60" s="268">
        <v>0</v>
      </c>
      <c r="E60" s="268">
        <v>0</v>
      </c>
      <c r="F60" s="268">
        <v>0</v>
      </c>
      <c r="G60" s="268">
        <v>0</v>
      </c>
      <c r="H60" s="268">
        <v>0</v>
      </c>
      <c r="I60" s="268">
        <v>0</v>
      </c>
      <c r="J60" s="268">
        <v>0</v>
      </c>
      <c r="K60" s="268">
        <v>0</v>
      </c>
      <c r="L60" s="268">
        <v>0</v>
      </c>
      <c r="M60" s="268">
        <v>0</v>
      </c>
      <c r="N60" s="268">
        <v>0</v>
      </c>
      <c r="O60" s="269">
        <v>0</v>
      </c>
      <c r="P60" s="268">
        <v>0</v>
      </c>
      <c r="Q60" s="268">
        <v>0</v>
      </c>
      <c r="R60" s="268">
        <v>0</v>
      </c>
      <c r="S60" s="268">
        <v>0</v>
      </c>
      <c r="T60" s="268">
        <v>0</v>
      </c>
      <c r="U60" s="268">
        <v>0</v>
      </c>
      <c r="V60" s="268">
        <v>0</v>
      </c>
      <c r="W60" s="268">
        <v>0</v>
      </c>
      <c r="X60" s="268">
        <v>0</v>
      </c>
      <c r="Y60" s="268">
        <v>0</v>
      </c>
      <c r="Z60" s="268">
        <v>0</v>
      </c>
      <c r="AA60" s="269">
        <v>0</v>
      </c>
      <c r="AB60" s="268">
        <v>0</v>
      </c>
      <c r="AC60" s="268">
        <v>0</v>
      </c>
      <c r="AD60" s="268">
        <v>0</v>
      </c>
      <c r="AE60" s="268">
        <v>0</v>
      </c>
      <c r="AF60" s="268">
        <v>0</v>
      </c>
      <c r="AG60" s="268">
        <v>0</v>
      </c>
      <c r="AH60" s="268">
        <v>0</v>
      </c>
      <c r="AI60" s="268">
        <v>0</v>
      </c>
      <c r="AJ60" s="268">
        <v>0</v>
      </c>
      <c r="AK60" s="268">
        <v>0</v>
      </c>
      <c r="AL60" s="268">
        <v>0</v>
      </c>
      <c r="AM60" s="269">
        <v>0</v>
      </c>
    </row>
    <row r="62" spans="1:62" x14ac:dyDescent="0.35">
      <c r="A62" s="25" t="s">
        <v>197</v>
      </c>
      <c r="B62" s="4" t="s">
        <v>3</v>
      </c>
      <c r="C62" s="19">
        <f>C56</f>
        <v>45352</v>
      </c>
      <c r="D62" s="20">
        <f>EDATE(C62,1)</f>
        <v>45383</v>
      </c>
      <c r="E62" s="20">
        <f>EDATE(D62,1)</f>
        <v>45413</v>
      </c>
      <c r="F62" s="20">
        <f>EDATE(E62,1)</f>
        <v>45444</v>
      </c>
      <c r="G62" s="20">
        <f t="shared" ref="G62" si="431">EDATE(F62,1)</f>
        <v>45474</v>
      </c>
      <c r="H62" s="20">
        <f t="shared" ref="H62" si="432">EDATE(G62,1)</f>
        <v>45505</v>
      </c>
      <c r="I62" s="20">
        <f t="shared" ref="I62" si="433">EDATE(H62,1)</f>
        <v>45536</v>
      </c>
      <c r="J62" s="20">
        <f t="shared" ref="J62" si="434">EDATE(I62,1)</f>
        <v>45566</v>
      </c>
      <c r="K62" s="20">
        <f t="shared" ref="K62" si="435">EDATE(J62,1)</f>
        <v>45597</v>
      </c>
      <c r="L62" s="20">
        <f t="shared" ref="L62" si="436">EDATE(K62,1)</f>
        <v>45627</v>
      </c>
      <c r="M62" s="20">
        <f t="shared" ref="M62" si="437">EDATE(L62,1)</f>
        <v>45658</v>
      </c>
      <c r="N62" s="20">
        <f t="shared" ref="N62" si="438">EDATE(M62,1)</f>
        <v>45689</v>
      </c>
      <c r="O62" s="21">
        <f t="shared" ref="O62" si="439">EDATE(N62,1)</f>
        <v>45717</v>
      </c>
      <c r="P62" s="20">
        <f t="shared" ref="P62" si="440">EDATE(O62,1)</f>
        <v>45748</v>
      </c>
      <c r="Q62" s="20">
        <f t="shared" ref="Q62" si="441">EDATE(P62,1)</f>
        <v>45778</v>
      </c>
      <c r="R62" s="20">
        <f t="shared" ref="R62" si="442">EDATE(Q62,1)</f>
        <v>45809</v>
      </c>
      <c r="S62" s="20">
        <f t="shared" ref="S62" si="443">EDATE(R62,1)</f>
        <v>45839</v>
      </c>
      <c r="T62" s="20">
        <f t="shared" ref="T62" si="444">EDATE(S62,1)</f>
        <v>45870</v>
      </c>
      <c r="U62" s="20">
        <f t="shared" ref="U62" si="445">EDATE(T62,1)</f>
        <v>45901</v>
      </c>
      <c r="V62" s="20">
        <f t="shared" ref="V62" si="446">EDATE(U62,1)</f>
        <v>45931</v>
      </c>
      <c r="W62" s="20">
        <f t="shared" ref="W62" si="447">EDATE(V62,1)</f>
        <v>45962</v>
      </c>
      <c r="X62" s="20">
        <f t="shared" ref="X62" si="448">EDATE(W62,1)</f>
        <v>45992</v>
      </c>
      <c r="Y62" s="20">
        <f t="shared" ref="Y62" si="449">EDATE(X62,1)</f>
        <v>46023</v>
      </c>
      <c r="Z62" s="20">
        <f t="shared" ref="Z62" si="450">EDATE(Y62,1)</f>
        <v>46054</v>
      </c>
      <c r="AA62" s="21">
        <f t="shared" ref="AA62" si="451">EDATE(Z62,1)</f>
        <v>46082</v>
      </c>
      <c r="AB62" s="20">
        <f t="shared" ref="AB62" si="452">EDATE(AA62,1)</f>
        <v>46113</v>
      </c>
      <c r="AC62" s="20">
        <f t="shared" ref="AC62" si="453">EDATE(AB62,1)</f>
        <v>46143</v>
      </c>
      <c r="AD62" s="20">
        <f t="shared" ref="AD62" si="454">EDATE(AC62,1)</f>
        <v>46174</v>
      </c>
      <c r="AE62" s="20">
        <f t="shared" ref="AE62" si="455">EDATE(AD62,1)</f>
        <v>46204</v>
      </c>
      <c r="AF62" s="20">
        <f t="shared" ref="AF62" si="456">EDATE(AE62,1)</f>
        <v>46235</v>
      </c>
      <c r="AG62" s="20">
        <f t="shared" ref="AG62" si="457">EDATE(AF62,1)</f>
        <v>46266</v>
      </c>
      <c r="AH62" s="20">
        <f t="shared" ref="AH62" si="458">EDATE(AG62,1)</f>
        <v>46296</v>
      </c>
      <c r="AI62" s="20">
        <f t="shared" ref="AI62" si="459">EDATE(AH62,1)</f>
        <v>46327</v>
      </c>
      <c r="AJ62" s="20">
        <f t="shared" ref="AJ62" si="460">EDATE(AI62,1)</f>
        <v>46357</v>
      </c>
      <c r="AK62" s="20">
        <f t="shared" ref="AK62" si="461">EDATE(AJ62,1)</f>
        <v>46388</v>
      </c>
      <c r="AL62" s="20">
        <f t="shared" ref="AL62" si="462">EDATE(AK62,1)</f>
        <v>46419</v>
      </c>
      <c r="AM62" s="21">
        <f t="shared" ref="AM62" si="463">EDATE(AL62,1)</f>
        <v>46447</v>
      </c>
    </row>
    <row r="63" spans="1:62" x14ac:dyDescent="0.35">
      <c r="A63" s="15" t="s">
        <v>197</v>
      </c>
      <c r="B63" s="15" t="s">
        <v>188</v>
      </c>
      <c r="C63" s="16">
        <f>SUM(C64:C66)</f>
        <v>1537.1122814163441</v>
      </c>
      <c r="D63" s="17">
        <f t="shared" ref="D63:AM63" si="464">SUM(D64:D66)</f>
        <v>1510.7936855543539</v>
      </c>
      <c r="E63" s="17">
        <f t="shared" si="464"/>
        <v>1529.1088203715804</v>
      </c>
      <c r="F63" s="17">
        <f t="shared" si="464"/>
        <v>1546.9919925825811</v>
      </c>
      <c r="G63" s="17">
        <f t="shared" si="464"/>
        <v>1556.294561460154</v>
      </c>
      <c r="H63" s="17">
        <f t="shared" si="464"/>
        <v>1571.4590709281251</v>
      </c>
      <c r="I63" s="17">
        <f t="shared" si="464"/>
        <v>1592.4325139991402</v>
      </c>
      <c r="J63" s="17">
        <f t="shared" si="464"/>
        <v>1597.5880035910254</v>
      </c>
      <c r="K63" s="17">
        <f t="shared" si="464"/>
        <v>1613.4657221574398</v>
      </c>
      <c r="L63" s="17">
        <f t="shared" si="464"/>
        <v>1596.4969362336965</v>
      </c>
      <c r="M63" s="17">
        <f t="shared" si="464"/>
        <v>1579.6709186111339</v>
      </c>
      <c r="N63" s="17">
        <f t="shared" si="464"/>
        <v>1592.7523923966428</v>
      </c>
      <c r="O63" s="18">
        <f t="shared" si="464"/>
        <v>1602.3612333946896</v>
      </c>
      <c r="P63" s="17">
        <f t="shared" si="464"/>
        <v>1625.7770990983458</v>
      </c>
      <c r="Q63" s="17">
        <f t="shared" si="464"/>
        <v>1636.143963561266</v>
      </c>
      <c r="R63" s="17">
        <f t="shared" si="464"/>
        <v>1633.876402517918</v>
      </c>
      <c r="S63" s="17">
        <f t="shared" si="464"/>
        <v>1590.5724822194502</v>
      </c>
      <c r="T63" s="17">
        <f t="shared" si="464"/>
        <v>1597.4397720399581</v>
      </c>
      <c r="U63" s="17">
        <f t="shared" si="464"/>
        <v>1604.3027679754446</v>
      </c>
      <c r="V63" s="17">
        <f t="shared" si="464"/>
        <v>1637.5554753801066</v>
      </c>
      <c r="W63" s="17">
        <f t="shared" si="464"/>
        <v>1658.3392587138846</v>
      </c>
      <c r="X63" s="17">
        <f t="shared" si="464"/>
        <v>1680.4704453329214</v>
      </c>
      <c r="Y63" s="17">
        <f t="shared" si="464"/>
        <v>1699.9704286585852</v>
      </c>
      <c r="Z63" s="17">
        <f t="shared" si="464"/>
        <v>1721.6425135380732</v>
      </c>
      <c r="AA63" s="18">
        <f t="shared" si="464"/>
        <v>1741.0038713072379</v>
      </c>
      <c r="AB63" s="17">
        <f t="shared" si="464"/>
        <v>1719.8703102909935</v>
      </c>
      <c r="AC63" s="17">
        <f t="shared" si="464"/>
        <v>1753.6365496822382</v>
      </c>
      <c r="AD63" s="17">
        <f t="shared" si="464"/>
        <v>1780.5080230453964</v>
      </c>
      <c r="AE63" s="17">
        <f t="shared" si="464"/>
        <v>1788.6355180139533</v>
      </c>
      <c r="AF63" s="17">
        <f t="shared" si="464"/>
        <v>1805.5542749168787</v>
      </c>
      <c r="AG63" s="17">
        <f t="shared" si="464"/>
        <v>1835.364400844986</v>
      </c>
      <c r="AH63" s="17">
        <f t="shared" si="464"/>
        <v>1854.2722535373946</v>
      </c>
      <c r="AI63" s="17">
        <f t="shared" si="464"/>
        <v>1880.4448420924916</v>
      </c>
      <c r="AJ63" s="17">
        <f t="shared" si="464"/>
        <v>1906.6429639282599</v>
      </c>
      <c r="AK63" s="17">
        <f t="shared" si="464"/>
        <v>1927.967137168316</v>
      </c>
      <c r="AL63" s="17">
        <f t="shared" si="464"/>
        <v>1944.5750339002102</v>
      </c>
      <c r="AM63" s="18">
        <f t="shared" si="464"/>
        <v>1949.0660729272613</v>
      </c>
    </row>
    <row r="64" spans="1:62" x14ac:dyDescent="0.35">
      <c r="A64" s="1" t="s">
        <v>197</v>
      </c>
      <c r="B64" s="1" t="s">
        <v>157</v>
      </c>
      <c r="C64" s="52">
        <v>908.76109906832028</v>
      </c>
      <c r="D64" s="53">
        <v>880.47771379895369</v>
      </c>
      <c r="E64" s="53">
        <v>891.92143488426836</v>
      </c>
      <c r="F64" s="53">
        <v>901.91769343031888</v>
      </c>
      <c r="G64" s="53">
        <v>909.37972441532884</v>
      </c>
      <c r="H64" s="53">
        <v>922.99974010270387</v>
      </c>
      <c r="I64" s="53">
        <v>945.52697741940847</v>
      </c>
      <c r="J64" s="53">
        <v>951.27323788398485</v>
      </c>
      <c r="K64" s="53">
        <v>968.30853326342094</v>
      </c>
      <c r="L64" s="53">
        <v>985.17412223535894</v>
      </c>
      <c r="M64" s="53">
        <v>1002.8042081531831</v>
      </c>
      <c r="N64" s="53">
        <v>1020.8176570501382</v>
      </c>
      <c r="O64" s="54">
        <v>1036.2276043040329</v>
      </c>
      <c r="P64" s="53">
        <v>1062.0432559462802</v>
      </c>
      <c r="Q64" s="53">
        <v>1078.1363520829609</v>
      </c>
      <c r="R64" s="53">
        <v>1094.8165747659114</v>
      </c>
      <c r="S64" s="53">
        <v>1054.5505823077783</v>
      </c>
      <c r="T64" s="53">
        <v>1069.8530429466332</v>
      </c>
      <c r="U64" s="53">
        <v>1089.6856404724867</v>
      </c>
      <c r="V64" s="53">
        <v>1118.9438603134838</v>
      </c>
      <c r="W64" s="53">
        <v>1137.316307015351</v>
      </c>
      <c r="X64" s="53">
        <v>1162.0532850488373</v>
      </c>
      <c r="Y64" s="53">
        <v>1183.3123796778941</v>
      </c>
      <c r="Z64" s="53">
        <v>1207.3100426400317</v>
      </c>
      <c r="AA64" s="54">
        <v>1225.9774503288313</v>
      </c>
      <c r="AB64" s="53">
        <v>1203.0517806182193</v>
      </c>
      <c r="AC64" s="53">
        <v>1235.1260836773968</v>
      </c>
      <c r="AD64" s="53">
        <v>1265.2242664095384</v>
      </c>
      <c r="AE64" s="53">
        <v>1273.8638037330079</v>
      </c>
      <c r="AF64" s="53">
        <v>1285.7472812031824</v>
      </c>
      <c r="AG64" s="53">
        <v>1309.6053534438215</v>
      </c>
      <c r="AH64" s="53">
        <v>1325.9016942780061</v>
      </c>
      <c r="AI64" s="53">
        <v>1350.3020774999666</v>
      </c>
      <c r="AJ64" s="53">
        <v>1372.8228196959039</v>
      </c>
      <c r="AK64" s="53">
        <v>1391.122596179835</v>
      </c>
      <c r="AL64" s="53">
        <v>1406.5127653242082</v>
      </c>
      <c r="AM64" s="54">
        <v>1410.7053821570087</v>
      </c>
    </row>
    <row r="65" spans="1:39" x14ac:dyDescent="0.35">
      <c r="A65" s="2" t="s">
        <v>197</v>
      </c>
      <c r="B65" s="2" t="s">
        <v>158</v>
      </c>
      <c r="C65" s="55">
        <v>628.35118234802383</v>
      </c>
      <c r="D65" s="56">
        <v>630.31597175540026</v>
      </c>
      <c r="E65" s="56">
        <v>637.18738548731199</v>
      </c>
      <c r="F65" s="56">
        <v>645.07429915226226</v>
      </c>
      <c r="G65" s="56">
        <v>646.91483704482528</v>
      </c>
      <c r="H65" s="56">
        <v>648.45933082542115</v>
      </c>
      <c r="I65" s="56">
        <v>646.90553657973169</v>
      </c>
      <c r="J65" s="56">
        <v>646.31476570704058</v>
      </c>
      <c r="K65" s="56">
        <v>645.15718889401876</v>
      </c>
      <c r="L65" s="56">
        <v>611.32281399833744</v>
      </c>
      <c r="M65" s="56">
        <v>576.86671045795083</v>
      </c>
      <c r="N65" s="56">
        <v>571.93473534650457</v>
      </c>
      <c r="O65" s="57">
        <v>566.13362909065677</v>
      </c>
      <c r="P65" s="56">
        <v>563.73384315206579</v>
      </c>
      <c r="Q65" s="56">
        <v>558.00761147830519</v>
      </c>
      <c r="R65" s="56">
        <v>539.05982775200664</v>
      </c>
      <c r="S65" s="56">
        <v>536.02189991167199</v>
      </c>
      <c r="T65" s="56">
        <v>527.58672909332495</v>
      </c>
      <c r="U65" s="56">
        <v>514.61712750295783</v>
      </c>
      <c r="V65" s="56">
        <v>518.61161506662279</v>
      </c>
      <c r="W65" s="56">
        <v>521.02295169853369</v>
      </c>
      <c r="X65" s="56">
        <v>518.41716028408393</v>
      </c>
      <c r="Y65" s="56">
        <v>516.65804898069109</v>
      </c>
      <c r="Z65" s="56">
        <v>514.33247089804149</v>
      </c>
      <c r="AA65" s="57">
        <v>515.02642097840658</v>
      </c>
      <c r="AB65" s="56">
        <v>516.81852967277439</v>
      </c>
      <c r="AC65" s="56">
        <v>518.51046600484131</v>
      </c>
      <c r="AD65" s="56">
        <v>515.28375663585803</v>
      </c>
      <c r="AE65" s="56">
        <v>514.77171428094539</v>
      </c>
      <c r="AF65" s="56">
        <v>519.80699371369633</v>
      </c>
      <c r="AG65" s="56">
        <v>525.75904740116448</v>
      </c>
      <c r="AH65" s="56">
        <v>528.37055925938853</v>
      </c>
      <c r="AI65" s="56">
        <v>530.14276459252505</v>
      </c>
      <c r="AJ65" s="56">
        <v>533.82014423235591</v>
      </c>
      <c r="AK65" s="56">
        <v>536.84454098848096</v>
      </c>
      <c r="AL65" s="56">
        <v>538.062268576002</v>
      </c>
      <c r="AM65" s="57">
        <v>538.36069077025252</v>
      </c>
    </row>
    <row r="66" spans="1:39" x14ac:dyDescent="0.35">
      <c r="A66" s="3" t="s">
        <v>197</v>
      </c>
      <c r="B66" s="3" t="s">
        <v>159</v>
      </c>
      <c r="C66" s="58">
        <v>0</v>
      </c>
      <c r="D66" s="59">
        <v>0</v>
      </c>
      <c r="E66" s="59">
        <v>0</v>
      </c>
      <c r="F66" s="59">
        <v>0</v>
      </c>
      <c r="G66" s="59">
        <v>0</v>
      </c>
      <c r="H66" s="59">
        <v>0</v>
      </c>
      <c r="I66" s="59">
        <v>0</v>
      </c>
      <c r="J66" s="59">
        <v>0</v>
      </c>
      <c r="K66" s="59">
        <v>0</v>
      </c>
      <c r="L66" s="59">
        <v>0</v>
      </c>
      <c r="M66" s="59">
        <v>0</v>
      </c>
      <c r="N66" s="59">
        <v>0</v>
      </c>
      <c r="O66" s="60">
        <v>0</v>
      </c>
      <c r="P66" s="59">
        <v>0</v>
      </c>
      <c r="Q66" s="59">
        <v>0</v>
      </c>
      <c r="R66" s="59">
        <v>0</v>
      </c>
      <c r="S66" s="59">
        <v>0</v>
      </c>
      <c r="T66" s="59">
        <v>0</v>
      </c>
      <c r="U66" s="59">
        <v>0</v>
      </c>
      <c r="V66" s="59">
        <v>0</v>
      </c>
      <c r="W66" s="59">
        <v>0</v>
      </c>
      <c r="X66" s="59">
        <v>0</v>
      </c>
      <c r="Y66" s="59">
        <v>0</v>
      </c>
      <c r="Z66" s="59">
        <v>0</v>
      </c>
      <c r="AA66" s="60">
        <v>0</v>
      </c>
      <c r="AB66" s="59">
        <v>0</v>
      </c>
      <c r="AC66" s="59">
        <v>0</v>
      </c>
      <c r="AD66" s="59">
        <v>0</v>
      </c>
      <c r="AE66" s="59">
        <v>0</v>
      </c>
      <c r="AF66" s="59">
        <v>0</v>
      </c>
      <c r="AG66" s="59">
        <v>0</v>
      </c>
      <c r="AH66" s="59">
        <v>0</v>
      </c>
      <c r="AI66" s="59">
        <v>0</v>
      </c>
      <c r="AJ66" s="59">
        <v>0</v>
      </c>
      <c r="AK66" s="59">
        <v>0</v>
      </c>
      <c r="AL66" s="59">
        <v>0</v>
      </c>
      <c r="AM66" s="60">
        <v>0</v>
      </c>
    </row>
    <row r="68" spans="1:39" x14ac:dyDescent="0.35">
      <c r="A68" s="25" t="s">
        <v>198</v>
      </c>
      <c r="B68" s="4" t="s">
        <v>3</v>
      </c>
      <c r="C68" s="19">
        <f>C62</f>
        <v>45352</v>
      </c>
      <c r="D68" s="20">
        <f>EDATE(C68,1)</f>
        <v>45383</v>
      </c>
      <c r="E68" s="20">
        <f>EDATE(D68,1)</f>
        <v>45413</v>
      </c>
      <c r="F68" s="20">
        <f>EDATE(E68,1)</f>
        <v>45444</v>
      </c>
      <c r="G68" s="20">
        <f t="shared" ref="G68" si="465">EDATE(F68,1)</f>
        <v>45474</v>
      </c>
      <c r="H68" s="20">
        <f t="shared" ref="H68" si="466">EDATE(G68,1)</f>
        <v>45505</v>
      </c>
      <c r="I68" s="20">
        <f t="shared" ref="I68" si="467">EDATE(H68,1)</f>
        <v>45536</v>
      </c>
      <c r="J68" s="20">
        <f t="shared" ref="J68" si="468">EDATE(I68,1)</f>
        <v>45566</v>
      </c>
      <c r="K68" s="20">
        <f t="shared" ref="K68" si="469">EDATE(J68,1)</f>
        <v>45597</v>
      </c>
      <c r="L68" s="20">
        <f t="shared" ref="L68" si="470">EDATE(K68,1)</f>
        <v>45627</v>
      </c>
      <c r="M68" s="20">
        <f t="shared" ref="M68" si="471">EDATE(L68,1)</f>
        <v>45658</v>
      </c>
      <c r="N68" s="20">
        <f t="shared" ref="N68" si="472">EDATE(M68,1)</f>
        <v>45689</v>
      </c>
      <c r="O68" s="21">
        <f t="shared" ref="O68" si="473">EDATE(N68,1)</f>
        <v>45717</v>
      </c>
      <c r="P68" s="20">
        <f t="shared" ref="P68" si="474">EDATE(O68,1)</f>
        <v>45748</v>
      </c>
      <c r="Q68" s="20">
        <f t="shared" ref="Q68" si="475">EDATE(P68,1)</f>
        <v>45778</v>
      </c>
      <c r="R68" s="20">
        <f t="shared" ref="R68" si="476">EDATE(Q68,1)</f>
        <v>45809</v>
      </c>
      <c r="S68" s="20">
        <f t="shared" ref="S68" si="477">EDATE(R68,1)</f>
        <v>45839</v>
      </c>
      <c r="T68" s="20">
        <f t="shared" ref="T68" si="478">EDATE(S68,1)</f>
        <v>45870</v>
      </c>
      <c r="U68" s="20">
        <f t="shared" ref="U68" si="479">EDATE(T68,1)</f>
        <v>45901</v>
      </c>
      <c r="V68" s="20">
        <f t="shared" ref="V68" si="480">EDATE(U68,1)</f>
        <v>45931</v>
      </c>
      <c r="W68" s="20">
        <f t="shared" ref="W68" si="481">EDATE(V68,1)</f>
        <v>45962</v>
      </c>
      <c r="X68" s="20">
        <f t="shared" ref="X68" si="482">EDATE(W68,1)</f>
        <v>45992</v>
      </c>
      <c r="Y68" s="20">
        <f t="shared" ref="Y68" si="483">EDATE(X68,1)</f>
        <v>46023</v>
      </c>
      <c r="Z68" s="20">
        <f t="shared" ref="Z68" si="484">EDATE(Y68,1)</f>
        <v>46054</v>
      </c>
      <c r="AA68" s="21">
        <f t="shared" ref="AA68" si="485">EDATE(Z68,1)</f>
        <v>46082</v>
      </c>
      <c r="AB68" s="20">
        <f t="shared" ref="AB68" si="486">EDATE(AA68,1)</f>
        <v>46113</v>
      </c>
      <c r="AC68" s="20">
        <f t="shared" ref="AC68" si="487">EDATE(AB68,1)</f>
        <v>46143</v>
      </c>
      <c r="AD68" s="20">
        <f t="shared" ref="AD68" si="488">EDATE(AC68,1)</f>
        <v>46174</v>
      </c>
      <c r="AE68" s="20">
        <f t="shared" ref="AE68" si="489">EDATE(AD68,1)</f>
        <v>46204</v>
      </c>
      <c r="AF68" s="20">
        <f t="shared" ref="AF68" si="490">EDATE(AE68,1)</f>
        <v>46235</v>
      </c>
      <c r="AG68" s="20">
        <f t="shared" ref="AG68" si="491">EDATE(AF68,1)</f>
        <v>46266</v>
      </c>
      <c r="AH68" s="20">
        <f t="shared" ref="AH68" si="492">EDATE(AG68,1)</f>
        <v>46296</v>
      </c>
      <c r="AI68" s="20">
        <f t="shared" ref="AI68" si="493">EDATE(AH68,1)</f>
        <v>46327</v>
      </c>
      <c r="AJ68" s="20">
        <f t="shared" ref="AJ68" si="494">EDATE(AI68,1)</f>
        <v>46357</v>
      </c>
      <c r="AK68" s="20">
        <f t="shared" ref="AK68" si="495">EDATE(AJ68,1)</f>
        <v>46388</v>
      </c>
      <c r="AL68" s="20">
        <f t="shared" ref="AL68" si="496">EDATE(AK68,1)</f>
        <v>46419</v>
      </c>
      <c r="AM68" s="21">
        <f t="shared" ref="AM68" si="497">EDATE(AL68,1)</f>
        <v>46447</v>
      </c>
    </row>
    <row r="69" spans="1:39" x14ac:dyDescent="0.35">
      <c r="A69" s="15" t="s">
        <v>198</v>
      </c>
      <c r="B69" s="15" t="s">
        <v>188</v>
      </c>
      <c r="C69" s="16">
        <f>SUM(C70:C72)</f>
        <v>436.00338763505346</v>
      </c>
      <c r="D69" s="17">
        <f t="shared" ref="D69:AM69" si="498">SUM(D70:D72)</f>
        <v>475.37317517258305</v>
      </c>
      <c r="E69" s="17">
        <f t="shared" si="498"/>
        <v>489.81678024701421</v>
      </c>
      <c r="F69" s="17">
        <f t="shared" si="498"/>
        <v>501.79451017777933</v>
      </c>
      <c r="G69" s="17">
        <f t="shared" si="498"/>
        <v>518.50384155718609</v>
      </c>
      <c r="H69" s="17">
        <f t="shared" si="498"/>
        <v>526.22526647555992</v>
      </c>
      <c r="I69" s="17">
        <f t="shared" si="498"/>
        <v>534.26293262263755</v>
      </c>
      <c r="J69" s="17">
        <f t="shared" si="498"/>
        <v>547.2593021589588</v>
      </c>
      <c r="K69" s="17">
        <f t="shared" si="498"/>
        <v>554.13377983260227</v>
      </c>
      <c r="L69" s="17">
        <f t="shared" si="498"/>
        <v>560.97253794908215</v>
      </c>
      <c r="M69" s="17">
        <f t="shared" si="498"/>
        <v>565.6569325243197</v>
      </c>
      <c r="N69" s="17">
        <f t="shared" si="498"/>
        <v>568.34555511272049</v>
      </c>
      <c r="O69" s="18">
        <f t="shared" si="498"/>
        <v>569.63568887012252</v>
      </c>
      <c r="P69" s="17">
        <f t="shared" si="498"/>
        <v>584.00150319813235</v>
      </c>
      <c r="Q69" s="17">
        <f t="shared" si="498"/>
        <v>592.29714891353467</v>
      </c>
      <c r="R69" s="17">
        <f t="shared" si="498"/>
        <v>603.5318852519772</v>
      </c>
      <c r="S69" s="17">
        <f t="shared" si="498"/>
        <v>624.0814385307865</v>
      </c>
      <c r="T69" s="17">
        <f t="shared" si="498"/>
        <v>637.2012870375022</v>
      </c>
      <c r="U69" s="17">
        <f t="shared" si="498"/>
        <v>652.09609641592317</v>
      </c>
      <c r="V69" s="17">
        <f t="shared" si="498"/>
        <v>672.86281936368482</v>
      </c>
      <c r="W69" s="17">
        <f t="shared" si="498"/>
        <v>685.18650326467503</v>
      </c>
      <c r="X69" s="17">
        <f t="shared" si="498"/>
        <v>696.37903886239815</v>
      </c>
      <c r="Y69" s="17">
        <f t="shared" si="498"/>
        <v>703.67130833467809</v>
      </c>
      <c r="Z69" s="17">
        <f t="shared" si="498"/>
        <v>707.69014237331112</v>
      </c>
      <c r="AA69" s="18">
        <f t="shared" si="498"/>
        <v>708.74983983710672</v>
      </c>
      <c r="AB69" s="17">
        <f t="shared" si="498"/>
        <v>743.719268060991</v>
      </c>
      <c r="AC69" s="17">
        <f t="shared" si="498"/>
        <v>749.4647348765302</v>
      </c>
      <c r="AD69" s="17">
        <f t="shared" si="498"/>
        <v>759.46294034459129</v>
      </c>
      <c r="AE69" s="17">
        <f t="shared" si="498"/>
        <v>781.46939259494252</v>
      </c>
      <c r="AF69" s="17">
        <f t="shared" si="498"/>
        <v>793.99524698504456</v>
      </c>
      <c r="AG69" s="17">
        <f t="shared" si="498"/>
        <v>808.80449873697057</v>
      </c>
      <c r="AH69" s="17">
        <f t="shared" si="498"/>
        <v>831.02436107806182</v>
      </c>
      <c r="AI69" s="17">
        <f t="shared" si="498"/>
        <v>842.5867871766909</v>
      </c>
      <c r="AJ69" s="17">
        <f t="shared" si="498"/>
        <v>852.52344461660346</v>
      </c>
      <c r="AK69" s="17">
        <f t="shared" si="498"/>
        <v>857.21569385009275</v>
      </c>
      <c r="AL69" s="17">
        <f t="shared" si="498"/>
        <v>857.58890393194213</v>
      </c>
      <c r="AM69" s="18">
        <f t="shared" si="498"/>
        <v>853.90130979912874</v>
      </c>
    </row>
    <row r="70" spans="1:39" x14ac:dyDescent="0.35">
      <c r="A70" s="1" t="s">
        <v>198</v>
      </c>
      <c r="B70" s="1" t="s">
        <v>157</v>
      </c>
      <c r="C70" s="52">
        <v>259.51572685058733</v>
      </c>
      <c r="D70" s="53">
        <v>283.14734998087238</v>
      </c>
      <c r="E70" s="53">
        <v>286.36123485386355</v>
      </c>
      <c r="F70" s="53">
        <v>290.2889324272586</v>
      </c>
      <c r="G70" s="53">
        <v>299.58038710916287</v>
      </c>
      <c r="H70" s="53">
        <v>303.93729372671567</v>
      </c>
      <c r="I70" s="53">
        <v>309.79070745183435</v>
      </c>
      <c r="J70" s="53">
        <v>319.97108495089526</v>
      </c>
      <c r="K70" s="53">
        <v>327.19106112584825</v>
      </c>
      <c r="L70" s="53">
        <v>334.53048802061289</v>
      </c>
      <c r="M70" s="53">
        <v>340.65602883391671</v>
      </c>
      <c r="N70" s="53">
        <v>346.2855146123411</v>
      </c>
      <c r="O70" s="54">
        <v>350.35197551138401</v>
      </c>
      <c r="P70" s="53">
        <v>369.96467406970385</v>
      </c>
      <c r="Q70" s="53">
        <v>377.42184824974339</v>
      </c>
      <c r="R70" s="53">
        <v>387.03776588028558</v>
      </c>
      <c r="S70" s="53">
        <v>403.24876583585109</v>
      </c>
      <c r="T70" s="53">
        <v>413.57861020011831</v>
      </c>
      <c r="U70" s="53">
        <v>425.50948533874993</v>
      </c>
      <c r="V70" s="53">
        <v>441.94335491152765</v>
      </c>
      <c r="W70" s="53">
        <v>452.66146802546359</v>
      </c>
      <c r="X70" s="53">
        <v>462.24607788853064</v>
      </c>
      <c r="Y70" s="53">
        <v>469.00486890430921</v>
      </c>
      <c r="Z70" s="53">
        <v>474.20690183728163</v>
      </c>
      <c r="AA70" s="54">
        <v>476.47933885824659</v>
      </c>
      <c r="AB70" s="53">
        <v>517.48254242625273</v>
      </c>
      <c r="AC70" s="53">
        <v>522.69085108175079</v>
      </c>
      <c r="AD70" s="53">
        <v>530.99284352371774</v>
      </c>
      <c r="AE70" s="53">
        <v>547.89536232213743</v>
      </c>
      <c r="AF70" s="53">
        <v>556.87165646500569</v>
      </c>
      <c r="AG70" s="53">
        <v>568.02998194959889</v>
      </c>
      <c r="AH70" s="53">
        <v>585.14749146909276</v>
      </c>
      <c r="AI70" s="53">
        <v>594.9819963234462</v>
      </c>
      <c r="AJ70" s="53">
        <v>603.44697304656972</v>
      </c>
      <c r="AK70" s="53">
        <v>608.23248637584902</v>
      </c>
      <c r="AL70" s="53">
        <v>610.98855745244759</v>
      </c>
      <c r="AM70" s="54">
        <v>609.99991653980021</v>
      </c>
    </row>
    <row r="71" spans="1:39" x14ac:dyDescent="0.35">
      <c r="A71" s="2" t="s">
        <v>198</v>
      </c>
      <c r="B71" s="2" t="s">
        <v>158</v>
      </c>
      <c r="C71" s="55">
        <v>176.48766078446613</v>
      </c>
      <c r="D71" s="56">
        <v>192.22582519171064</v>
      </c>
      <c r="E71" s="56">
        <v>203.45554539315063</v>
      </c>
      <c r="F71" s="56">
        <v>211.50557775052076</v>
      </c>
      <c r="G71" s="56">
        <v>218.92345444802325</v>
      </c>
      <c r="H71" s="56">
        <v>222.2879727488442</v>
      </c>
      <c r="I71" s="56">
        <v>224.47222517080317</v>
      </c>
      <c r="J71" s="56">
        <v>227.28821720806354</v>
      </c>
      <c r="K71" s="56">
        <v>226.94271870675402</v>
      </c>
      <c r="L71" s="56">
        <v>226.44204992846929</v>
      </c>
      <c r="M71" s="56">
        <v>225.00090369040294</v>
      </c>
      <c r="N71" s="56">
        <v>222.06004050037939</v>
      </c>
      <c r="O71" s="57">
        <v>219.28371335873857</v>
      </c>
      <c r="P71" s="56">
        <v>214.03682912842851</v>
      </c>
      <c r="Q71" s="56">
        <v>214.87530066379128</v>
      </c>
      <c r="R71" s="56">
        <v>216.49411937169168</v>
      </c>
      <c r="S71" s="56">
        <v>220.83267269493547</v>
      </c>
      <c r="T71" s="56">
        <v>223.62267683738386</v>
      </c>
      <c r="U71" s="56">
        <v>226.58661107717327</v>
      </c>
      <c r="V71" s="56">
        <v>230.91946445215711</v>
      </c>
      <c r="W71" s="56">
        <v>232.52503523921143</v>
      </c>
      <c r="X71" s="56">
        <v>234.13296097386751</v>
      </c>
      <c r="Y71" s="56">
        <v>234.66643943036888</v>
      </c>
      <c r="Z71" s="56">
        <v>233.48324053602954</v>
      </c>
      <c r="AA71" s="57">
        <v>232.27050097886013</v>
      </c>
      <c r="AB71" s="56">
        <v>226.23672563473821</v>
      </c>
      <c r="AC71" s="56">
        <v>226.77388379477947</v>
      </c>
      <c r="AD71" s="56">
        <v>228.47009682087349</v>
      </c>
      <c r="AE71" s="56">
        <v>233.57403027280506</v>
      </c>
      <c r="AF71" s="56">
        <v>237.12359052003893</v>
      </c>
      <c r="AG71" s="56">
        <v>240.77451678737162</v>
      </c>
      <c r="AH71" s="56">
        <v>245.87686960896906</v>
      </c>
      <c r="AI71" s="56">
        <v>247.60479085324471</v>
      </c>
      <c r="AJ71" s="56">
        <v>249.07647157003379</v>
      </c>
      <c r="AK71" s="56">
        <v>248.98320747424367</v>
      </c>
      <c r="AL71" s="56">
        <v>246.60034647949453</v>
      </c>
      <c r="AM71" s="57">
        <v>243.90139325932859</v>
      </c>
    </row>
    <row r="72" spans="1:39" x14ac:dyDescent="0.35">
      <c r="A72" s="3" t="s">
        <v>198</v>
      </c>
      <c r="B72" s="3" t="s">
        <v>159</v>
      </c>
      <c r="C72" s="58">
        <v>0</v>
      </c>
      <c r="D72" s="59">
        <v>0</v>
      </c>
      <c r="E72" s="59">
        <v>0</v>
      </c>
      <c r="F72" s="59">
        <v>0</v>
      </c>
      <c r="G72" s="59">
        <v>0</v>
      </c>
      <c r="H72" s="59">
        <v>0</v>
      </c>
      <c r="I72" s="59">
        <v>0</v>
      </c>
      <c r="J72" s="59">
        <v>0</v>
      </c>
      <c r="K72" s="59">
        <v>0</v>
      </c>
      <c r="L72" s="59">
        <v>0</v>
      </c>
      <c r="M72" s="59">
        <v>0</v>
      </c>
      <c r="N72" s="59">
        <v>0</v>
      </c>
      <c r="O72" s="60">
        <v>0</v>
      </c>
      <c r="P72" s="59">
        <v>0</v>
      </c>
      <c r="Q72" s="59">
        <v>0</v>
      </c>
      <c r="R72" s="59">
        <v>0</v>
      </c>
      <c r="S72" s="59">
        <v>0</v>
      </c>
      <c r="T72" s="59">
        <v>0</v>
      </c>
      <c r="U72" s="59">
        <v>0</v>
      </c>
      <c r="V72" s="59">
        <v>0</v>
      </c>
      <c r="W72" s="59">
        <v>0</v>
      </c>
      <c r="X72" s="59">
        <v>0</v>
      </c>
      <c r="Y72" s="59">
        <v>0</v>
      </c>
      <c r="Z72" s="59">
        <v>0</v>
      </c>
      <c r="AA72" s="60">
        <v>0</v>
      </c>
      <c r="AB72" s="59">
        <v>0</v>
      </c>
      <c r="AC72" s="59">
        <v>0</v>
      </c>
      <c r="AD72" s="59">
        <v>0</v>
      </c>
      <c r="AE72" s="59">
        <v>0</v>
      </c>
      <c r="AF72" s="59">
        <v>0</v>
      </c>
      <c r="AG72" s="59">
        <v>0</v>
      </c>
      <c r="AH72" s="59">
        <v>0</v>
      </c>
      <c r="AI72" s="59">
        <v>0</v>
      </c>
      <c r="AJ72" s="59">
        <v>0</v>
      </c>
      <c r="AK72" s="59">
        <v>0</v>
      </c>
      <c r="AL72" s="59">
        <v>0</v>
      </c>
      <c r="AM72" s="60">
        <v>0</v>
      </c>
    </row>
    <row r="74" spans="1:39" x14ac:dyDescent="0.35">
      <c r="A74" s="25" t="s">
        <v>203</v>
      </c>
      <c r="B74" s="4" t="s">
        <v>3</v>
      </c>
      <c r="C74" s="19">
        <f>C68</f>
        <v>45352</v>
      </c>
      <c r="D74" s="20">
        <f>EDATE(C74,1)</f>
        <v>45383</v>
      </c>
      <c r="E74" s="20">
        <f>EDATE(D74,1)</f>
        <v>45413</v>
      </c>
      <c r="F74" s="20">
        <f>EDATE(E74,1)</f>
        <v>45444</v>
      </c>
      <c r="G74" s="20">
        <f t="shared" ref="G74" si="499">EDATE(F74,1)</f>
        <v>45474</v>
      </c>
      <c r="H74" s="20">
        <f t="shared" ref="H74" si="500">EDATE(G74,1)</f>
        <v>45505</v>
      </c>
      <c r="I74" s="20">
        <f t="shared" ref="I74" si="501">EDATE(H74,1)</f>
        <v>45536</v>
      </c>
      <c r="J74" s="20">
        <f t="shared" ref="J74" si="502">EDATE(I74,1)</f>
        <v>45566</v>
      </c>
      <c r="K74" s="20">
        <f t="shared" ref="K74" si="503">EDATE(J74,1)</f>
        <v>45597</v>
      </c>
      <c r="L74" s="20">
        <f t="shared" ref="L74" si="504">EDATE(K74,1)</f>
        <v>45627</v>
      </c>
      <c r="M74" s="20">
        <f t="shared" ref="M74" si="505">EDATE(L74,1)</f>
        <v>45658</v>
      </c>
      <c r="N74" s="20">
        <f t="shared" ref="N74" si="506">EDATE(M74,1)</f>
        <v>45689</v>
      </c>
      <c r="O74" s="21">
        <f t="shared" ref="O74" si="507">EDATE(N74,1)</f>
        <v>45717</v>
      </c>
      <c r="P74" s="20">
        <f t="shared" ref="P74" si="508">EDATE(O74,1)</f>
        <v>45748</v>
      </c>
      <c r="Q74" s="20">
        <f t="shared" ref="Q74" si="509">EDATE(P74,1)</f>
        <v>45778</v>
      </c>
      <c r="R74" s="20">
        <f t="shared" ref="R74" si="510">EDATE(Q74,1)</f>
        <v>45809</v>
      </c>
      <c r="S74" s="20">
        <f t="shared" ref="S74" si="511">EDATE(R74,1)</f>
        <v>45839</v>
      </c>
      <c r="T74" s="20">
        <f t="shared" ref="T74" si="512">EDATE(S74,1)</f>
        <v>45870</v>
      </c>
      <c r="U74" s="20">
        <f t="shared" ref="U74" si="513">EDATE(T74,1)</f>
        <v>45901</v>
      </c>
      <c r="V74" s="20">
        <f t="shared" ref="V74" si="514">EDATE(U74,1)</f>
        <v>45931</v>
      </c>
      <c r="W74" s="20">
        <f t="shared" ref="W74" si="515">EDATE(V74,1)</f>
        <v>45962</v>
      </c>
      <c r="X74" s="20">
        <f t="shared" ref="X74" si="516">EDATE(W74,1)</f>
        <v>45992</v>
      </c>
      <c r="Y74" s="20">
        <f t="shared" ref="Y74" si="517">EDATE(X74,1)</f>
        <v>46023</v>
      </c>
      <c r="Z74" s="20">
        <f t="shared" ref="Z74" si="518">EDATE(Y74,1)</f>
        <v>46054</v>
      </c>
      <c r="AA74" s="21">
        <f t="shared" ref="AA74" si="519">EDATE(Z74,1)</f>
        <v>46082</v>
      </c>
      <c r="AB74" s="20">
        <f t="shared" ref="AB74" si="520">EDATE(AA74,1)</f>
        <v>46113</v>
      </c>
      <c r="AC74" s="20">
        <f t="shared" ref="AC74" si="521">EDATE(AB74,1)</f>
        <v>46143</v>
      </c>
      <c r="AD74" s="20">
        <f t="shared" ref="AD74" si="522">EDATE(AC74,1)</f>
        <v>46174</v>
      </c>
      <c r="AE74" s="20">
        <f t="shared" ref="AE74" si="523">EDATE(AD74,1)</f>
        <v>46204</v>
      </c>
      <c r="AF74" s="20">
        <f t="shared" ref="AF74" si="524">EDATE(AE74,1)</f>
        <v>46235</v>
      </c>
      <c r="AG74" s="20">
        <f t="shared" ref="AG74" si="525">EDATE(AF74,1)</f>
        <v>46266</v>
      </c>
      <c r="AH74" s="20">
        <f t="shared" ref="AH74" si="526">EDATE(AG74,1)</f>
        <v>46296</v>
      </c>
      <c r="AI74" s="20">
        <f t="shared" ref="AI74" si="527">EDATE(AH74,1)</f>
        <v>46327</v>
      </c>
      <c r="AJ74" s="20">
        <f t="shared" ref="AJ74" si="528">EDATE(AI74,1)</f>
        <v>46357</v>
      </c>
      <c r="AK74" s="20">
        <f t="shared" ref="AK74" si="529">EDATE(AJ74,1)</f>
        <v>46388</v>
      </c>
      <c r="AL74" s="20">
        <f t="shared" ref="AL74" si="530">EDATE(AK74,1)</f>
        <v>46419</v>
      </c>
      <c r="AM74" s="21">
        <f t="shared" ref="AM74" si="531">EDATE(AL74,1)</f>
        <v>46447</v>
      </c>
    </row>
    <row r="75" spans="1:39" x14ac:dyDescent="0.35">
      <c r="A75" s="15" t="s">
        <v>203</v>
      </c>
      <c r="B75" s="15" t="s">
        <v>188</v>
      </c>
      <c r="C75" s="16">
        <f>SUM(C76:C78)</f>
        <v>598.86710121910528</v>
      </c>
      <c r="D75" s="17">
        <f t="shared" ref="D75:AM75" si="532">SUM(D76:D78)</f>
        <v>592.03714615486069</v>
      </c>
      <c r="E75" s="17">
        <f t="shared" si="532"/>
        <v>599.16257475444809</v>
      </c>
      <c r="F75" s="17">
        <f t="shared" si="532"/>
        <v>606.02881331023332</v>
      </c>
      <c r="G75" s="17">
        <f t="shared" si="532"/>
        <v>609.57154513796445</v>
      </c>
      <c r="H75" s="17">
        <f t="shared" si="532"/>
        <v>615.59713050580558</v>
      </c>
      <c r="I75" s="17">
        <f t="shared" si="532"/>
        <v>624.16287849974924</v>
      </c>
      <c r="J75" s="17">
        <f t="shared" si="532"/>
        <v>625.98172886261045</v>
      </c>
      <c r="K75" s="17">
        <f t="shared" si="532"/>
        <v>632.38831100353786</v>
      </c>
      <c r="L75" s="17">
        <f t="shared" si="532"/>
        <v>626.84104443880062</v>
      </c>
      <c r="M75" s="17">
        <f t="shared" si="532"/>
        <v>621.33825528676266</v>
      </c>
      <c r="N75" s="17">
        <f t="shared" si="532"/>
        <v>626.68014592772874</v>
      </c>
      <c r="O75" s="18">
        <f t="shared" si="532"/>
        <v>630.6085739983173</v>
      </c>
      <c r="P75" s="17">
        <f t="shared" si="532"/>
        <v>639.97430626190908</v>
      </c>
      <c r="Q75" s="17">
        <f t="shared" si="532"/>
        <v>644.17752712417644</v>
      </c>
      <c r="R75" s="17">
        <f t="shared" si="532"/>
        <v>643.76252439617065</v>
      </c>
      <c r="S75" s="17">
        <f t="shared" si="532"/>
        <v>625.09530546716655</v>
      </c>
      <c r="T75" s="17">
        <f t="shared" si="532"/>
        <v>627.95170502348537</v>
      </c>
      <c r="U75" s="17">
        <f t="shared" si="532"/>
        <v>630.98917840633806</v>
      </c>
      <c r="V75" s="17">
        <f t="shared" si="532"/>
        <v>644.17687093292375</v>
      </c>
      <c r="W75" s="17">
        <f t="shared" si="532"/>
        <v>652.25781609418516</v>
      </c>
      <c r="X75" s="17">
        <f t="shared" si="532"/>
        <v>661.18431911590517</v>
      </c>
      <c r="Y75" s="17">
        <f t="shared" si="532"/>
        <v>668.98368031243501</v>
      </c>
      <c r="Z75" s="17">
        <f t="shared" si="532"/>
        <v>677.77721970927132</v>
      </c>
      <c r="AA75" s="18">
        <f t="shared" si="532"/>
        <v>685.47449368378011</v>
      </c>
      <c r="AB75" s="17">
        <f t="shared" si="532"/>
        <v>676.24426549381315</v>
      </c>
      <c r="AC75" s="17">
        <f t="shared" si="532"/>
        <v>689.75086400784653</v>
      </c>
      <c r="AD75" s="17">
        <f t="shared" si="532"/>
        <v>700.64000346057151</v>
      </c>
      <c r="AE75" s="17">
        <f t="shared" si="532"/>
        <v>703.69459591113423</v>
      </c>
      <c r="AF75" s="17">
        <f t="shared" si="532"/>
        <v>710.08145755037299</v>
      </c>
      <c r="AG75" s="17">
        <f t="shared" si="532"/>
        <v>721.73776979726983</v>
      </c>
      <c r="AH75" s="17">
        <f t="shared" si="532"/>
        <v>729.12449550178133</v>
      </c>
      <c r="AI75" s="17">
        <f t="shared" si="532"/>
        <v>739.57595051610724</v>
      </c>
      <c r="AJ75" s="17">
        <f t="shared" si="532"/>
        <v>749.90469788293763</v>
      </c>
      <c r="AK75" s="17">
        <f t="shared" si="532"/>
        <v>758.26408320037683</v>
      </c>
      <c r="AL75" s="17">
        <f t="shared" si="532"/>
        <v>764.79801982241065</v>
      </c>
      <c r="AM75" s="18">
        <f t="shared" si="532"/>
        <v>766.46431597950004</v>
      </c>
    </row>
    <row r="76" spans="1:39" x14ac:dyDescent="0.35">
      <c r="A76" s="1" t="s">
        <v>203</v>
      </c>
      <c r="B76" s="1" t="s">
        <v>157</v>
      </c>
      <c r="C76" s="52">
        <v>373.02985900563851</v>
      </c>
      <c r="D76" s="53">
        <v>365.47188105405905</v>
      </c>
      <c r="E76" s="53">
        <v>370.16583622701285</v>
      </c>
      <c r="F76" s="53">
        <v>374.25903313813251</v>
      </c>
      <c r="G76" s="53">
        <v>377.20195485092847</v>
      </c>
      <c r="H76" s="53">
        <v>382.72387412899377</v>
      </c>
      <c r="I76" s="53">
        <v>391.93786858782812</v>
      </c>
      <c r="J76" s="53">
        <v>394.02402564177169</v>
      </c>
      <c r="K76" s="53">
        <v>400.90053850906304</v>
      </c>
      <c r="L76" s="53">
        <v>407.62264239300305</v>
      </c>
      <c r="M76" s="53">
        <v>414.67618933587369</v>
      </c>
      <c r="N76" s="53">
        <v>421.84430454711213</v>
      </c>
      <c r="O76" s="54">
        <v>427.90858702016692</v>
      </c>
      <c r="P76" s="53">
        <v>438.20325688378796</v>
      </c>
      <c r="Q76" s="53">
        <v>444.53781819382357</v>
      </c>
      <c r="R76" s="53">
        <v>451.03375291268708</v>
      </c>
      <c r="S76" s="53">
        <v>433.52785658324785</v>
      </c>
      <c r="T76" s="53">
        <v>439.48054151254917</v>
      </c>
      <c r="U76" s="53">
        <v>447.2724161169869</v>
      </c>
      <c r="V76" s="53">
        <v>459.07804773262421</v>
      </c>
      <c r="W76" s="53">
        <v>466.3486099580474</v>
      </c>
      <c r="X76" s="53">
        <v>476.26335998724693</v>
      </c>
      <c r="Y76" s="53">
        <v>484.75700568699148</v>
      </c>
      <c r="Z76" s="53">
        <v>494.42541996863656</v>
      </c>
      <c r="AA76" s="54">
        <v>501.91543350706053</v>
      </c>
      <c r="AB76" s="53">
        <v>492.1304902159315</v>
      </c>
      <c r="AC76" s="53">
        <v>505.09386578441695</v>
      </c>
      <c r="AD76" s="53">
        <v>517.18406656347361</v>
      </c>
      <c r="AE76" s="53">
        <v>520.47798556665771</v>
      </c>
      <c r="AF76" s="53">
        <v>525.13237641914202</v>
      </c>
      <c r="AG76" s="53">
        <v>534.72241489864894</v>
      </c>
      <c r="AH76" s="53">
        <v>541.22656644502774</v>
      </c>
      <c r="AI76" s="53">
        <v>551.0882464407797</v>
      </c>
      <c r="AJ76" s="53">
        <v>560.15381691794232</v>
      </c>
      <c r="AK76" s="53">
        <v>567.4858270242853</v>
      </c>
      <c r="AL76" s="53">
        <v>573.63237157240985</v>
      </c>
      <c r="AM76" s="54">
        <v>575.23637555391986</v>
      </c>
    </row>
    <row r="77" spans="1:39" x14ac:dyDescent="0.35">
      <c r="A77" s="2" t="s">
        <v>203</v>
      </c>
      <c r="B77" s="2" t="s">
        <v>158</v>
      </c>
      <c r="C77" s="55">
        <v>225.83724221346682</v>
      </c>
      <c r="D77" s="56">
        <v>226.5652651008017</v>
      </c>
      <c r="E77" s="56">
        <v>228.99673852743524</v>
      </c>
      <c r="F77" s="56">
        <v>231.76978017210087</v>
      </c>
      <c r="G77" s="56">
        <v>232.36959028703592</v>
      </c>
      <c r="H77" s="56">
        <v>232.87325637681175</v>
      </c>
      <c r="I77" s="56">
        <v>232.22500991192106</v>
      </c>
      <c r="J77" s="56">
        <v>231.95770322083879</v>
      </c>
      <c r="K77" s="56">
        <v>231.48777249447477</v>
      </c>
      <c r="L77" s="56">
        <v>219.21840204579757</v>
      </c>
      <c r="M77" s="56">
        <v>206.66206595088903</v>
      </c>
      <c r="N77" s="56">
        <v>204.83584138061661</v>
      </c>
      <c r="O77" s="57">
        <v>202.69998697815043</v>
      </c>
      <c r="P77" s="56">
        <v>201.77104937812118</v>
      </c>
      <c r="Q77" s="56">
        <v>199.63970893035287</v>
      </c>
      <c r="R77" s="56">
        <v>192.72877148348351</v>
      </c>
      <c r="S77" s="56">
        <v>191.56744888391864</v>
      </c>
      <c r="T77" s="56">
        <v>188.47116351093618</v>
      </c>
      <c r="U77" s="56">
        <v>183.71676228935112</v>
      </c>
      <c r="V77" s="56">
        <v>185.09882320029959</v>
      </c>
      <c r="W77" s="56">
        <v>185.90920613613778</v>
      </c>
      <c r="X77" s="56">
        <v>184.92095912865827</v>
      </c>
      <c r="Y77" s="56">
        <v>184.22667462544354</v>
      </c>
      <c r="Z77" s="56">
        <v>183.35179974063476</v>
      </c>
      <c r="AA77" s="57">
        <v>183.55906017671953</v>
      </c>
      <c r="AB77" s="56">
        <v>184.11377527788164</v>
      </c>
      <c r="AC77" s="56">
        <v>184.65699822342958</v>
      </c>
      <c r="AD77" s="56">
        <v>183.45593689709787</v>
      </c>
      <c r="AE77" s="56">
        <v>183.21661034447649</v>
      </c>
      <c r="AF77" s="56">
        <v>184.94908113123091</v>
      </c>
      <c r="AG77" s="56">
        <v>187.0153548986209</v>
      </c>
      <c r="AH77" s="56">
        <v>187.89792905675358</v>
      </c>
      <c r="AI77" s="56">
        <v>188.4877040753276</v>
      </c>
      <c r="AJ77" s="56">
        <v>189.75088096499525</v>
      </c>
      <c r="AK77" s="56">
        <v>190.77825617609153</v>
      </c>
      <c r="AL77" s="56">
        <v>191.16564825000074</v>
      </c>
      <c r="AM77" s="57">
        <v>191.22794042558019</v>
      </c>
    </row>
    <row r="78" spans="1:39" x14ac:dyDescent="0.35">
      <c r="A78" s="3" t="s">
        <v>203</v>
      </c>
      <c r="B78" s="3" t="s">
        <v>159</v>
      </c>
      <c r="C78" s="58">
        <v>0</v>
      </c>
      <c r="D78" s="59">
        <v>0</v>
      </c>
      <c r="E78" s="59">
        <v>0</v>
      </c>
      <c r="F78" s="59">
        <v>0</v>
      </c>
      <c r="G78" s="59">
        <v>0</v>
      </c>
      <c r="H78" s="59">
        <v>0</v>
      </c>
      <c r="I78" s="59">
        <v>0</v>
      </c>
      <c r="J78" s="59">
        <v>0</v>
      </c>
      <c r="K78" s="59">
        <v>0</v>
      </c>
      <c r="L78" s="59">
        <v>0</v>
      </c>
      <c r="M78" s="59">
        <v>0</v>
      </c>
      <c r="N78" s="59">
        <v>0</v>
      </c>
      <c r="O78" s="60">
        <v>0</v>
      </c>
      <c r="P78" s="59">
        <v>0</v>
      </c>
      <c r="Q78" s="59">
        <v>0</v>
      </c>
      <c r="R78" s="59">
        <v>0</v>
      </c>
      <c r="S78" s="59">
        <v>0</v>
      </c>
      <c r="T78" s="59">
        <v>0</v>
      </c>
      <c r="U78" s="59">
        <v>0</v>
      </c>
      <c r="V78" s="59">
        <v>0</v>
      </c>
      <c r="W78" s="59">
        <v>0</v>
      </c>
      <c r="X78" s="59">
        <v>0</v>
      </c>
      <c r="Y78" s="59">
        <v>0</v>
      </c>
      <c r="Z78" s="59">
        <v>0</v>
      </c>
      <c r="AA78" s="60">
        <v>0</v>
      </c>
      <c r="AB78" s="59">
        <v>0</v>
      </c>
      <c r="AC78" s="59">
        <v>0</v>
      </c>
      <c r="AD78" s="59">
        <v>0</v>
      </c>
      <c r="AE78" s="59">
        <v>0</v>
      </c>
      <c r="AF78" s="59">
        <v>0</v>
      </c>
      <c r="AG78" s="59">
        <v>0</v>
      </c>
      <c r="AH78" s="59">
        <v>0</v>
      </c>
      <c r="AI78" s="59">
        <v>0</v>
      </c>
      <c r="AJ78" s="59">
        <v>0</v>
      </c>
      <c r="AK78" s="59">
        <v>0</v>
      </c>
      <c r="AL78" s="59">
        <v>0</v>
      </c>
      <c r="AM78" s="60">
        <v>0</v>
      </c>
    </row>
    <row r="80" spans="1:39" x14ac:dyDescent="0.35">
      <c r="A80" s="25" t="s">
        <v>202</v>
      </c>
      <c r="B80" s="4" t="s">
        <v>3</v>
      </c>
      <c r="C80" s="19">
        <f>C74</f>
        <v>45352</v>
      </c>
      <c r="D80" s="20">
        <f>EDATE(C80,1)</f>
        <v>45383</v>
      </c>
      <c r="E80" s="20">
        <f>EDATE(D80,1)</f>
        <v>45413</v>
      </c>
      <c r="F80" s="20">
        <f>EDATE(E80,1)</f>
        <v>45444</v>
      </c>
      <c r="G80" s="20">
        <f t="shared" ref="G80" si="533">EDATE(F80,1)</f>
        <v>45474</v>
      </c>
      <c r="H80" s="20">
        <f t="shared" ref="H80" si="534">EDATE(G80,1)</f>
        <v>45505</v>
      </c>
      <c r="I80" s="20">
        <f t="shared" ref="I80" si="535">EDATE(H80,1)</f>
        <v>45536</v>
      </c>
      <c r="J80" s="20">
        <f t="shared" ref="J80" si="536">EDATE(I80,1)</f>
        <v>45566</v>
      </c>
      <c r="K80" s="20">
        <f t="shared" ref="K80" si="537">EDATE(J80,1)</f>
        <v>45597</v>
      </c>
      <c r="L80" s="20">
        <f t="shared" ref="L80" si="538">EDATE(K80,1)</f>
        <v>45627</v>
      </c>
      <c r="M80" s="20">
        <f t="shared" ref="M80" si="539">EDATE(L80,1)</f>
        <v>45658</v>
      </c>
      <c r="N80" s="20">
        <f t="shared" ref="N80" si="540">EDATE(M80,1)</f>
        <v>45689</v>
      </c>
      <c r="O80" s="21">
        <f t="shared" ref="O80" si="541">EDATE(N80,1)</f>
        <v>45717</v>
      </c>
      <c r="P80" s="20">
        <f t="shared" ref="P80" si="542">EDATE(O80,1)</f>
        <v>45748</v>
      </c>
      <c r="Q80" s="20">
        <f t="shared" ref="Q80" si="543">EDATE(P80,1)</f>
        <v>45778</v>
      </c>
      <c r="R80" s="20">
        <f t="shared" ref="R80" si="544">EDATE(Q80,1)</f>
        <v>45809</v>
      </c>
      <c r="S80" s="20">
        <f t="shared" ref="S80" si="545">EDATE(R80,1)</f>
        <v>45839</v>
      </c>
      <c r="T80" s="20">
        <f t="shared" ref="T80" si="546">EDATE(S80,1)</f>
        <v>45870</v>
      </c>
      <c r="U80" s="20">
        <f t="shared" ref="U80" si="547">EDATE(T80,1)</f>
        <v>45901</v>
      </c>
      <c r="V80" s="20">
        <f t="shared" ref="V80" si="548">EDATE(U80,1)</f>
        <v>45931</v>
      </c>
      <c r="W80" s="20">
        <f t="shared" ref="W80" si="549">EDATE(V80,1)</f>
        <v>45962</v>
      </c>
      <c r="X80" s="20">
        <f t="shared" ref="X80" si="550">EDATE(W80,1)</f>
        <v>45992</v>
      </c>
      <c r="Y80" s="20">
        <f t="shared" ref="Y80" si="551">EDATE(X80,1)</f>
        <v>46023</v>
      </c>
      <c r="Z80" s="20">
        <f t="shared" ref="Z80" si="552">EDATE(Y80,1)</f>
        <v>46054</v>
      </c>
      <c r="AA80" s="21">
        <f t="shared" ref="AA80" si="553">EDATE(Z80,1)</f>
        <v>46082</v>
      </c>
      <c r="AB80" s="20">
        <f t="shared" ref="AB80" si="554">EDATE(AA80,1)</f>
        <v>46113</v>
      </c>
      <c r="AC80" s="20">
        <f t="shared" ref="AC80" si="555">EDATE(AB80,1)</f>
        <v>46143</v>
      </c>
      <c r="AD80" s="20">
        <f t="shared" ref="AD80" si="556">EDATE(AC80,1)</f>
        <v>46174</v>
      </c>
      <c r="AE80" s="20">
        <f t="shared" ref="AE80" si="557">EDATE(AD80,1)</f>
        <v>46204</v>
      </c>
      <c r="AF80" s="20">
        <f t="shared" ref="AF80" si="558">EDATE(AE80,1)</f>
        <v>46235</v>
      </c>
      <c r="AG80" s="20">
        <f t="shared" ref="AG80" si="559">EDATE(AF80,1)</f>
        <v>46266</v>
      </c>
      <c r="AH80" s="20">
        <f t="shared" ref="AH80" si="560">EDATE(AG80,1)</f>
        <v>46296</v>
      </c>
      <c r="AI80" s="20">
        <f t="shared" ref="AI80" si="561">EDATE(AH80,1)</f>
        <v>46327</v>
      </c>
      <c r="AJ80" s="20">
        <f t="shared" ref="AJ80" si="562">EDATE(AI80,1)</f>
        <v>46357</v>
      </c>
      <c r="AK80" s="20">
        <f t="shared" ref="AK80" si="563">EDATE(AJ80,1)</f>
        <v>46388</v>
      </c>
      <c r="AL80" s="20">
        <f t="shared" ref="AL80" si="564">EDATE(AK80,1)</f>
        <v>46419</v>
      </c>
      <c r="AM80" s="21">
        <f t="shared" ref="AM80" si="565">EDATE(AL80,1)</f>
        <v>46447</v>
      </c>
    </row>
    <row r="81" spans="1:39" x14ac:dyDescent="0.35">
      <c r="A81" s="15" t="s">
        <v>202</v>
      </c>
      <c r="B81" s="15" t="s">
        <v>188</v>
      </c>
      <c r="C81" s="16">
        <f>SUM(C82:C84)</f>
        <v>86.947681604459376</v>
      </c>
      <c r="D81" s="17">
        <f t="shared" ref="D81:AM81" si="566">SUM(D82:D84)</f>
        <v>96.412798512364489</v>
      </c>
      <c r="E81" s="17">
        <f t="shared" si="566"/>
        <v>99.14564583277361</v>
      </c>
      <c r="F81" s="17">
        <f t="shared" si="566"/>
        <v>100.97885938881348</v>
      </c>
      <c r="G81" s="17">
        <f t="shared" si="566"/>
        <v>103.50267600283284</v>
      </c>
      <c r="H81" s="17">
        <f t="shared" si="566"/>
        <v>104.16704414985763</v>
      </c>
      <c r="I81" s="17">
        <f t="shared" si="566"/>
        <v>104.93506808948261</v>
      </c>
      <c r="J81" s="17">
        <f t="shared" si="566"/>
        <v>106.67183187408398</v>
      </c>
      <c r="K81" s="17">
        <f t="shared" si="566"/>
        <v>107.23969210490269</v>
      </c>
      <c r="L81" s="17">
        <f t="shared" si="566"/>
        <v>107.8532131118033</v>
      </c>
      <c r="M81" s="17">
        <f t="shared" si="566"/>
        <v>108.09009380025996</v>
      </c>
      <c r="N81" s="17">
        <f t="shared" si="566"/>
        <v>108.02623117548329</v>
      </c>
      <c r="O81" s="18">
        <f t="shared" si="566"/>
        <v>107.7543302112346</v>
      </c>
      <c r="P81" s="17">
        <f t="shared" si="566"/>
        <v>109.86266611085517</v>
      </c>
      <c r="Q81" s="17">
        <f t="shared" si="566"/>
        <v>111.7442918535225</v>
      </c>
      <c r="R81" s="17">
        <f t="shared" si="566"/>
        <v>114.1426333425419</v>
      </c>
      <c r="S81" s="17">
        <f t="shared" si="566"/>
        <v>115.79001208635437</v>
      </c>
      <c r="T81" s="17">
        <f t="shared" si="566"/>
        <v>117.80277373583178</v>
      </c>
      <c r="U81" s="17">
        <f t="shared" si="566"/>
        <v>120.16082651644854</v>
      </c>
      <c r="V81" s="17">
        <f t="shared" si="566"/>
        <v>123.58366946336095</v>
      </c>
      <c r="W81" s="17">
        <f t="shared" si="566"/>
        <v>125.46662404020739</v>
      </c>
      <c r="X81" s="17">
        <f t="shared" si="566"/>
        <v>127.16366052559799</v>
      </c>
      <c r="Y81" s="17">
        <f t="shared" si="566"/>
        <v>128.13586832277096</v>
      </c>
      <c r="Z81" s="17">
        <f t="shared" si="566"/>
        <v>128.57379920297566</v>
      </c>
      <c r="AA81" s="18">
        <f t="shared" si="566"/>
        <v>128.50520941552361</v>
      </c>
      <c r="AB81" s="17">
        <f t="shared" si="566"/>
        <v>133.02665795110289</v>
      </c>
      <c r="AC81" s="17">
        <f t="shared" si="566"/>
        <v>133.95786035416637</v>
      </c>
      <c r="AD81" s="17">
        <f t="shared" si="566"/>
        <v>135.6257414338067</v>
      </c>
      <c r="AE81" s="17">
        <f t="shared" si="566"/>
        <v>139.35410349264902</v>
      </c>
      <c r="AF81" s="17">
        <f t="shared" si="566"/>
        <v>141.31304876172305</v>
      </c>
      <c r="AG81" s="17">
        <f t="shared" si="566"/>
        <v>143.69674402018339</v>
      </c>
      <c r="AH81" s="17">
        <f t="shared" si="566"/>
        <v>147.38094610789332</v>
      </c>
      <c r="AI81" s="17">
        <f t="shared" si="566"/>
        <v>149.16567017933951</v>
      </c>
      <c r="AJ81" s="17">
        <f t="shared" si="566"/>
        <v>150.67172104548007</v>
      </c>
      <c r="AK81" s="17">
        <f t="shared" si="566"/>
        <v>151.20717092552698</v>
      </c>
      <c r="AL81" s="17">
        <f t="shared" si="566"/>
        <v>151.04173592582387</v>
      </c>
      <c r="AM81" s="18">
        <f t="shared" si="566"/>
        <v>150.17853523237673</v>
      </c>
    </row>
    <row r="82" spans="1:39" x14ac:dyDescent="0.35">
      <c r="A82" s="1" t="s">
        <v>202</v>
      </c>
      <c r="B82" s="1" t="s">
        <v>157</v>
      </c>
      <c r="C82" s="52">
        <v>55.047006846762471</v>
      </c>
      <c r="D82" s="53">
        <v>59.981504684330389</v>
      </c>
      <c r="E82" s="53">
        <v>60.58869993845363</v>
      </c>
      <c r="F82" s="53">
        <v>61.041105033290378</v>
      </c>
      <c r="G82" s="53">
        <v>62.373476367921583</v>
      </c>
      <c r="H82" s="53">
        <v>62.653093462121404</v>
      </c>
      <c r="I82" s="53">
        <v>63.256024322992545</v>
      </c>
      <c r="J82" s="53">
        <v>64.70455806124032</v>
      </c>
      <c r="K82" s="53">
        <v>65.565306752840272</v>
      </c>
      <c r="L82" s="53">
        <v>66.487201993982666</v>
      </c>
      <c r="M82" s="53">
        <v>67.178625089250588</v>
      </c>
      <c r="N82" s="53">
        <v>67.831371527658931</v>
      </c>
      <c r="O82" s="54">
        <v>68.237819280260339</v>
      </c>
      <c r="P82" s="53">
        <v>71.4545661467792</v>
      </c>
      <c r="Q82" s="53">
        <v>73.338208404846085</v>
      </c>
      <c r="R82" s="53">
        <v>75.608224727337102</v>
      </c>
      <c r="S82" s="53">
        <v>76.653254226826888</v>
      </c>
      <c r="T82" s="53">
        <v>78.341236664440402</v>
      </c>
      <c r="U82" s="53">
        <v>80.331920431806864</v>
      </c>
      <c r="V82" s="53">
        <v>83.137696108867786</v>
      </c>
      <c r="W82" s="53">
        <v>84.875108530669152</v>
      </c>
      <c r="X82" s="53">
        <v>86.419403000118081</v>
      </c>
      <c r="Y82" s="53">
        <v>87.410416004140032</v>
      </c>
      <c r="Z82" s="53">
        <v>88.160396325231829</v>
      </c>
      <c r="AA82" s="54">
        <v>88.4057150345011</v>
      </c>
      <c r="AB82" s="53">
        <v>94.226386792496996</v>
      </c>
      <c r="AC82" s="53">
        <v>95.321813355169482</v>
      </c>
      <c r="AD82" s="53">
        <v>96.967789644951878</v>
      </c>
      <c r="AE82" s="53">
        <v>100.1065291091237</v>
      </c>
      <c r="AF82" s="53">
        <v>101.74793356322765</v>
      </c>
      <c r="AG82" s="53">
        <v>103.79129829921963</v>
      </c>
      <c r="AH82" s="53">
        <v>106.88362066805335</v>
      </c>
      <c r="AI82" s="53">
        <v>108.6437496165357</v>
      </c>
      <c r="AJ82" s="53">
        <v>110.16481557291682</v>
      </c>
      <c r="AK82" s="53">
        <v>110.96827435069042</v>
      </c>
      <c r="AL82" s="53">
        <v>111.45274000009346</v>
      </c>
      <c r="AM82" s="54">
        <v>111.28941419629957</v>
      </c>
    </row>
    <row r="83" spans="1:39" x14ac:dyDescent="0.35">
      <c r="A83" s="2" t="s">
        <v>202</v>
      </c>
      <c r="B83" s="2" t="s">
        <v>158</v>
      </c>
      <c r="C83" s="55">
        <v>31.900674757696905</v>
      </c>
      <c r="D83" s="56">
        <v>36.4312938280341</v>
      </c>
      <c r="E83" s="56">
        <v>38.556945894319981</v>
      </c>
      <c r="F83" s="56">
        <v>39.937754355523104</v>
      </c>
      <c r="G83" s="56">
        <v>41.129199634911259</v>
      </c>
      <c r="H83" s="56">
        <v>41.513950687736227</v>
      </c>
      <c r="I83" s="56">
        <v>41.679043766490068</v>
      </c>
      <c r="J83" s="56">
        <v>41.967273812843665</v>
      </c>
      <c r="K83" s="56">
        <v>41.674385352062416</v>
      </c>
      <c r="L83" s="56">
        <v>41.366011117820634</v>
      </c>
      <c r="M83" s="56">
        <v>40.911468711009377</v>
      </c>
      <c r="N83" s="56">
        <v>40.194859647824359</v>
      </c>
      <c r="O83" s="57">
        <v>39.516510930974263</v>
      </c>
      <c r="P83" s="56">
        <v>38.408099964075973</v>
      </c>
      <c r="Q83" s="56">
        <v>38.406083448676405</v>
      </c>
      <c r="R83" s="56">
        <v>38.534408615204789</v>
      </c>
      <c r="S83" s="56">
        <v>39.136757859527478</v>
      </c>
      <c r="T83" s="56">
        <v>39.461537071391383</v>
      </c>
      <c r="U83" s="56">
        <v>39.828906084641673</v>
      </c>
      <c r="V83" s="56">
        <v>40.445973354493162</v>
      </c>
      <c r="W83" s="56">
        <v>40.591515509538247</v>
      </c>
      <c r="X83" s="56">
        <v>40.74425752547991</v>
      </c>
      <c r="Y83" s="56">
        <v>40.725452318630921</v>
      </c>
      <c r="Z83" s="56">
        <v>40.413402877743835</v>
      </c>
      <c r="AA83" s="57">
        <v>40.099494381022524</v>
      </c>
      <c r="AB83" s="56">
        <v>38.800271158605909</v>
      </c>
      <c r="AC83" s="56">
        <v>38.636046998996896</v>
      </c>
      <c r="AD83" s="56">
        <v>38.657951788854824</v>
      </c>
      <c r="AE83" s="56">
        <v>39.247574383525304</v>
      </c>
      <c r="AF83" s="56">
        <v>39.565115198495413</v>
      </c>
      <c r="AG83" s="56">
        <v>39.905445720963748</v>
      </c>
      <c r="AH83" s="56">
        <v>40.497325439839962</v>
      </c>
      <c r="AI83" s="56">
        <v>40.521920562803807</v>
      </c>
      <c r="AJ83" s="56">
        <v>40.506905472563247</v>
      </c>
      <c r="AK83" s="56">
        <v>40.238896574836552</v>
      </c>
      <c r="AL83" s="56">
        <v>39.588995925730416</v>
      </c>
      <c r="AM83" s="57">
        <v>38.889121036077164</v>
      </c>
    </row>
    <row r="84" spans="1:39" x14ac:dyDescent="0.35">
      <c r="A84" s="3" t="s">
        <v>202</v>
      </c>
      <c r="B84" s="3" t="s">
        <v>159</v>
      </c>
      <c r="C84" s="58">
        <v>0</v>
      </c>
      <c r="D84" s="59">
        <v>0</v>
      </c>
      <c r="E84" s="59">
        <v>0</v>
      </c>
      <c r="F84" s="59">
        <v>0</v>
      </c>
      <c r="G84" s="59">
        <v>0</v>
      </c>
      <c r="H84" s="59">
        <v>0</v>
      </c>
      <c r="I84" s="59">
        <v>0</v>
      </c>
      <c r="J84" s="59">
        <v>0</v>
      </c>
      <c r="K84" s="59">
        <v>0</v>
      </c>
      <c r="L84" s="59">
        <v>0</v>
      </c>
      <c r="M84" s="59">
        <v>0</v>
      </c>
      <c r="N84" s="59">
        <v>0</v>
      </c>
      <c r="O84" s="60">
        <v>0</v>
      </c>
      <c r="P84" s="59">
        <v>0</v>
      </c>
      <c r="Q84" s="59">
        <v>0</v>
      </c>
      <c r="R84" s="59">
        <v>0</v>
      </c>
      <c r="S84" s="59">
        <v>0</v>
      </c>
      <c r="T84" s="59">
        <v>0</v>
      </c>
      <c r="U84" s="59">
        <v>0</v>
      </c>
      <c r="V84" s="59">
        <v>0</v>
      </c>
      <c r="W84" s="59">
        <v>0</v>
      </c>
      <c r="X84" s="59">
        <v>0</v>
      </c>
      <c r="Y84" s="59">
        <v>0</v>
      </c>
      <c r="Z84" s="59">
        <v>0</v>
      </c>
      <c r="AA84" s="60">
        <v>0</v>
      </c>
      <c r="AB84" s="59">
        <v>0</v>
      </c>
      <c r="AC84" s="59">
        <v>0</v>
      </c>
      <c r="AD84" s="59">
        <v>0</v>
      </c>
      <c r="AE84" s="59">
        <v>0</v>
      </c>
      <c r="AF84" s="59">
        <v>0</v>
      </c>
      <c r="AG84" s="59">
        <v>0</v>
      </c>
      <c r="AH84" s="59">
        <v>0</v>
      </c>
      <c r="AI84" s="59">
        <v>0</v>
      </c>
      <c r="AJ84" s="59">
        <v>0</v>
      </c>
      <c r="AK84" s="59">
        <v>0</v>
      </c>
      <c r="AL84" s="59">
        <v>0</v>
      </c>
      <c r="AM84" s="60">
        <v>0</v>
      </c>
    </row>
    <row r="86" spans="1:39" x14ac:dyDescent="0.35">
      <c r="A86" s="25" t="s">
        <v>210</v>
      </c>
      <c r="B86" s="4" t="s">
        <v>3</v>
      </c>
      <c r="C86" s="19">
        <f>C80</f>
        <v>45352</v>
      </c>
      <c r="D86" s="20">
        <f>EDATE(C86,1)</f>
        <v>45383</v>
      </c>
      <c r="E86" s="20">
        <f>EDATE(D86,1)</f>
        <v>45413</v>
      </c>
      <c r="F86" s="20">
        <f>EDATE(E86,1)</f>
        <v>45444</v>
      </c>
      <c r="G86" s="20">
        <f t="shared" ref="G86" si="567">EDATE(F86,1)</f>
        <v>45474</v>
      </c>
      <c r="H86" s="20">
        <f t="shared" ref="H86" si="568">EDATE(G86,1)</f>
        <v>45505</v>
      </c>
      <c r="I86" s="20">
        <f t="shared" ref="I86" si="569">EDATE(H86,1)</f>
        <v>45536</v>
      </c>
      <c r="J86" s="20">
        <f t="shared" ref="J86" si="570">EDATE(I86,1)</f>
        <v>45566</v>
      </c>
      <c r="K86" s="20">
        <f t="shared" ref="K86" si="571">EDATE(J86,1)</f>
        <v>45597</v>
      </c>
      <c r="L86" s="20">
        <f t="shared" ref="L86" si="572">EDATE(K86,1)</f>
        <v>45627</v>
      </c>
      <c r="M86" s="20">
        <f t="shared" ref="M86" si="573">EDATE(L86,1)</f>
        <v>45658</v>
      </c>
      <c r="N86" s="20">
        <f t="shared" ref="N86" si="574">EDATE(M86,1)</f>
        <v>45689</v>
      </c>
      <c r="O86" s="21">
        <f t="shared" ref="O86" si="575">EDATE(N86,1)</f>
        <v>45717</v>
      </c>
      <c r="P86" s="20">
        <f t="shared" ref="P86" si="576">EDATE(O86,1)</f>
        <v>45748</v>
      </c>
      <c r="Q86" s="20">
        <f t="shared" ref="Q86" si="577">EDATE(P86,1)</f>
        <v>45778</v>
      </c>
      <c r="R86" s="20">
        <f t="shared" ref="R86" si="578">EDATE(Q86,1)</f>
        <v>45809</v>
      </c>
      <c r="S86" s="20">
        <f t="shared" ref="S86" si="579">EDATE(R86,1)</f>
        <v>45839</v>
      </c>
      <c r="T86" s="20">
        <f t="shared" ref="T86" si="580">EDATE(S86,1)</f>
        <v>45870</v>
      </c>
      <c r="U86" s="20">
        <f t="shared" ref="U86" si="581">EDATE(T86,1)</f>
        <v>45901</v>
      </c>
      <c r="V86" s="20">
        <f t="shared" ref="V86" si="582">EDATE(U86,1)</f>
        <v>45931</v>
      </c>
      <c r="W86" s="20">
        <f t="shared" ref="W86" si="583">EDATE(V86,1)</f>
        <v>45962</v>
      </c>
      <c r="X86" s="20">
        <f t="shared" ref="X86" si="584">EDATE(W86,1)</f>
        <v>45992</v>
      </c>
      <c r="Y86" s="20">
        <f t="shared" ref="Y86" si="585">EDATE(X86,1)</f>
        <v>46023</v>
      </c>
      <c r="Z86" s="20">
        <f t="shared" ref="Z86" si="586">EDATE(Y86,1)</f>
        <v>46054</v>
      </c>
      <c r="AA86" s="21">
        <f t="shared" ref="AA86" si="587">EDATE(Z86,1)</f>
        <v>46082</v>
      </c>
      <c r="AB86" s="20">
        <f t="shared" ref="AB86" si="588">EDATE(AA86,1)</f>
        <v>46113</v>
      </c>
      <c r="AC86" s="20">
        <f t="shared" ref="AC86" si="589">EDATE(AB86,1)</f>
        <v>46143</v>
      </c>
      <c r="AD86" s="20">
        <f t="shared" ref="AD86" si="590">EDATE(AC86,1)</f>
        <v>46174</v>
      </c>
      <c r="AE86" s="20">
        <f t="shared" ref="AE86" si="591">EDATE(AD86,1)</f>
        <v>46204</v>
      </c>
      <c r="AF86" s="20">
        <f t="shared" ref="AF86" si="592">EDATE(AE86,1)</f>
        <v>46235</v>
      </c>
      <c r="AG86" s="20">
        <f t="shared" ref="AG86" si="593">EDATE(AF86,1)</f>
        <v>46266</v>
      </c>
      <c r="AH86" s="20">
        <f t="shared" ref="AH86" si="594">EDATE(AG86,1)</f>
        <v>46296</v>
      </c>
      <c r="AI86" s="20">
        <f t="shared" ref="AI86" si="595">EDATE(AH86,1)</f>
        <v>46327</v>
      </c>
      <c r="AJ86" s="20">
        <f t="shared" ref="AJ86" si="596">EDATE(AI86,1)</f>
        <v>46357</v>
      </c>
      <c r="AK86" s="20">
        <f t="shared" ref="AK86" si="597">EDATE(AJ86,1)</f>
        <v>46388</v>
      </c>
      <c r="AL86" s="20">
        <f t="shared" ref="AL86" si="598">EDATE(AK86,1)</f>
        <v>46419</v>
      </c>
      <c r="AM86" s="21">
        <f t="shared" ref="AM86" si="599">EDATE(AL86,1)</f>
        <v>46447</v>
      </c>
    </row>
    <row r="87" spans="1:39" x14ac:dyDescent="0.35">
      <c r="A87" s="15" t="s">
        <v>201</v>
      </c>
      <c r="B87" s="15" t="s">
        <v>188</v>
      </c>
      <c r="C87" s="16">
        <f>SUM(C88:C90)</f>
        <v>98.355415030653845</v>
      </c>
      <c r="D87" s="17">
        <f t="shared" ref="D87:AM87" si="600">SUM(D88:D90)</f>
        <v>93.365409661947609</v>
      </c>
      <c r="E87" s="17">
        <f t="shared" si="600"/>
        <v>92.574863469669197</v>
      </c>
      <c r="F87" s="17">
        <f t="shared" si="600"/>
        <v>91.925196263095387</v>
      </c>
      <c r="G87" s="17">
        <f t="shared" si="600"/>
        <v>92.310882236498117</v>
      </c>
      <c r="H87" s="17">
        <f t="shared" si="600"/>
        <v>90.645731172605565</v>
      </c>
      <c r="I87" s="17">
        <f t="shared" si="600"/>
        <v>88.290678612507065</v>
      </c>
      <c r="J87" s="17">
        <f t="shared" si="600"/>
        <v>81.775062716988856</v>
      </c>
      <c r="K87" s="17">
        <f t="shared" si="600"/>
        <v>82.04529777789341</v>
      </c>
      <c r="L87" s="17">
        <f t="shared" si="600"/>
        <v>79.370619776116186</v>
      </c>
      <c r="M87" s="17">
        <f t="shared" si="600"/>
        <v>71.151005034559006</v>
      </c>
      <c r="N87" s="17">
        <f t="shared" si="600"/>
        <v>71.289781507037773</v>
      </c>
      <c r="O87" s="18">
        <f t="shared" si="600"/>
        <v>71.943081238587681</v>
      </c>
      <c r="P87" s="17">
        <f t="shared" si="600"/>
        <v>72.623723673759343</v>
      </c>
      <c r="Q87" s="17">
        <f t="shared" si="600"/>
        <v>71.92471655089939</v>
      </c>
      <c r="R87" s="17">
        <f t="shared" si="600"/>
        <v>71.86705959082316</v>
      </c>
      <c r="S87" s="17">
        <f t="shared" si="600"/>
        <v>65.699616881638107</v>
      </c>
      <c r="T87" s="17">
        <f t="shared" si="600"/>
        <v>64.284634002686161</v>
      </c>
      <c r="U87" s="17">
        <f t="shared" si="600"/>
        <v>59.881117237984959</v>
      </c>
      <c r="V87" s="17">
        <f t="shared" si="600"/>
        <v>60.564061014771262</v>
      </c>
      <c r="W87" s="17">
        <f t="shared" si="600"/>
        <v>60.246275820082239</v>
      </c>
      <c r="X87" s="17">
        <f t="shared" si="600"/>
        <v>59.435385586079946</v>
      </c>
      <c r="Y87" s="17">
        <f t="shared" si="600"/>
        <v>60.0360831738626</v>
      </c>
      <c r="Z87" s="17">
        <f t="shared" si="600"/>
        <v>59.7977231213371</v>
      </c>
      <c r="AA87" s="18">
        <f t="shared" si="600"/>
        <v>59.849096204272342</v>
      </c>
      <c r="AB87" s="17">
        <f t="shared" si="600"/>
        <v>50.00278943371454</v>
      </c>
      <c r="AC87" s="17">
        <f t="shared" si="600"/>
        <v>50.468360069533347</v>
      </c>
      <c r="AD87" s="17">
        <f t="shared" si="600"/>
        <v>49.980977614258151</v>
      </c>
      <c r="AE87" s="17">
        <f t="shared" si="600"/>
        <v>47.596410395001286</v>
      </c>
      <c r="AF87" s="17">
        <f t="shared" si="600"/>
        <v>42.589839051042809</v>
      </c>
      <c r="AG87" s="17">
        <f t="shared" si="600"/>
        <v>39.679439617555261</v>
      </c>
      <c r="AH87" s="17">
        <f t="shared" si="600"/>
        <v>37.874160222566935</v>
      </c>
      <c r="AI87" s="17">
        <f t="shared" si="600"/>
        <v>35.955994441199536</v>
      </c>
      <c r="AJ87" s="17">
        <f t="shared" si="600"/>
        <v>35.694661653169263</v>
      </c>
      <c r="AK87" s="17">
        <f t="shared" si="600"/>
        <v>36.082975796613411</v>
      </c>
      <c r="AL87" s="17">
        <f t="shared" si="600"/>
        <v>35.648497029333349</v>
      </c>
      <c r="AM87" s="18">
        <f t="shared" si="600"/>
        <v>35.241983956564006</v>
      </c>
    </row>
    <row r="88" spans="1:39" x14ac:dyDescent="0.35">
      <c r="A88" s="1" t="s">
        <v>201</v>
      </c>
      <c r="B88" s="1" t="s">
        <v>157</v>
      </c>
      <c r="C88" s="52">
        <v>55.213194051055638</v>
      </c>
      <c r="D88" s="53">
        <v>50.17230921405455</v>
      </c>
      <c r="E88" s="53">
        <v>51.002671608301455</v>
      </c>
      <c r="F88" s="53">
        <v>50.784013986197088</v>
      </c>
      <c r="G88" s="53">
        <v>51.523599126968904</v>
      </c>
      <c r="H88" s="53">
        <v>51.067174323205307</v>
      </c>
      <c r="I88" s="53">
        <v>50.910631180007258</v>
      </c>
      <c r="J88" s="53">
        <v>46.389135211343145</v>
      </c>
      <c r="K88" s="53">
        <v>46.659370272247706</v>
      </c>
      <c r="L88" s="53">
        <v>47.315220132237684</v>
      </c>
      <c r="M88" s="53">
        <v>46.663096828548717</v>
      </c>
      <c r="N88" s="53">
        <v>46.801873301027491</v>
      </c>
      <c r="O88" s="54">
        <v>47.475571912622968</v>
      </c>
      <c r="P88" s="53">
        <v>48.156214347794631</v>
      </c>
      <c r="Q88" s="53">
        <v>48.552401978967737</v>
      </c>
      <c r="R88" s="53">
        <v>48.951453054837799</v>
      </c>
      <c r="S88" s="53">
        <v>42.784010345652746</v>
      </c>
      <c r="T88" s="53">
        <v>41.3690274667008</v>
      </c>
      <c r="U88" s="53">
        <v>39.166337287889512</v>
      </c>
      <c r="V88" s="53">
        <v>39.849281064675814</v>
      </c>
      <c r="W88" s="53">
        <v>39.531495869986792</v>
      </c>
      <c r="X88" s="53">
        <v>40.19703231893908</v>
      </c>
      <c r="Y88" s="53">
        <v>40.850977201670013</v>
      </c>
      <c r="Z88" s="53">
        <v>41.491702856111885</v>
      </c>
      <c r="AA88" s="54">
        <v>41.543075939047128</v>
      </c>
      <c r="AB88" s="53">
        <v>32.163182576793723</v>
      </c>
      <c r="AC88" s="53">
        <v>32.75678380019265</v>
      </c>
      <c r="AD88" s="53">
        <v>32.269401344917455</v>
      </c>
      <c r="AE88" s="53">
        <v>30.225209691776634</v>
      </c>
      <c r="AF88" s="53">
        <v>25.810090342871138</v>
      </c>
      <c r="AG88" s="53">
        <v>23.12346921901235</v>
      </c>
      <c r="AH88" s="53">
        <v>21.809670408168341</v>
      </c>
      <c r="AI88" s="53">
        <v>19.911982052349085</v>
      </c>
      <c r="AJ88" s="53">
        <v>19.684232641274392</v>
      </c>
      <c r="AK88" s="53">
        <v>19.293178207872689</v>
      </c>
      <c r="AL88" s="53">
        <v>18.891512007827245</v>
      </c>
      <c r="AM88" s="54">
        <v>18.516812410323947</v>
      </c>
    </row>
    <row r="89" spans="1:39" x14ac:dyDescent="0.35">
      <c r="A89" s="2" t="s">
        <v>201</v>
      </c>
      <c r="B89" s="2" t="s">
        <v>158</v>
      </c>
      <c r="C89" s="55">
        <v>43.142220979598207</v>
      </c>
      <c r="D89" s="56">
        <v>43.193100447893059</v>
      </c>
      <c r="E89" s="56">
        <v>41.572191861367742</v>
      </c>
      <c r="F89" s="56">
        <v>41.141182276898292</v>
      </c>
      <c r="G89" s="56">
        <v>40.787283109529213</v>
      </c>
      <c r="H89" s="56">
        <v>39.578556849400258</v>
      </c>
      <c r="I89" s="56">
        <v>37.380047432499815</v>
      </c>
      <c r="J89" s="56">
        <v>35.385927505645704</v>
      </c>
      <c r="K89" s="56">
        <v>35.385927505645704</v>
      </c>
      <c r="L89" s="56">
        <v>32.055399643878502</v>
      </c>
      <c r="M89" s="56">
        <v>24.487908206010282</v>
      </c>
      <c r="N89" s="56">
        <v>24.487908206010282</v>
      </c>
      <c r="O89" s="57">
        <v>24.467509325964713</v>
      </c>
      <c r="P89" s="56">
        <v>24.467509325964713</v>
      </c>
      <c r="Q89" s="56">
        <v>23.372314571931653</v>
      </c>
      <c r="R89" s="56">
        <v>22.915606535985358</v>
      </c>
      <c r="S89" s="56">
        <v>22.915606535985358</v>
      </c>
      <c r="T89" s="56">
        <v>22.915606535985358</v>
      </c>
      <c r="U89" s="56">
        <v>20.714779950095448</v>
      </c>
      <c r="V89" s="56">
        <v>20.714779950095448</v>
      </c>
      <c r="W89" s="56">
        <v>20.714779950095448</v>
      </c>
      <c r="X89" s="56">
        <v>19.238353267140866</v>
      </c>
      <c r="Y89" s="56">
        <v>19.185105972192588</v>
      </c>
      <c r="Z89" s="56">
        <v>18.306020265225211</v>
      </c>
      <c r="AA89" s="57">
        <v>18.306020265225211</v>
      </c>
      <c r="AB89" s="56">
        <v>17.839606856920813</v>
      </c>
      <c r="AC89" s="56">
        <v>17.711576269340693</v>
      </c>
      <c r="AD89" s="56">
        <v>17.711576269340693</v>
      </c>
      <c r="AE89" s="56">
        <v>17.371200703224655</v>
      </c>
      <c r="AF89" s="56">
        <v>16.77974870817167</v>
      </c>
      <c r="AG89" s="56">
        <v>16.555970398542911</v>
      </c>
      <c r="AH89" s="56">
        <v>16.064489814398595</v>
      </c>
      <c r="AI89" s="56">
        <v>16.044012388850454</v>
      </c>
      <c r="AJ89" s="56">
        <v>16.010429011894868</v>
      </c>
      <c r="AK89" s="56">
        <v>16.789797588740718</v>
      </c>
      <c r="AL89" s="56">
        <v>16.756985021506104</v>
      </c>
      <c r="AM89" s="57">
        <v>16.725171546240059</v>
      </c>
    </row>
    <row r="90" spans="1:39" x14ac:dyDescent="0.35">
      <c r="A90" s="3" t="s">
        <v>201</v>
      </c>
      <c r="B90" s="3" t="s">
        <v>159</v>
      </c>
      <c r="C90" s="58">
        <v>0</v>
      </c>
      <c r="D90" s="59">
        <v>0</v>
      </c>
      <c r="E90" s="59">
        <v>0</v>
      </c>
      <c r="F90" s="59">
        <v>0</v>
      </c>
      <c r="G90" s="59">
        <v>0</v>
      </c>
      <c r="H90" s="59">
        <v>0</v>
      </c>
      <c r="I90" s="59">
        <v>0</v>
      </c>
      <c r="J90" s="59">
        <v>0</v>
      </c>
      <c r="K90" s="59">
        <v>0</v>
      </c>
      <c r="L90" s="59">
        <v>0</v>
      </c>
      <c r="M90" s="59">
        <v>0</v>
      </c>
      <c r="N90" s="59">
        <v>0</v>
      </c>
      <c r="O90" s="60">
        <v>0</v>
      </c>
      <c r="P90" s="59">
        <v>0</v>
      </c>
      <c r="Q90" s="59">
        <v>0</v>
      </c>
      <c r="R90" s="59">
        <v>0</v>
      </c>
      <c r="S90" s="59">
        <v>0</v>
      </c>
      <c r="T90" s="59">
        <v>0</v>
      </c>
      <c r="U90" s="59">
        <v>0</v>
      </c>
      <c r="V90" s="59">
        <v>0</v>
      </c>
      <c r="W90" s="59">
        <v>0</v>
      </c>
      <c r="X90" s="59">
        <v>0</v>
      </c>
      <c r="Y90" s="59">
        <v>0</v>
      </c>
      <c r="Z90" s="59">
        <v>0</v>
      </c>
      <c r="AA90" s="60">
        <v>0</v>
      </c>
      <c r="AB90" s="59">
        <v>0</v>
      </c>
      <c r="AC90" s="59">
        <v>0</v>
      </c>
      <c r="AD90" s="59">
        <v>0</v>
      </c>
      <c r="AE90" s="59">
        <v>0</v>
      </c>
      <c r="AF90" s="59">
        <v>0</v>
      </c>
      <c r="AG90" s="59">
        <v>0</v>
      </c>
      <c r="AH90" s="59">
        <v>0</v>
      </c>
      <c r="AI90" s="59">
        <v>0</v>
      </c>
      <c r="AJ90" s="59">
        <v>0</v>
      </c>
      <c r="AK90" s="59">
        <v>0</v>
      </c>
      <c r="AL90" s="59">
        <v>0</v>
      </c>
      <c r="AM90" s="60">
        <v>0</v>
      </c>
    </row>
    <row r="92" spans="1:39" x14ac:dyDescent="0.35">
      <c r="A92" s="25" t="s">
        <v>199</v>
      </c>
      <c r="B92" s="4" t="s">
        <v>3</v>
      </c>
      <c r="C92" s="19">
        <f>C86</f>
        <v>45352</v>
      </c>
      <c r="D92" s="20">
        <f>EDATE(C92,1)</f>
        <v>45383</v>
      </c>
      <c r="E92" s="20">
        <f>EDATE(D92,1)</f>
        <v>45413</v>
      </c>
      <c r="F92" s="20">
        <f>EDATE(E92,1)</f>
        <v>45444</v>
      </c>
      <c r="G92" s="20">
        <f t="shared" ref="G92" si="601">EDATE(F92,1)</f>
        <v>45474</v>
      </c>
      <c r="H92" s="20">
        <f t="shared" ref="H92" si="602">EDATE(G92,1)</f>
        <v>45505</v>
      </c>
      <c r="I92" s="20">
        <f t="shared" ref="I92" si="603">EDATE(H92,1)</f>
        <v>45536</v>
      </c>
      <c r="J92" s="20">
        <f t="shared" ref="J92" si="604">EDATE(I92,1)</f>
        <v>45566</v>
      </c>
      <c r="K92" s="20">
        <f t="shared" ref="K92" si="605">EDATE(J92,1)</f>
        <v>45597</v>
      </c>
      <c r="L92" s="20">
        <f t="shared" ref="L92" si="606">EDATE(K92,1)</f>
        <v>45627</v>
      </c>
      <c r="M92" s="20">
        <f t="shared" ref="M92" si="607">EDATE(L92,1)</f>
        <v>45658</v>
      </c>
      <c r="N92" s="20">
        <f t="shared" ref="N92" si="608">EDATE(M92,1)</f>
        <v>45689</v>
      </c>
      <c r="O92" s="21">
        <f t="shared" ref="O92" si="609">EDATE(N92,1)</f>
        <v>45717</v>
      </c>
      <c r="P92" s="20">
        <f t="shared" ref="P92" si="610">EDATE(O92,1)</f>
        <v>45748</v>
      </c>
      <c r="Q92" s="20">
        <f t="shared" ref="Q92" si="611">EDATE(P92,1)</f>
        <v>45778</v>
      </c>
      <c r="R92" s="20">
        <f t="shared" ref="R92" si="612">EDATE(Q92,1)</f>
        <v>45809</v>
      </c>
      <c r="S92" s="20">
        <f t="shared" ref="S92" si="613">EDATE(R92,1)</f>
        <v>45839</v>
      </c>
      <c r="T92" s="20">
        <f t="shared" ref="T92" si="614">EDATE(S92,1)</f>
        <v>45870</v>
      </c>
      <c r="U92" s="20">
        <f t="shared" ref="U92" si="615">EDATE(T92,1)</f>
        <v>45901</v>
      </c>
      <c r="V92" s="20">
        <f t="shared" ref="V92" si="616">EDATE(U92,1)</f>
        <v>45931</v>
      </c>
      <c r="W92" s="20">
        <f t="shared" ref="W92" si="617">EDATE(V92,1)</f>
        <v>45962</v>
      </c>
      <c r="X92" s="20">
        <f t="shared" ref="X92" si="618">EDATE(W92,1)</f>
        <v>45992</v>
      </c>
      <c r="Y92" s="20">
        <f t="shared" ref="Y92" si="619">EDATE(X92,1)</f>
        <v>46023</v>
      </c>
      <c r="Z92" s="20">
        <f t="shared" ref="Z92" si="620">EDATE(Y92,1)</f>
        <v>46054</v>
      </c>
      <c r="AA92" s="21">
        <f t="shared" ref="AA92" si="621">EDATE(Z92,1)</f>
        <v>46082</v>
      </c>
      <c r="AB92" s="20">
        <f t="shared" ref="AB92" si="622">EDATE(AA92,1)</f>
        <v>46113</v>
      </c>
      <c r="AC92" s="20">
        <f t="shared" ref="AC92" si="623">EDATE(AB92,1)</f>
        <v>46143</v>
      </c>
      <c r="AD92" s="20">
        <f t="shared" ref="AD92" si="624">EDATE(AC92,1)</f>
        <v>46174</v>
      </c>
      <c r="AE92" s="20">
        <f t="shared" ref="AE92" si="625">EDATE(AD92,1)</f>
        <v>46204</v>
      </c>
      <c r="AF92" s="20">
        <f t="shared" ref="AF92" si="626">EDATE(AE92,1)</f>
        <v>46235</v>
      </c>
      <c r="AG92" s="20">
        <f t="shared" ref="AG92" si="627">EDATE(AF92,1)</f>
        <v>46266</v>
      </c>
      <c r="AH92" s="20">
        <f t="shared" ref="AH92" si="628">EDATE(AG92,1)</f>
        <v>46296</v>
      </c>
      <c r="AI92" s="20">
        <f t="shared" ref="AI92" si="629">EDATE(AH92,1)</f>
        <v>46327</v>
      </c>
      <c r="AJ92" s="20">
        <f t="shared" ref="AJ92" si="630">EDATE(AI92,1)</f>
        <v>46357</v>
      </c>
      <c r="AK92" s="20">
        <f t="shared" ref="AK92" si="631">EDATE(AJ92,1)</f>
        <v>46388</v>
      </c>
      <c r="AL92" s="20">
        <f t="shared" ref="AL92" si="632">EDATE(AK92,1)</f>
        <v>46419</v>
      </c>
      <c r="AM92" s="21">
        <f t="shared" ref="AM92" si="633">EDATE(AL92,1)</f>
        <v>46447</v>
      </c>
    </row>
    <row r="93" spans="1:39" x14ac:dyDescent="0.35">
      <c r="A93" s="15" t="s">
        <v>199</v>
      </c>
      <c r="B93" s="15" t="s">
        <v>188</v>
      </c>
      <c r="C93" s="16">
        <f>SUM(C94:C96)</f>
        <v>1537.1122814163441</v>
      </c>
      <c r="D93" s="17">
        <f t="shared" ref="D93:AM93" si="634">SUM(D94:D96)</f>
        <v>1596.5462639963746</v>
      </c>
      <c r="E93" s="17">
        <f t="shared" si="634"/>
        <v>1665.6527402316299</v>
      </c>
      <c r="F93" s="17">
        <f t="shared" si="634"/>
        <v>1737.6282997235705</v>
      </c>
      <c r="G93" s="17">
        <f t="shared" si="634"/>
        <v>1811.5552917199707</v>
      </c>
      <c r="H93" s="17">
        <f t="shared" si="634"/>
        <v>1889.4422479308023</v>
      </c>
      <c r="I93" s="17">
        <f t="shared" si="634"/>
        <v>1893.8337766325662</v>
      </c>
      <c r="J93" s="17">
        <f t="shared" si="634"/>
        <v>1985.2784961482373</v>
      </c>
      <c r="K93" s="17">
        <f t="shared" si="634"/>
        <v>2084.5020228900744</v>
      </c>
      <c r="L93" s="17">
        <f t="shared" si="634"/>
        <v>2057.355610468338</v>
      </c>
      <c r="M93" s="17">
        <f t="shared" si="634"/>
        <v>2156.8398937094576</v>
      </c>
      <c r="N93" s="17">
        <f t="shared" si="634"/>
        <v>2117.8326183067293</v>
      </c>
      <c r="O93" s="18">
        <f t="shared" si="634"/>
        <v>2220.6591185808056</v>
      </c>
      <c r="P93" s="17">
        <f t="shared" si="634"/>
        <v>2315.1505801207663</v>
      </c>
      <c r="Q93" s="17">
        <f t="shared" si="634"/>
        <v>2414.3412660030303</v>
      </c>
      <c r="R93" s="17">
        <f t="shared" si="634"/>
        <v>2515.767726414073</v>
      </c>
      <c r="S93" s="17">
        <f t="shared" si="634"/>
        <v>2619.9410025753441</v>
      </c>
      <c r="T93" s="17">
        <f t="shared" si="634"/>
        <v>2730.3620117938412</v>
      </c>
      <c r="U93" s="17">
        <f t="shared" si="634"/>
        <v>2832.282139694792</v>
      </c>
      <c r="V93" s="17">
        <f t="shared" si="634"/>
        <v>2787.365397793144</v>
      </c>
      <c r="W93" s="17">
        <f t="shared" si="634"/>
        <v>2759.0594053930163</v>
      </c>
      <c r="X93" s="17">
        <f t="shared" si="634"/>
        <v>2570.0764608927889</v>
      </c>
      <c r="Y93" s="17">
        <f t="shared" si="634"/>
        <v>2571.8930842633799</v>
      </c>
      <c r="Z93" s="17">
        <f t="shared" si="634"/>
        <v>2414.72543459094</v>
      </c>
      <c r="AA93" s="18">
        <f t="shared" si="634"/>
        <v>2439.0679604623037</v>
      </c>
      <c r="AB93" s="17">
        <f t="shared" si="634"/>
        <v>2397.8035933982333</v>
      </c>
      <c r="AC93" s="17">
        <f t="shared" si="634"/>
        <v>2393.471879619568</v>
      </c>
      <c r="AD93" s="17">
        <f t="shared" si="634"/>
        <v>2376.9569373098593</v>
      </c>
      <c r="AE93" s="17">
        <f t="shared" si="634"/>
        <v>2369.9944202496886</v>
      </c>
      <c r="AF93" s="17">
        <f t="shared" si="634"/>
        <v>2376.3175012639736</v>
      </c>
      <c r="AG93" s="17">
        <f t="shared" si="634"/>
        <v>2356.8148284856879</v>
      </c>
      <c r="AH93" s="17">
        <f t="shared" si="634"/>
        <v>2379.4736059497241</v>
      </c>
      <c r="AI93" s="17">
        <f t="shared" si="634"/>
        <v>2410.3151895746364</v>
      </c>
      <c r="AJ93" s="17">
        <f t="shared" si="634"/>
        <v>2341.5926084997282</v>
      </c>
      <c r="AK93" s="17">
        <f t="shared" si="634"/>
        <v>2371.639262910569</v>
      </c>
      <c r="AL93" s="17">
        <f t="shared" si="634"/>
        <v>2297.4793754788602</v>
      </c>
      <c r="AM93" s="18">
        <f t="shared" si="634"/>
        <v>2314.7780864735573</v>
      </c>
    </row>
    <row r="94" spans="1:39" x14ac:dyDescent="0.35">
      <c r="A94" s="1" t="s">
        <v>199</v>
      </c>
      <c r="B94" s="1" t="s">
        <v>157</v>
      </c>
      <c r="C94" s="52">
        <f>C64</f>
        <v>908.76109906832028</v>
      </c>
      <c r="D94" s="53">
        <f>'Calculation - Stagewise ECL'!D6</f>
        <v>906.09810291063002</v>
      </c>
      <c r="E94" s="53">
        <f>'Calculation - Stagewise ECL'!E6</f>
        <v>932.59963733774009</v>
      </c>
      <c r="F94" s="53">
        <f>'Calculation - Stagewise ECL'!F6</f>
        <v>960.21758818564194</v>
      </c>
      <c r="G94" s="53">
        <f>'Calculation - Stagewise ECL'!G6</f>
        <v>988.62897409262723</v>
      </c>
      <c r="H94" s="53">
        <f>'Calculation - Stagewise ECL'!H6</f>
        <v>1018.7350958405415</v>
      </c>
      <c r="I94" s="53">
        <f>'Calculation - Stagewise ECL'!I6</f>
        <v>1050.2313048682647</v>
      </c>
      <c r="J94" s="53">
        <f>'Calculation - Stagewise ECL'!J6</f>
        <v>1086.3820343289308</v>
      </c>
      <c r="K94" s="53">
        <f>'Calculation - Stagewise ECL'!K6</f>
        <v>1126.0331271628711</v>
      </c>
      <c r="L94" s="53">
        <f>'Calculation - Stagewise ECL'!L6</f>
        <v>1167.762089100868</v>
      </c>
      <c r="M94" s="53">
        <f>'Calculation - Stagewise ECL'!M6</f>
        <v>1208.2982215001082</v>
      </c>
      <c r="N94" s="53">
        <f>'Calculation - Stagewise ECL'!N6</f>
        <v>1248.0940957084649</v>
      </c>
      <c r="O94" s="54">
        <f>'Calculation - Stagewise ECL'!O6</f>
        <v>1289.3216717269079</v>
      </c>
      <c r="P94" s="53">
        <f>'Calculation - Stagewise ECL'!P6</f>
        <v>1321.5425873507513</v>
      </c>
      <c r="Q94" s="53">
        <f>'Calculation - Stagewise ECL'!Q6</f>
        <v>1355.5762248030171</v>
      </c>
      <c r="R94" s="53">
        <f>'Calculation - Stagewise ECL'!R6</f>
        <v>1390.6756200989958</v>
      </c>
      <c r="S94" s="53">
        <f>'Calculation - Stagewise ECL'!S6</f>
        <v>1424.992689978453</v>
      </c>
      <c r="T94" s="53">
        <f>'Calculation - Stagewise ECL'!T6</f>
        <v>1462.8014874607484</v>
      </c>
      <c r="U94" s="53">
        <f>'Calculation - Stagewise ECL'!U6</f>
        <v>1491.2417584549205</v>
      </c>
      <c r="V94" s="53">
        <f>'Calculation - Stagewise ECL'!V6</f>
        <v>1464.7884702621739</v>
      </c>
      <c r="W94" s="53">
        <f>'Calculation - Stagewise ECL'!W6</f>
        <v>1446.127218154408</v>
      </c>
      <c r="X94" s="53">
        <f>'Calculation - Stagewise ECL'!X6</f>
        <v>1434.6303200995849</v>
      </c>
      <c r="Y94" s="53">
        <f>'Calculation - Stagewise ECL'!Y6</f>
        <v>1427.1310161251401</v>
      </c>
      <c r="Z94" s="53">
        <f>'Calculation - Stagewise ECL'!Z6</f>
        <v>1422.0117250932599</v>
      </c>
      <c r="AA94" s="54">
        <f>'Calculation - Stagewise ECL'!AA6</f>
        <v>1422.739637424311</v>
      </c>
      <c r="AB94" s="53">
        <f>'Calculation - Stagewise ECL'!AB6</f>
        <v>1392.484813027424</v>
      </c>
      <c r="AC94" s="53">
        <f>'Calculation - Stagewise ECL'!AC6</f>
        <v>1392.7947367958084</v>
      </c>
      <c r="AD94" s="53">
        <f>'Calculation - Stagewise ECL'!AD6</f>
        <v>1377.2982250411601</v>
      </c>
      <c r="AE94" s="53">
        <f>'Calculation - Stagewise ECL'!AE6</f>
        <v>1367.2856126718957</v>
      </c>
      <c r="AF94" s="53">
        <f>'Calculation - Stagewise ECL'!AF6</f>
        <v>1365.4113531692567</v>
      </c>
      <c r="AG94" s="53">
        <f>'Calculation - Stagewise ECL'!AG6</f>
        <v>1372.2439937585398</v>
      </c>
      <c r="AH94" s="53">
        <f>'Calculation - Stagewise ECL'!AH6</f>
        <v>1380.386633202746</v>
      </c>
      <c r="AI94" s="53">
        <f>'Calculation - Stagewise ECL'!AI6</f>
        <v>1394.9073690003395</v>
      </c>
      <c r="AJ94" s="53">
        <f>'Calculation - Stagewise ECL'!AJ6</f>
        <v>1412.3983563003537</v>
      </c>
      <c r="AK94" s="53">
        <f>'Calculation - Stagewise ECL'!AK6</f>
        <v>1426.9014270394086</v>
      </c>
      <c r="AL94" s="53">
        <f>'Calculation - Stagewise ECL'!AL6</f>
        <v>1436.1172206504079</v>
      </c>
      <c r="AM94" s="54">
        <f>'Calculation - Stagewise ECL'!AM6</f>
        <v>1445.6130951585837</v>
      </c>
    </row>
    <row r="95" spans="1:39" x14ac:dyDescent="0.35">
      <c r="A95" s="2" t="s">
        <v>199</v>
      </c>
      <c r="B95" s="2" t="s">
        <v>158</v>
      </c>
      <c r="C95" s="55">
        <f t="shared" ref="C95" si="635">C65</f>
        <v>628.35118234802383</v>
      </c>
      <c r="D95" s="56">
        <f>'Calculation - Stagewise ECL'!D30</f>
        <v>681.77937727852236</v>
      </c>
      <c r="E95" s="56">
        <f>'Calculation - Stagewise ECL'!E30</f>
        <v>724.7004551006238</v>
      </c>
      <c r="F95" s="56">
        <f>'Calculation - Stagewise ECL'!F30</f>
        <v>769.39874515153076</v>
      </c>
      <c r="G95" s="56">
        <f>'Calculation - Stagewise ECL'!G30</f>
        <v>815.28814407550476</v>
      </c>
      <c r="H95" s="56">
        <f>'Calculation - Stagewise ECL'!H30</f>
        <v>863.46690961964418</v>
      </c>
      <c r="I95" s="56">
        <f>'Calculation - Stagewise ECL'!I30</f>
        <v>836.75747812050417</v>
      </c>
      <c r="J95" s="56">
        <f>'Calculation - Stagewise ECL'!J30</f>
        <v>892.4527684788153</v>
      </c>
      <c r="K95" s="56">
        <f>'Calculation - Stagewise ECL'!K30</f>
        <v>952.40411232037525</v>
      </c>
      <c r="L95" s="56">
        <f>'Calculation - Stagewise ECL'!L30</f>
        <v>883.88828128531611</v>
      </c>
      <c r="M95" s="56">
        <f>'Calculation - Stagewise ECL'!M30</f>
        <v>943.19441369181573</v>
      </c>
      <c r="N95" s="56">
        <f>'Calculation - Stagewise ECL'!N30</f>
        <v>864.7249128742244</v>
      </c>
      <c r="O95" s="57">
        <f>'Calculation - Stagewise ECL'!O30</f>
        <v>926.69405028400513</v>
      </c>
      <c r="P95" s="56">
        <f>'Calculation - Stagewise ECL'!P30</f>
        <v>989.12323560771642</v>
      </c>
      <c r="Q95" s="56">
        <f>'Calculation - Stagewise ECL'!Q30</f>
        <v>1054.4559879885473</v>
      </c>
      <c r="R95" s="56">
        <f>'Calculation - Stagewise ECL'!R30</f>
        <v>1120.9734032250706</v>
      </c>
      <c r="S95" s="56">
        <f>'Calculation - Stagewise ECL'!S30</f>
        <v>1191.0396845545879</v>
      </c>
      <c r="T95" s="56">
        <f>'Calculation - Stagewise ECL'!T30</f>
        <v>1263.8734627343283</v>
      </c>
      <c r="U95" s="56">
        <f>'Calculation - Stagewise ECL'!U30</f>
        <v>1337.574520492052</v>
      </c>
      <c r="V95" s="56">
        <f>'Calculation - Stagewise ECL'!V30</f>
        <v>1319.2917799082893</v>
      </c>
      <c r="W95" s="56">
        <f>'Calculation - Stagewise ECL'!W30</f>
        <v>1309.7787884304923</v>
      </c>
      <c r="X95" s="56">
        <f>'Calculation - Stagewise ECL'!X30</f>
        <v>1132.3869427272098</v>
      </c>
      <c r="Y95" s="56">
        <f>'Calculation - Stagewise ECL'!Y30</f>
        <v>1141.7597681599875</v>
      </c>
      <c r="Z95" s="56">
        <f>'Calculation - Stagewise ECL'!Z30</f>
        <v>989.73163922724893</v>
      </c>
      <c r="AA95" s="57">
        <f>'Calculation - Stagewise ECL'!AA30</f>
        <v>1013.3307722235322</v>
      </c>
      <c r="AB95" s="56">
        <f>'Calculation - Stagewise ECL'!AB30</f>
        <v>1002.2818862619325</v>
      </c>
      <c r="AC95" s="56">
        <f>'Calculation - Stagewise ECL'!AC30</f>
        <v>997.58302538237695</v>
      </c>
      <c r="AD95" s="56">
        <f>'Calculation - Stagewise ECL'!AD30</f>
        <v>996.4759655686297</v>
      </c>
      <c r="AE95" s="56">
        <f>'Calculation - Stagewise ECL'!AE30</f>
        <v>999.39917813476507</v>
      </c>
      <c r="AF95" s="56">
        <f>'Calculation - Stagewise ECL'!AF30</f>
        <v>1007.4296008865757</v>
      </c>
      <c r="AG95" s="56">
        <f>'Calculation - Stagewise ECL'!AG30</f>
        <v>980.88324379749008</v>
      </c>
      <c r="AH95" s="56">
        <f>'Calculation - Stagewise ECL'!AH30</f>
        <v>994.98294126783173</v>
      </c>
      <c r="AI95" s="56">
        <f>'Calculation - Stagewise ECL'!AI30</f>
        <v>1010.9292233896981</v>
      </c>
      <c r="AJ95" s="56">
        <f>'Calculation - Stagewise ECL'!AJ30</f>
        <v>924.35832980103442</v>
      </c>
      <c r="AK95" s="56">
        <f>'Calculation - Stagewise ECL'!AK30</f>
        <v>939.56440650938043</v>
      </c>
      <c r="AL95" s="56">
        <f>'Calculation - Stagewise ECL'!AL30</f>
        <v>855.88026482601299</v>
      </c>
      <c r="AM95" s="57">
        <f>'Calculation - Stagewise ECL'!AM30</f>
        <v>863.34837537182182</v>
      </c>
    </row>
    <row r="96" spans="1:39" x14ac:dyDescent="0.35">
      <c r="A96" s="3" t="s">
        <v>199</v>
      </c>
      <c r="B96" s="3" t="s">
        <v>159</v>
      </c>
      <c r="C96" s="58">
        <f t="shared" ref="C96" si="636">C66</f>
        <v>0</v>
      </c>
      <c r="D96" s="59">
        <f>'Calculation - Stagewise ECL'!D54</f>
        <v>8.6687838072224004</v>
      </c>
      <c r="E96" s="59">
        <f>'Calculation - Stagewise ECL'!E54</f>
        <v>8.3526477932660779</v>
      </c>
      <c r="F96" s="59">
        <f>'Calculation - Stagewise ECL'!F54</f>
        <v>8.0119663863977042</v>
      </c>
      <c r="G96" s="59">
        <f>'Calculation - Stagewise ECL'!G54</f>
        <v>7.6381735518386256</v>
      </c>
      <c r="H96" s="59">
        <f>'Calculation - Stagewise ECL'!H54</f>
        <v>7.2402424706164874</v>
      </c>
      <c r="I96" s="59">
        <f>'Calculation - Stagewise ECL'!I54</f>
        <v>6.8449936437972854</v>
      </c>
      <c r="J96" s="59">
        <f>'Calculation - Stagewise ECL'!J54</f>
        <v>6.4436933404910404</v>
      </c>
      <c r="K96" s="59">
        <f>'Calculation - Stagewise ECL'!K54</f>
        <v>6.06478340682804</v>
      </c>
      <c r="L96" s="59">
        <f>'Calculation - Stagewise ECL'!L54</f>
        <v>5.7052400821538463</v>
      </c>
      <c r="M96" s="59">
        <f>'Calculation - Stagewise ECL'!M54</f>
        <v>5.3472585175335769</v>
      </c>
      <c r="N96" s="59">
        <f>'Calculation - Stagewise ECL'!N54</f>
        <v>5.0136097240403519</v>
      </c>
      <c r="O96" s="60">
        <f>'Calculation - Stagewise ECL'!O54</f>
        <v>4.6433965698926469</v>
      </c>
      <c r="P96" s="59">
        <f>'Calculation - Stagewise ECL'!P54</f>
        <v>4.4847571622984743</v>
      </c>
      <c r="Q96" s="59">
        <f>'Calculation - Stagewise ECL'!Q54</f>
        <v>4.3090532114661331</v>
      </c>
      <c r="R96" s="59">
        <f>'Calculation - Stagewise ECL'!R54</f>
        <v>4.1187030900061981</v>
      </c>
      <c r="S96" s="59">
        <f>'Calculation - Stagewise ECL'!S54</f>
        <v>3.9086280423036288</v>
      </c>
      <c r="T96" s="59">
        <f>'Calculation - Stagewise ECL'!T54</f>
        <v>3.6870615987643709</v>
      </c>
      <c r="U96" s="59">
        <f>'Calculation - Stagewise ECL'!U54</f>
        <v>3.4658607478194026</v>
      </c>
      <c r="V96" s="59">
        <f>'Calculation - Stagewise ECL'!V54</f>
        <v>3.2851476226812171</v>
      </c>
      <c r="W96" s="59">
        <f>'Calculation - Stagewise ECL'!W54</f>
        <v>3.1533988081159743</v>
      </c>
      <c r="X96" s="59">
        <f>'Calculation - Stagewise ECL'!X54</f>
        <v>3.0591980659943534</v>
      </c>
      <c r="Y96" s="59">
        <f>'Calculation - Stagewise ECL'!Y54</f>
        <v>3.0022999782522883</v>
      </c>
      <c r="Z96" s="59">
        <f>'Calculation - Stagewise ECL'!Z54</f>
        <v>2.9820702704314552</v>
      </c>
      <c r="AA96" s="60">
        <f>'Calculation - Stagewise ECL'!AA54</f>
        <v>2.997550814460622</v>
      </c>
      <c r="AB96" s="59">
        <f>'Calculation - Stagewise ECL'!AB54</f>
        <v>3.0368941088769064</v>
      </c>
      <c r="AC96" s="59">
        <f>'Calculation - Stagewise ECL'!AC54</f>
        <v>3.0941174413824037</v>
      </c>
      <c r="AD96" s="59">
        <f>'Calculation - Stagewise ECL'!AD54</f>
        <v>3.1827467000694827</v>
      </c>
      <c r="AE96" s="59">
        <f>'Calculation - Stagewise ECL'!AE54</f>
        <v>3.3096294430277813</v>
      </c>
      <c r="AF96" s="59">
        <f>'Calculation - Stagewise ECL'!AF54</f>
        <v>3.4765472081414277</v>
      </c>
      <c r="AG96" s="59">
        <f>'Calculation - Stagewise ECL'!AG54</f>
        <v>3.6875909296580169</v>
      </c>
      <c r="AH96" s="59">
        <f>'Calculation - Stagewise ECL'!AH54</f>
        <v>4.1040314791461237</v>
      </c>
      <c r="AI96" s="59">
        <f>'Calculation - Stagewise ECL'!AI54</f>
        <v>4.4785971845989456</v>
      </c>
      <c r="AJ96" s="59">
        <f>'Calculation - Stagewise ECL'!AJ54</f>
        <v>4.8359223983399007</v>
      </c>
      <c r="AK96" s="59">
        <f>'Calculation - Stagewise ECL'!AK54</f>
        <v>5.1734293617795446</v>
      </c>
      <c r="AL96" s="59">
        <f>'Calculation - Stagewise ECL'!AL54</f>
        <v>5.4818900024393891</v>
      </c>
      <c r="AM96" s="60">
        <f>'Calculation - Stagewise ECL'!AM54</f>
        <v>5.8166159431516649</v>
      </c>
    </row>
    <row r="97" spans="1:63" x14ac:dyDescent="0.35">
      <c r="U97" s="299"/>
    </row>
    <row r="98" spans="1:63" x14ac:dyDescent="0.35">
      <c r="A98" s="25" t="s">
        <v>200</v>
      </c>
      <c r="B98" s="4" t="s">
        <v>3</v>
      </c>
      <c r="C98" s="19">
        <f>C92</f>
        <v>45352</v>
      </c>
      <c r="D98" s="20">
        <f>EDATE(C98,1)</f>
        <v>45383</v>
      </c>
      <c r="E98" s="20">
        <f>EDATE(D98,1)</f>
        <v>45413</v>
      </c>
      <c r="F98" s="20">
        <f>EDATE(E98,1)</f>
        <v>45444</v>
      </c>
      <c r="G98" s="20">
        <f t="shared" ref="G98" si="637">EDATE(F98,1)</f>
        <v>45474</v>
      </c>
      <c r="H98" s="20">
        <f t="shared" ref="H98" si="638">EDATE(G98,1)</f>
        <v>45505</v>
      </c>
      <c r="I98" s="20">
        <f t="shared" ref="I98" si="639">EDATE(H98,1)</f>
        <v>45536</v>
      </c>
      <c r="J98" s="20">
        <f t="shared" ref="J98" si="640">EDATE(I98,1)</f>
        <v>45566</v>
      </c>
      <c r="K98" s="20">
        <f t="shared" ref="K98" si="641">EDATE(J98,1)</f>
        <v>45597</v>
      </c>
      <c r="L98" s="20">
        <f t="shared" ref="L98" si="642">EDATE(K98,1)</f>
        <v>45627</v>
      </c>
      <c r="M98" s="20">
        <f t="shared" ref="M98" si="643">EDATE(L98,1)</f>
        <v>45658</v>
      </c>
      <c r="N98" s="20">
        <f t="shared" ref="N98" si="644">EDATE(M98,1)</f>
        <v>45689</v>
      </c>
      <c r="O98" s="21">
        <f t="shared" ref="O98" si="645">EDATE(N98,1)</f>
        <v>45717</v>
      </c>
      <c r="P98" s="20">
        <f t="shared" ref="P98" si="646">EDATE(O98,1)</f>
        <v>45748</v>
      </c>
      <c r="Q98" s="20">
        <f t="shared" ref="Q98" si="647">EDATE(P98,1)</f>
        <v>45778</v>
      </c>
      <c r="R98" s="20">
        <f t="shared" ref="R98" si="648">EDATE(Q98,1)</f>
        <v>45809</v>
      </c>
      <c r="S98" s="20">
        <f t="shared" ref="S98" si="649">EDATE(R98,1)</f>
        <v>45839</v>
      </c>
      <c r="T98" s="20">
        <f t="shared" ref="T98" si="650">EDATE(S98,1)</f>
        <v>45870</v>
      </c>
      <c r="U98" s="20">
        <f t="shared" ref="U98" si="651">EDATE(T98,1)</f>
        <v>45901</v>
      </c>
      <c r="V98" s="20">
        <f t="shared" ref="V98" si="652">EDATE(U98,1)</f>
        <v>45931</v>
      </c>
      <c r="W98" s="20">
        <f t="shared" ref="W98" si="653">EDATE(V98,1)</f>
        <v>45962</v>
      </c>
      <c r="X98" s="20">
        <f t="shared" ref="X98" si="654">EDATE(W98,1)</f>
        <v>45992</v>
      </c>
      <c r="Y98" s="20">
        <f t="shared" ref="Y98" si="655">EDATE(X98,1)</f>
        <v>46023</v>
      </c>
      <c r="Z98" s="20">
        <f t="shared" ref="Z98" si="656">EDATE(Y98,1)</f>
        <v>46054</v>
      </c>
      <c r="AA98" s="21">
        <f t="shared" ref="AA98" si="657">EDATE(Z98,1)</f>
        <v>46082</v>
      </c>
      <c r="AB98" s="20">
        <f t="shared" ref="AB98" si="658">EDATE(AA98,1)</f>
        <v>46113</v>
      </c>
      <c r="AC98" s="20">
        <f t="shared" ref="AC98" si="659">EDATE(AB98,1)</f>
        <v>46143</v>
      </c>
      <c r="AD98" s="20">
        <f t="shared" ref="AD98" si="660">EDATE(AC98,1)</f>
        <v>46174</v>
      </c>
      <c r="AE98" s="20">
        <f t="shared" ref="AE98" si="661">EDATE(AD98,1)</f>
        <v>46204</v>
      </c>
      <c r="AF98" s="20">
        <f t="shared" ref="AF98" si="662">EDATE(AE98,1)</f>
        <v>46235</v>
      </c>
      <c r="AG98" s="20">
        <f t="shared" ref="AG98" si="663">EDATE(AF98,1)</f>
        <v>46266</v>
      </c>
      <c r="AH98" s="20">
        <f t="shared" ref="AH98" si="664">EDATE(AG98,1)</f>
        <v>46296</v>
      </c>
      <c r="AI98" s="20">
        <f t="shared" ref="AI98" si="665">EDATE(AH98,1)</f>
        <v>46327</v>
      </c>
      <c r="AJ98" s="20">
        <f t="shared" ref="AJ98" si="666">EDATE(AI98,1)</f>
        <v>46357</v>
      </c>
      <c r="AK98" s="20">
        <f t="shared" ref="AK98" si="667">EDATE(AJ98,1)</f>
        <v>46388</v>
      </c>
      <c r="AL98" s="20">
        <f t="shared" ref="AL98" si="668">EDATE(AK98,1)</f>
        <v>46419</v>
      </c>
      <c r="AM98" s="21">
        <f t="shared" ref="AM98" si="669">EDATE(AL98,1)</f>
        <v>46447</v>
      </c>
    </row>
    <row r="99" spans="1:63" x14ac:dyDescent="0.35">
      <c r="A99" s="15" t="s">
        <v>200</v>
      </c>
      <c r="B99" s="15" t="s">
        <v>188</v>
      </c>
      <c r="C99" s="16">
        <f>SUM(C100:C102)</f>
        <v>436.00338763505346</v>
      </c>
      <c r="D99" s="17">
        <f t="shared" ref="D99:AM99" si="670">SUM(D100:D102)</f>
        <v>489.47347980481857</v>
      </c>
      <c r="E99" s="17">
        <f t="shared" si="670"/>
        <v>516.41977391714204</v>
      </c>
      <c r="F99" s="17">
        <f t="shared" si="670"/>
        <v>539.13345310782938</v>
      </c>
      <c r="G99" s="17">
        <f t="shared" si="670"/>
        <v>572.03866190181236</v>
      </c>
      <c r="H99" s="17">
        <f t="shared" si="670"/>
        <v>596.71604229030333</v>
      </c>
      <c r="I99" s="17">
        <f t="shared" si="670"/>
        <v>596.38406001782869</v>
      </c>
      <c r="J99" s="17">
        <f t="shared" si="670"/>
        <v>634.46653727939611</v>
      </c>
      <c r="K99" s="17">
        <f t="shared" si="670"/>
        <v>668.45093740445463</v>
      </c>
      <c r="L99" s="17">
        <f t="shared" si="670"/>
        <v>663.75166068209228</v>
      </c>
      <c r="M99" s="17">
        <f t="shared" si="670"/>
        <v>702.39360534085279</v>
      </c>
      <c r="N99" s="17">
        <f t="shared" si="670"/>
        <v>694.72351519282074</v>
      </c>
      <c r="O99" s="18">
        <f t="shared" si="670"/>
        <v>726.67092786874457</v>
      </c>
      <c r="P99" s="17">
        <f t="shared" si="670"/>
        <v>748.73455076987261</v>
      </c>
      <c r="Q99" s="17">
        <f t="shared" si="670"/>
        <v>759.17773364925358</v>
      </c>
      <c r="R99" s="17">
        <f t="shared" si="670"/>
        <v>771.79008101529917</v>
      </c>
      <c r="S99" s="17">
        <f t="shared" si="670"/>
        <v>804.53829317399516</v>
      </c>
      <c r="T99" s="17">
        <f t="shared" si="670"/>
        <v>831.50471856704019</v>
      </c>
      <c r="U99" s="17">
        <f t="shared" si="670"/>
        <v>864.28226800175935</v>
      </c>
      <c r="V99" s="17">
        <f t="shared" si="670"/>
        <v>872.91691428597551</v>
      </c>
      <c r="W99" s="17">
        <f t="shared" si="670"/>
        <v>880.21096809028518</v>
      </c>
      <c r="X99" s="17">
        <f t="shared" si="670"/>
        <v>847.02911751040938</v>
      </c>
      <c r="Y99" s="17">
        <f t="shared" si="670"/>
        <v>866.99894209377726</v>
      </c>
      <c r="Z99" s="17">
        <f t="shared" si="670"/>
        <v>838.32490831394978</v>
      </c>
      <c r="AA99" s="18">
        <f t="shared" si="670"/>
        <v>852.91660524337544</v>
      </c>
      <c r="AB99" s="17">
        <f t="shared" si="670"/>
        <v>854.02030815249054</v>
      </c>
      <c r="AC99" s="17">
        <f t="shared" si="670"/>
        <v>835.58804263808941</v>
      </c>
      <c r="AD99" s="17">
        <f t="shared" si="670"/>
        <v>816.01075732726406</v>
      </c>
      <c r="AE99" s="17">
        <f t="shared" si="670"/>
        <v>820.27628150398164</v>
      </c>
      <c r="AF99" s="17">
        <f t="shared" si="670"/>
        <v>823.14652644207854</v>
      </c>
      <c r="AG99" s="17">
        <f t="shared" si="670"/>
        <v>825.27525572170964</v>
      </c>
      <c r="AH99" s="17">
        <f t="shared" si="670"/>
        <v>852.13105017704765</v>
      </c>
      <c r="AI99" s="17">
        <f t="shared" si="670"/>
        <v>878.91861124830666</v>
      </c>
      <c r="AJ99" s="17">
        <f t="shared" si="670"/>
        <v>877.9391238434672</v>
      </c>
      <c r="AK99" s="17">
        <f t="shared" si="670"/>
        <v>910.49175091035204</v>
      </c>
      <c r="AL99" s="17">
        <f t="shared" si="670"/>
        <v>904.59838076428196</v>
      </c>
      <c r="AM99" s="18">
        <f t="shared" si="670"/>
        <v>920.37378420227515</v>
      </c>
    </row>
    <row r="100" spans="1:63" x14ac:dyDescent="0.35">
      <c r="A100" s="1" t="s">
        <v>200</v>
      </c>
      <c r="B100" s="1" t="s">
        <v>157</v>
      </c>
      <c r="C100" s="52">
        <f>C70</f>
        <v>259.51572685058733</v>
      </c>
      <c r="D100" s="297">
        <f>(D70/'Input - ENR'!D24)*'Calculation - Stagewise ECL'!D5</f>
        <v>289.1819662169604</v>
      </c>
      <c r="E100" s="297">
        <f>(E70/'Input - ENR'!E24)*'Calculation - Stagewise ECL'!E5</f>
        <v>296.50306417591287</v>
      </c>
      <c r="F100" s="297">
        <f>(F70/'Input - ENR'!F24)*'Calculation - Stagewise ECL'!F5</f>
        <v>302.18369776987936</v>
      </c>
      <c r="G100" s="297">
        <f>(G70/'Input - ENR'!G24)*'Calculation - Stagewise ECL'!G5</f>
        <v>315.43761693399364</v>
      </c>
      <c r="H100" s="53">
        <f>(H70/'Input - ENR'!H24)*'Calculation - Stagewise ECL'!H5</f>
        <v>323.7615191856471</v>
      </c>
      <c r="I100" s="53">
        <f>(I70/'Input - ENR'!I24)*'Calculation - Stagewise ECL'!I5</f>
        <v>333.97395653756411</v>
      </c>
      <c r="J100" s="53">
        <f>(J70/'Input - ENR'!J24)*'Calculation - Stagewise ECL'!J5</f>
        <v>352.44481210332521</v>
      </c>
      <c r="K100" s="53">
        <f>(K70/'Input - ENR'!K24)*'Calculation - Stagewise ECL'!K5</f>
        <v>370.48693416698057</v>
      </c>
      <c r="L100" s="53">
        <f>(L70/'Input - ENR'!L24)*'Calculation - Stagewise ECL'!L5</f>
        <v>390.41402586222716</v>
      </c>
      <c r="M100" s="53">
        <f>(M70/'Input - ENR'!M24)*'Calculation - Stagewise ECL'!M5</f>
        <v>411.93721852780664</v>
      </c>
      <c r="N100" s="53">
        <f>(N70/'Input - ENR'!N24)*'Calculation - Stagewise ECL'!N5</f>
        <v>432.65663162904974</v>
      </c>
      <c r="O100" s="54">
        <f>(O70/'Input - ENR'!O24)*'Calculation - Stagewise ECL'!O5</f>
        <v>450.9448359581001</v>
      </c>
      <c r="P100" s="53">
        <f>(P70/'Input - ENR'!P24)*'Calculation - Stagewise ECL'!P5</f>
        <v>474.58576285145153</v>
      </c>
      <c r="Q100" s="53">
        <f>(Q70/'Input - ENR'!Q24)*'Calculation - Stagewise ECL'!Q5</f>
        <v>479.54381123857382</v>
      </c>
      <c r="R100" s="53">
        <f>(R70/'Input - ENR'!R24)*'Calculation - Stagewise ECL'!R5</f>
        <v>486.60529151797908</v>
      </c>
      <c r="S100" s="53">
        <f>(S70/'Input - ENR'!S24)*'Calculation - Stagewise ECL'!S5</f>
        <v>506.44399427543289</v>
      </c>
      <c r="T100" s="53">
        <f>(T70/'Input - ENR'!T24)*'Calculation - Stagewise ECL'!T5</f>
        <v>520.96835012379177</v>
      </c>
      <c r="U100" s="53">
        <f>(U70/'Input - ENR'!U24)*'Calculation - Stagewise ECL'!U5</f>
        <v>539.47981762458301</v>
      </c>
      <c r="V100" s="53">
        <f>(V70/'Input - ENR'!V24)*'Calculation - Stagewise ECL'!V5</f>
        <v>543.26804348662392</v>
      </c>
      <c r="W100" s="53">
        <f>(W70/'Input - ENR'!W24)*'Calculation - Stagewise ECL'!W5</f>
        <v>545.43330915430386</v>
      </c>
      <c r="X100" s="53">
        <f>(X70/'Input - ENR'!X24)*'Calculation - Stagewise ECL'!X5</f>
        <v>550.6489674746681</v>
      </c>
      <c r="Y100" s="53">
        <f>(Y70/'Input - ENR'!Y24)*'Calculation - Stagewise ECL'!Y5</f>
        <v>559.77755802136062</v>
      </c>
      <c r="Z100" s="53">
        <f>(Z70/'Input - ENR'!Z24)*'Calculation - Stagewise ECL'!Z5</f>
        <v>566.85833614834519</v>
      </c>
      <c r="AA100" s="53">
        <f>(AA70/'Input - ENR'!AA24)*'Calculation - Stagewise ECL'!AA5</f>
        <v>570.77704709273303</v>
      </c>
      <c r="AB100" s="53">
        <f>(AB70/'Input - ENR'!AB24)*'Calculation - Stagewise ECL'!AB5</f>
        <v>585.71849719005183</v>
      </c>
      <c r="AC100" s="53">
        <f>(AC70/'Input - ENR'!AC24)*'Calculation - Stagewise ECL'!AC5</f>
        <v>572.49891125924296</v>
      </c>
      <c r="AD100" s="53">
        <f>(AD70/'Input - ENR'!AD24)*'Calculation - Stagewise ECL'!AD5</f>
        <v>556.08797291620283</v>
      </c>
      <c r="AE100" s="53">
        <f>(AE70/'Input - ENR'!AE24)*'Calculation - Stagewise ECL'!AE5</f>
        <v>554.69494102549459</v>
      </c>
      <c r="AF100" s="53">
        <f>(AF70/'Input - ENR'!AF24)*'Calculation - Stagewise ECL'!AF5</f>
        <v>550.46369072989023</v>
      </c>
      <c r="AG100" s="53">
        <f>(AG70/'Input - ENR'!AG24)*'Calculation - Stagewise ECL'!AG5</f>
        <v>553.96559576140203</v>
      </c>
      <c r="AH100" s="53">
        <f>(AH70/'Input - ENR'!AH24)*'Calculation - Stagewise ECL'!AH5</f>
        <v>569.13531470932082</v>
      </c>
      <c r="AI100" s="53">
        <f>(AI70/'Input - ENR'!AI24)*'Calculation - Stagewise ECL'!AI5</f>
        <v>584.78994594171468</v>
      </c>
      <c r="AJ100" s="53">
        <f>(AJ70/'Input - ENR'!AJ24)*'Calculation - Stagewise ECL'!AJ5</f>
        <v>602.27814011900728</v>
      </c>
      <c r="AK100" s="53">
        <f>(AK70/'Input - ENR'!AK24)*'Calculation - Stagewise ECL'!AK5</f>
        <v>622.01331805116445</v>
      </c>
      <c r="AL100" s="53">
        <f>(AL70/'Input - ENR'!AL24)*'Calculation - Stagewise ECL'!AL5</f>
        <v>636.59145236526911</v>
      </c>
      <c r="AM100" s="53">
        <f>(AM70/'Input - ENR'!AM24)*'Calculation - Stagewise ECL'!AM5</f>
        <v>645.73083993750254</v>
      </c>
    </row>
    <row r="101" spans="1:63" x14ac:dyDescent="0.35">
      <c r="A101" s="2" t="s">
        <v>200</v>
      </c>
      <c r="B101" s="2" t="s">
        <v>158</v>
      </c>
      <c r="C101" s="55">
        <f t="shared" ref="C101" si="671">C71</f>
        <v>176.48766078446613</v>
      </c>
      <c r="D101" s="298">
        <f>(D71/'Input - ENR'!D30)*'Calculation - Stagewise ECL'!D29</f>
        <v>200.29151358785813</v>
      </c>
      <c r="E101" s="298">
        <f>(E71/'Input - ENR'!E30)*'Calculation - Stagewise ECL'!E29</f>
        <v>219.91670974122923</v>
      </c>
      <c r="F101" s="298">
        <f>(F71/'Input - ENR'!F30)*'Calculation - Stagewise ECL'!F29</f>
        <v>236.94975533794999</v>
      </c>
      <c r="G101" s="298">
        <f>(G71/'Input - ENR'!G30)*'Calculation - Stagewise ECL'!G29</f>
        <v>256.60104496781872</v>
      </c>
      <c r="H101" s="56">
        <f>(H71/'Input - ENR'!H30)*'Calculation - Stagewise ECL'!H29</f>
        <v>272.95452310465623</v>
      </c>
      <c r="I101" s="56">
        <f>(I71/'Input - ENR'!I30)*'Calculation - Stagewise ECL'!I29</f>
        <v>262.41010348026464</v>
      </c>
      <c r="J101" s="56">
        <f>(J71/'Input - ENR'!J30)*'Calculation - Stagewise ECL'!J29</f>
        <v>282.02172517607096</v>
      </c>
      <c r="K101" s="56">
        <f>(K71/'Input - ENR'!K30)*'Calculation - Stagewise ECL'!K29</f>
        <v>297.96400323747406</v>
      </c>
      <c r="L101" s="56">
        <f>(L71/'Input - ENR'!L30)*'Calculation - Stagewise ECL'!L29</f>
        <v>273.33763481986506</v>
      </c>
      <c r="M101" s="56">
        <f>(M71/'Input - ENR'!M30)*'Calculation - Stagewise ECL'!M29</f>
        <v>290.45638681304615</v>
      </c>
      <c r="N101" s="56">
        <f>(N71/'Input - ENR'!N30)*'Calculation - Stagewise ECL'!N29</f>
        <v>262.066883563771</v>
      </c>
      <c r="O101" s="57">
        <f>(O71/'Input - ENR'!O30)*'Calculation - Stagewise ECL'!O29</f>
        <v>275.72609191064447</v>
      </c>
      <c r="P101" s="56">
        <f>(P71/'Input - ENR'!P30)*'Calculation - Stagewise ECL'!P29</f>
        <v>274.14878791842102</v>
      </c>
      <c r="Q101" s="56">
        <f>(Q71/'Input - ENR'!Q30)*'Calculation - Stagewise ECL'!Q29</f>
        <v>279.63392241067976</v>
      </c>
      <c r="R101" s="56">
        <f>(R71/'Input - ENR'!R30)*'Calculation - Stagewise ECL'!R29</f>
        <v>285.18478949732008</v>
      </c>
      <c r="S101" s="56">
        <f>(S71/'Input - ENR'!S30)*'Calculation - Stagewise ECL'!S29</f>
        <v>298.09429889856227</v>
      </c>
      <c r="T101" s="56">
        <f>(T71/'Input - ENR'!T30)*'Calculation - Stagewise ECL'!T29</f>
        <v>310.53636844324842</v>
      </c>
      <c r="U101" s="56">
        <f>(U71/'Input - ENR'!U30)*'Calculation - Stagewise ECL'!U29</f>
        <v>324.80245037717634</v>
      </c>
      <c r="V101" s="56">
        <f>(V71/'Input - ENR'!V30)*'Calculation - Stagewise ECL'!V29</f>
        <v>329.64887079935153</v>
      </c>
      <c r="W101" s="56">
        <f>(W71/'Input - ENR'!W30)*'Calculation - Stagewise ECL'!W29</f>
        <v>334.77765893598126</v>
      </c>
      <c r="X101" s="56">
        <f>(X71/'Input - ENR'!X30)*'Calculation - Stagewise ECL'!X29</f>
        <v>296.38015003574122</v>
      </c>
      <c r="Y101" s="56">
        <f>(Y71/'Input - ENR'!Y30)*'Calculation - Stagewise ECL'!Y29</f>
        <v>307.22138407241658</v>
      </c>
      <c r="Z101" s="56">
        <f>(Z71/'Input - ENR'!Z30)*'Calculation - Stagewise ECL'!Z29</f>
        <v>271.46657216560459</v>
      </c>
      <c r="AA101" s="56">
        <f>(AA71/'Input - ENR'!AA30)*'Calculation - Stagewise ECL'!AA29</f>
        <v>282.13955815064247</v>
      </c>
      <c r="AB101" s="56">
        <f>(AB71/'Input - ENR'!AB30)*'Calculation - Stagewise ECL'!AB29</f>
        <v>268.30181096243865</v>
      </c>
      <c r="AC101" s="56">
        <f>(AC71/'Input - ENR'!AC30)*'Calculation - Stagewise ECL'!AC29</f>
        <v>263.08913137884645</v>
      </c>
      <c r="AD101" s="56">
        <f>(AD71/'Input - ENR'!AD30)*'Calculation - Stagewise ECL'!AD29</f>
        <v>259.92278441106123</v>
      </c>
      <c r="AE101" s="56">
        <f>(AE71/'Input - ENR'!AE30)*'Calculation - Stagewise ECL'!AE29</f>
        <v>265.58134047848705</v>
      </c>
      <c r="AF101" s="56">
        <f>(AF71/'Input - ENR'!AF30)*'Calculation - Stagewise ECL'!AF29</f>
        <v>272.68283571218836</v>
      </c>
      <c r="AG101" s="56">
        <f>(AG71/'Input - ENR'!AG30)*'Calculation - Stagewise ECL'!AG29</f>
        <v>271.30965996030761</v>
      </c>
      <c r="AH101" s="56">
        <f>(AH71/'Input - ENR'!AH30)*'Calculation - Stagewise ECL'!AH29</f>
        <v>282.99573546772689</v>
      </c>
      <c r="AI101" s="56">
        <f>(AI71/'Input - ENR'!AI30)*'Calculation - Stagewise ECL'!AI29</f>
        <v>294.12866530659198</v>
      </c>
      <c r="AJ101" s="56">
        <f>(AJ71/'Input - ENR'!AJ30)*'Calculation - Stagewise ECL'!AJ29</f>
        <v>275.66098372445992</v>
      </c>
      <c r="AK101" s="56">
        <f>(AK71/'Input - ENR'!AK30)*'Calculation - Stagewise ECL'!AK29</f>
        <v>288.47843285918754</v>
      </c>
      <c r="AL101" s="56">
        <f>(AL71/'Input - ENR'!AL30)*'Calculation - Stagewise ECL'!AL29</f>
        <v>268.00692839901291</v>
      </c>
      <c r="AM101" s="56">
        <f>(AM71/'Input - ENR'!AM30)*'Calculation - Stagewise ECL'!AM29</f>
        <v>274.64294426477261</v>
      </c>
    </row>
    <row r="102" spans="1:63" x14ac:dyDescent="0.35">
      <c r="A102" s="3" t="s">
        <v>200</v>
      </c>
      <c r="B102" s="3" t="s">
        <v>159</v>
      </c>
      <c r="C102" s="58">
        <f t="shared" ref="C102" si="672">C72</f>
        <v>0</v>
      </c>
      <c r="D102" s="59">
        <f t="shared" ref="D102:F102" si="673">IFERROR((D72/D66)*D96,0)</f>
        <v>0</v>
      </c>
      <c r="E102" s="59">
        <f t="shared" si="673"/>
        <v>0</v>
      </c>
      <c r="F102" s="59">
        <f t="shared" si="673"/>
        <v>0</v>
      </c>
      <c r="G102" s="59">
        <f t="shared" ref="G102:AM102" si="674">IFERROR((G72/G66)*G96,0)</f>
        <v>0</v>
      </c>
      <c r="H102" s="59">
        <f t="shared" si="674"/>
        <v>0</v>
      </c>
      <c r="I102" s="59">
        <f t="shared" si="674"/>
        <v>0</v>
      </c>
      <c r="J102" s="59">
        <f t="shared" si="674"/>
        <v>0</v>
      </c>
      <c r="K102" s="59">
        <f t="shared" si="674"/>
        <v>0</v>
      </c>
      <c r="L102" s="59">
        <f t="shared" si="674"/>
        <v>0</v>
      </c>
      <c r="M102" s="59">
        <f t="shared" si="674"/>
        <v>0</v>
      </c>
      <c r="N102" s="59">
        <f t="shared" si="674"/>
        <v>0</v>
      </c>
      <c r="O102" s="60">
        <f t="shared" si="674"/>
        <v>0</v>
      </c>
      <c r="P102" s="59">
        <f t="shared" si="674"/>
        <v>0</v>
      </c>
      <c r="Q102" s="59">
        <f t="shared" si="674"/>
        <v>0</v>
      </c>
      <c r="R102" s="59">
        <f t="shared" si="674"/>
        <v>0</v>
      </c>
      <c r="S102" s="59">
        <f t="shared" si="674"/>
        <v>0</v>
      </c>
      <c r="T102" s="59">
        <f t="shared" si="674"/>
        <v>0</v>
      </c>
      <c r="U102" s="59">
        <f t="shared" si="674"/>
        <v>0</v>
      </c>
      <c r="V102" s="59">
        <f t="shared" si="674"/>
        <v>0</v>
      </c>
      <c r="W102" s="59">
        <f t="shared" si="674"/>
        <v>0</v>
      </c>
      <c r="X102" s="59">
        <f t="shared" si="674"/>
        <v>0</v>
      </c>
      <c r="Y102" s="59">
        <f t="shared" si="674"/>
        <v>0</v>
      </c>
      <c r="Z102" s="59">
        <f t="shared" si="674"/>
        <v>0</v>
      </c>
      <c r="AA102" s="60">
        <f t="shared" si="674"/>
        <v>0</v>
      </c>
      <c r="AB102" s="59">
        <f t="shared" si="674"/>
        <v>0</v>
      </c>
      <c r="AC102" s="59">
        <f t="shared" si="674"/>
        <v>0</v>
      </c>
      <c r="AD102" s="59">
        <f t="shared" si="674"/>
        <v>0</v>
      </c>
      <c r="AE102" s="59">
        <f t="shared" si="674"/>
        <v>0</v>
      </c>
      <c r="AF102" s="59">
        <f t="shared" si="674"/>
        <v>0</v>
      </c>
      <c r="AG102" s="59">
        <f t="shared" si="674"/>
        <v>0</v>
      </c>
      <c r="AH102" s="59">
        <f t="shared" si="674"/>
        <v>0</v>
      </c>
      <c r="AI102" s="59">
        <f t="shared" si="674"/>
        <v>0</v>
      </c>
      <c r="AJ102" s="59">
        <f t="shared" si="674"/>
        <v>0</v>
      </c>
      <c r="AK102" s="59">
        <f t="shared" si="674"/>
        <v>0</v>
      </c>
      <c r="AL102" s="59">
        <f t="shared" si="674"/>
        <v>0</v>
      </c>
      <c r="AM102" s="60">
        <f t="shared" si="674"/>
        <v>0</v>
      </c>
    </row>
    <row r="103" spans="1:63" x14ac:dyDescent="0.35">
      <c r="O103" s="299">
        <f>O99*20%</f>
        <v>145.33418557374893</v>
      </c>
      <c r="AA103" s="231">
        <f>(AA99-O99)*20%</f>
        <v>25.249135474926177</v>
      </c>
      <c r="AB103" s="299">
        <f>AA103+O103</f>
        <v>170.58332104867509</v>
      </c>
      <c r="AM103" s="231">
        <f>AM99-AA99</f>
        <v>67.457178958899704</v>
      </c>
      <c r="BK103" s="299">
        <f>AM103*20%</f>
        <v>13.491435791779942</v>
      </c>
    </row>
    <row r="104" spans="1:63" x14ac:dyDescent="0.35">
      <c r="A104" s="25" t="s">
        <v>204</v>
      </c>
      <c r="B104" s="4" t="s">
        <v>3</v>
      </c>
      <c r="C104" s="19">
        <f>C98</f>
        <v>45352</v>
      </c>
      <c r="D104" s="20">
        <f>EDATE(C104,1)</f>
        <v>45383</v>
      </c>
      <c r="E104" s="20">
        <f>EDATE(D104,1)</f>
        <v>45413</v>
      </c>
      <c r="F104" s="20">
        <f>EDATE(E104,1)</f>
        <v>45444</v>
      </c>
      <c r="G104" s="20">
        <f t="shared" ref="G104" si="675">EDATE(F104,1)</f>
        <v>45474</v>
      </c>
      <c r="H104" s="20">
        <f t="shared" ref="H104" si="676">EDATE(G104,1)</f>
        <v>45505</v>
      </c>
      <c r="I104" s="20">
        <f t="shared" ref="I104" si="677">EDATE(H104,1)</f>
        <v>45536</v>
      </c>
      <c r="J104" s="20">
        <f t="shared" ref="J104" si="678">EDATE(I104,1)</f>
        <v>45566</v>
      </c>
      <c r="K104" s="20">
        <f t="shared" ref="K104" si="679">EDATE(J104,1)</f>
        <v>45597</v>
      </c>
      <c r="L104" s="20">
        <f t="shared" ref="L104" si="680">EDATE(K104,1)</f>
        <v>45627</v>
      </c>
      <c r="M104" s="20">
        <f t="shared" ref="M104" si="681">EDATE(L104,1)</f>
        <v>45658</v>
      </c>
      <c r="N104" s="20">
        <f t="shared" ref="N104" si="682">EDATE(M104,1)</f>
        <v>45689</v>
      </c>
      <c r="O104" s="21">
        <f t="shared" ref="O104" si="683">EDATE(N104,1)</f>
        <v>45717</v>
      </c>
      <c r="P104" s="20">
        <f t="shared" ref="P104" si="684">EDATE(O104,1)</f>
        <v>45748</v>
      </c>
      <c r="Q104" s="20">
        <f t="shared" ref="Q104" si="685">EDATE(P104,1)</f>
        <v>45778</v>
      </c>
      <c r="R104" s="20">
        <f t="shared" ref="R104" si="686">EDATE(Q104,1)</f>
        <v>45809</v>
      </c>
      <c r="S104" s="20">
        <f t="shared" ref="S104" si="687">EDATE(R104,1)</f>
        <v>45839</v>
      </c>
      <c r="T104" s="20">
        <f t="shared" ref="T104" si="688">EDATE(S104,1)</f>
        <v>45870</v>
      </c>
      <c r="U104" s="20">
        <f t="shared" ref="U104" si="689">EDATE(T104,1)</f>
        <v>45901</v>
      </c>
      <c r="V104" s="20">
        <f t="shared" ref="V104" si="690">EDATE(U104,1)</f>
        <v>45931</v>
      </c>
      <c r="W104" s="20">
        <f t="shared" ref="W104" si="691">EDATE(V104,1)</f>
        <v>45962</v>
      </c>
      <c r="X104" s="20">
        <f t="shared" ref="X104" si="692">EDATE(W104,1)</f>
        <v>45992</v>
      </c>
      <c r="Y104" s="20">
        <f t="shared" ref="Y104" si="693">EDATE(X104,1)</f>
        <v>46023</v>
      </c>
      <c r="Z104" s="20">
        <f t="shared" ref="Z104" si="694">EDATE(Y104,1)</f>
        <v>46054</v>
      </c>
      <c r="AA104" s="21">
        <f t="shared" ref="AA104" si="695">EDATE(Z104,1)</f>
        <v>46082</v>
      </c>
      <c r="AB104" s="20">
        <f t="shared" ref="AB104" si="696">EDATE(AA104,1)</f>
        <v>46113</v>
      </c>
      <c r="AC104" s="20">
        <f t="shared" ref="AC104" si="697">EDATE(AB104,1)</f>
        <v>46143</v>
      </c>
      <c r="AD104" s="20">
        <f t="shared" ref="AD104" si="698">EDATE(AC104,1)</f>
        <v>46174</v>
      </c>
      <c r="AE104" s="20">
        <f t="shared" ref="AE104" si="699">EDATE(AD104,1)</f>
        <v>46204</v>
      </c>
      <c r="AF104" s="20">
        <f t="shared" ref="AF104" si="700">EDATE(AE104,1)</f>
        <v>46235</v>
      </c>
      <c r="AG104" s="20">
        <f t="shared" ref="AG104" si="701">EDATE(AF104,1)</f>
        <v>46266</v>
      </c>
      <c r="AH104" s="20">
        <f t="shared" ref="AH104" si="702">EDATE(AG104,1)</f>
        <v>46296</v>
      </c>
      <c r="AI104" s="20">
        <f t="shared" ref="AI104" si="703">EDATE(AH104,1)</f>
        <v>46327</v>
      </c>
      <c r="AJ104" s="20">
        <f t="shared" ref="AJ104" si="704">EDATE(AI104,1)</f>
        <v>46357</v>
      </c>
      <c r="AK104" s="20">
        <f t="shared" ref="AK104" si="705">EDATE(AJ104,1)</f>
        <v>46388</v>
      </c>
      <c r="AL104" s="20">
        <f t="shared" ref="AL104" si="706">EDATE(AK104,1)</f>
        <v>46419</v>
      </c>
      <c r="AM104" s="21">
        <f t="shared" ref="AM104" si="707">EDATE(AL104,1)</f>
        <v>46447</v>
      </c>
    </row>
    <row r="105" spans="1:63" x14ac:dyDescent="0.35">
      <c r="A105" s="15" t="s">
        <v>204</v>
      </c>
      <c r="B105" s="15" t="s">
        <v>188</v>
      </c>
      <c r="C105" s="16">
        <f>SUM(C106:C108)</f>
        <v>598.86710121910528</v>
      </c>
      <c r="D105" s="17">
        <f t="shared" ref="D105:AM105" si="708">SUM(D106:D108)</f>
        <v>621.170123394646</v>
      </c>
      <c r="E105" s="17">
        <f t="shared" si="708"/>
        <v>647.49591227332053</v>
      </c>
      <c r="F105" s="17">
        <f t="shared" si="708"/>
        <v>674.88961998324055</v>
      </c>
      <c r="G105" s="17">
        <f t="shared" si="708"/>
        <v>702.92248524774186</v>
      </c>
      <c r="H105" s="17">
        <f t="shared" si="708"/>
        <v>732.50704461806731</v>
      </c>
      <c r="I105" s="17">
        <f t="shared" si="708"/>
        <v>735.71741323490414</v>
      </c>
      <c r="J105" s="17">
        <f t="shared" si="708"/>
        <v>770.28188907331821</v>
      </c>
      <c r="K105" s="17">
        <f t="shared" si="708"/>
        <v>807.93243685310449</v>
      </c>
      <c r="L105" s="17">
        <f t="shared" si="708"/>
        <v>800.12918825463009</v>
      </c>
      <c r="M105" s="17">
        <f t="shared" si="708"/>
        <v>837.55006623326403</v>
      </c>
      <c r="N105" s="17">
        <f t="shared" si="708"/>
        <v>825.46170042926576</v>
      </c>
      <c r="O105" s="18">
        <f t="shared" si="708"/>
        <v>864.21938788347256</v>
      </c>
      <c r="P105" s="17">
        <f t="shared" si="708"/>
        <v>899.2997018606269</v>
      </c>
      <c r="Q105" s="17">
        <f t="shared" si="708"/>
        <v>936.18721467163152</v>
      </c>
      <c r="R105" s="17">
        <f t="shared" si="708"/>
        <v>973.69833079348746</v>
      </c>
      <c r="S105" s="17">
        <f t="shared" si="708"/>
        <v>1011.4798712532698</v>
      </c>
      <c r="T105" s="17">
        <f t="shared" si="708"/>
        <v>1052.3949867782735</v>
      </c>
      <c r="U105" s="17">
        <f t="shared" si="708"/>
        <v>1089.6052273565351</v>
      </c>
      <c r="V105" s="17">
        <f t="shared" si="708"/>
        <v>1071.8418410666723</v>
      </c>
      <c r="W105" s="17">
        <f t="shared" si="708"/>
        <v>1060.3240957086632</v>
      </c>
      <c r="X105" s="17">
        <f t="shared" si="708"/>
        <v>991.90390333754294</v>
      </c>
      <c r="Y105" s="17">
        <f t="shared" si="708"/>
        <v>991.76151762942573</v>
      </c>
      <c r="Z105" s="17">
        <f t="shared" si="708"/>
        <v>935.17590404751832</v>
      </c>
      <c r="AA105" s="18">
        <f t="shared" si="708"/>
        <v>943.62817188404335</v>
      </c>
      <c r="AB105" s="17">
        <f t="shared" si="708"/>
        <v>926.67900293603736</v>
      </c>
      <c r="AC105" s="17">
        <f t="shared" si="708"/>
        <v>924.84004911475517</v>
      </c>
      <c r="AD105" s="17">
        <f t="shared" si="708"/>
        <v>917.7706875966187</v>
      </c>
      <c r="AE105" s="17">
        <f t="shared" si="708"/>
        <v>914.35280121721621</v>
      </c>
      <c r="AF105" s="17">
        <f t="shared" si="708"/>
        <v>916.11608864810614</v>
      </c>
      <c r="AG105" s="17">
        <f t="shared" si="708"/>
        <v>909.20378512883758</v>
      </c>
      <c r="AH105" s="17">
        <f t="shared" si="708"/>
        <v>917.30060765834355</v>
      </c>
      <c r="AI105" s="17">
        <f t="shared" si="708"/>
        <v>928.71985364946499</v>
      </c>
      <c r="AJ105" s="17">
        <f t="shared" si="708"/>
        <v>904.87282870470813</v>
      </c>
      <c r="AK105" s="17">
        <f t="shared" si="708"/>
        <v>915.97389237666948</v>
      </c>
      <c r="AL105" s="17">
        <f t="shared" si="708"/>
        <v>889.78798727765673</v>
      </c>
      <c r="AM105" s="18">
        <f t="shared" si="708"/>
        <v>896.13542948109045</v>
      </c>
    </row>
    <row r="106" spans="1:63" x14ac:dyDescent="0.35">
      <c r="A106" s="1" t="s">
        <v>204</v>
      </c>
      <c r="B106" s="1" t="s">
        <v>157</v>
      </c>
      <c r="C106" s="52">
        <f>C76</f>
        <v>373.02985900563851</v>
      </c>
      <c r="D106" s="53">
        <f>'Calculation - Stagewise ECL'!D22</f>
        <v>376.10648503691391</v>
      </c>
      <c r="E106" s="53">
        <f>'Calculation - Stagewise ECL'!E22</f>
        <v>387.04813127955288</v>
      </c>
      <c r="F106" s="53">
        <f>'Calculation - Stagewise ECL'!F22</f>
        <v>398.45111008940677</v>
      </c>
      <c r="G106" s="53">
        <f>'Calculation - Stagewise ECL'!G22</f>
        <v>410.07378066380932</v>
      </c>
      <c r="H106" s="53">
        <f>'Calculation - Stagewise ECL'!H22</f>
        <v>422.4207501378923</v>
      </c>
      <c r="I106" s="53">
        <f>'Calculation - Stagewise ECL'!I22</f>
        <v>435.33968779792525</v>
      </c>
      <c r="J106" s="53">
        <f>'Calculation - Stagewise ECL'!J22</f>
        <v>449.98703369744959</v>
      </c>
      <c r="K106" s="53">
        <f>'Calculation - Stagewise ECL'!K22</f>
        <v>466.20190936170542</v>
      </c>
      <c r="L106" s="53">
        <f>'Calculation - Stagewise ECL'!L22</f>
        <v>483.16968310699394</v>
      </c>
      <c r="M106" s="53">
        <f>'Calculation - Stagewise ECL'!M22</f>
        <v>499.65137561173873</v>
      </c>
      <c r="N106" s="53">
        <f>'Calculation - Stagewise ECL'!N22</f>
        <v>515.76437983540359</v>
      </c>
      <c r="O106" s="54">
        <f>'Calculation - Stagewise ECL'!O22</f>
        <v>532.4233908376624</v>
      </c>
      <c r="P106" s="53">
        <f>'Calculation - Stagewise ECL'!P22</f>
        <v>545.2737095644427</v>
      </c>
      <c r="Q106" s="53">
        <f>'Calculation - Stagewise ECL'!Q22</f>
        <v>558.93199056419883</v>
      </c>
      <c r="R106" s="53">
        <f>'Calculation - Stagewise ECL'!R22</f>
        <v>572.91938985445324</v>
      </c>
      <c r="S106" s="53">
        <f>'Calculation - Stagewise ECL'!S22</f>
        <v>585.81734901821278</v>
      </c>
      <c r="T106" s="53">
        <f>'Calculation - Stagewise ECL'!T22</f>
        <v>600.89822062288613</v>
      </c>
      <c r="U106" s="53">
        <f>'Calculation - Stagewise ECL'!U22</f>
        <v>612.09515803977149</v>
      </c>
      <c r="V106" s="53">
        <f>'Calculation - Stagewise ECL'!V22</f>
        <v>600.9704821838169</v>
      </c>
      <c r="W106" s="53">
        <f>'Calculation - Stagewise ECL'!W22</f>
        <v>592.9743676837154</v>
      </c>
      <c r="X106" s="53">
        <f>'Calculation - Stagewise ECL'!X22</f>
        <v>587.97807758143608</v>
      </c>
      <c r="Y106" s="53">
        <f>'Calculation - Stagewise ECL'!Y22</f>
        <v>584.64000713672283</v>
      </c>
      <c r="Z106" s="53">
        <f>'Calculation - Stagewise ECL'!Z22</f>
        <v>582.35144208867348</v>
      </c>
      <c r="AA106" s="54">
        <f>'Calculation - Stagewise ECL'!AA22</f>
        <v>582.46991548985409</v>
      </c>
      <c r="AB106" s="53">
        <f>'Calculation - Stagewise ECL'!AB22</f>
        <v>569.62156134399709</v>
      </c>
      <c r="AC106" s="53">
        <f>'Calculation - Stagewise ECL'!AC22</f>
        <v>569.57106416038562</v>
      </c>
      <c r="AD106" s="53">
        <f>'Calculation - Stagewise ECL'!AD22</f>
        <v>562.99639187197886</v>
      </c>
      <c r="AE106" s="53">
        <f>'Calculation - Stagewise ECL'!AE22</f>
        <v>558.6484672005771</v>
      </c>
      <c r="AF106" s="53">
        <f>'Calculation - Stagewise ECL'!AF22</f>
        <v>557.66923964130058</v>
      </c>
      <c r="AG106" s="53">
        <f>'Calculation - Stagewise ECL'!AG22</f>
        <v>560.29827630374723</v>
      </c>
      <c r="AH106" s="53">
        <f>'Calculation - Stagewise ECL'!AH22</f>
        <v>563.46705119926253</v>
      </c>
      <c r="AI106" s="53">
        <f>'Calculation - Stagewise ECL'!AI22</f>
        <v>569.29265587221005</v>
      </c>
      <c r="AJ106" s="53">
        <f>'Calculation - Stagewise ECL'!AJ22</f>
        <v>576.30184969209802</v>
      </c>
      <c r="AK106" s="53">
        <f>'Calculation - Stagewise ECL'!AK22</f>
        <v>582.08121888698952</v>
      </c>
      <c r="AL106" s="53">
        <f>'Calculation - Stagewise ECL'!AL22</f>
        <v>585.70625695514434</v>
      </c>
      <c r="AM106" s="54">
        <f>'Calculation - Stagewise ECL'!AM22</f>
        <v>589.47052150663421</v>
      </c>
    </row>
    <row r="107" spans="1:63" x14ac:dyDescent="0.35">
      <c r="A107" s="2" t="s">
        <v>204</v>
      </c>
      <c r="B107" s="2" t="s">
        <v>158</v>
      </c>
      <c r="C107" s="55">
        <f t="shared" ref="C107" si="709">C77</f>
        <v>225.83724221346682</v>
      </c>
      <c r="D107" s="56">
        <f>'Calculation - Stagewise ECL'!D46</f>
        <v>245.06363835773215</v>
      </c>
      <c r="E107" s="56">
        <f>'Calculation - Stagewise ECL'!E46</f>
        <v>260.44778099376771</v>
      </c>
      <c r="F107" s="56">
        <f>'Calculation - Stagewise ECL'!F46</f>
        <v>276.43850989383378</v>
      </c>
      <c r="G107" s="56">
        <f>'Calculation - Stagewise ECL'!G46</f>
        <v>292.8487045839326</v>
      </c>
      <c r="H107" s="56">
        <f>'Calculation - Stagewise ECL'!H46</f>
        <v>310.08629448017501</v>
      </c>
      <c r="I107" s="56">
        <f>'Calculation - Stagewise ECL'!I46</f>
        <v>300.37772543697889</v>
      </c>
      <c r="J107" s="56">
        <f>'Calculation - Stagewise ECL'!J46</f>
        <v>320.29485537586862</v>
      </c>
      <c r="K107" s="56">
        <f>'Calculation - Stagewise ECL'!K46</f>
        <v>341.73052749139907</v>
      </c>
      <c r="L107" s="56">
        <f>'Calculation - Stagewise ECL'!L46</f>
        <v>316.95950514763615</v>
      </c>
      <c r="M107" s="56">
        <f>'Calculation - Stagewise ECL'!M46</f>
        <v>337.8986906215253</v>
      </c>
      <c r="N107" s="56">
        <f>'Calculation - Stagewise ECL'!N46</f>
        <v>309.69732059386217</v>
      </c>
      <c r="O107" s="57">
        <f>'Calculation - Stagewise ECL'!O46</f>
        <v>331.79599704581011</v>
      </c>
      <c r="P107" s="56">
        <f>'Calculation - Stagewise ECL'!P46</f>
        <v>354.0259922961842</v>
      </c>
      <c r="Q107" s="56">
        <f>'Calculation - Stagewise ECL'!Q46</f>
        <v>377.2552241074327</v>
      </c>
      <c r="R107" s="56">
        <f>'Calculation - Stagewise ECL'!R46</f>
        <v>400.77894093903427</v>
      </c>
      <c r="S107" s="56">
        <f>'Calculation - Stagewise ECL'!S46</f>
        <v>425.66252223505705</v>
      </c>
      <c r="T107" s="56">
        <f>'Calculation - Stagewise ECL'!T46</f>
        <v>451.49676615538749</v>
      </c>
      <c r="U107" s="56">
        <f>'Calculation - Stagewise ECL'!U46</f>
        <v>477.51006931676352</v>
      </c>
      <c r="V107" s="56">
        <f>'Calculation - Stagewise ECL'!V46</f>
        <v>470.87135888285542</v>
      </c>
      <c r="W107" s="56">
        <f>'Calculation - Stagewise ECL'!W46</f>
        <v>467.34972802494769</v>
      </c>
      <c r="X107" s="56">
        <f>'Calculation - Stagewise ECL'!X46</f>
        <v>403.92582575610692</v>
      </c>
      <c r="Y107" s="56">
        <f>'Calculation - Stagewise ECL'!Y46</f>
        <v>407.12151049270295</v>
      </c>
      <c r="Z107" s="56">
        <f>'Calculation - Stagewise ECL'!Z46</f>
        <v>352.82446195884484</v>
      </c>
      <c r="AA107" s="57">
        <f>'Calculation - Stagewise ECL'!AA46</f>
        <v>361.15825639418927</v>
      </c>
      <c r="AB107" s="56">
        <f>'Calculation - Stagewise ECL'!AB46</f>
        <v>357.05744159204028</v>
      </c>
      <c r="AC107" s="56">
        <f>'Calculation - Stagewise ECL'!AC46</f>
        <v>355.2689849543695</v>
      </c>
      <c r="AD107" s="56">
        <f>'Calculation - Stagewise ECL'!AD46</f>
        <v>354.77429572463979</v>
      </c>
      <c r="AE107" s="56">
        <f>'Calculation - Stagewise ECL'!AE46</f>
        <v>355.70433401663905</v>
      </c>
      <c r="AF107" s="56">
        <f>'Calculation - Stagewise ECL'!AF46</f>
        <v>358.44684900680562</v>
      </c>
      <c r="AG107" s="56">
        <f>'Calculation - Stagewise ECL'!AG46</f>
        <v>348.90550882509035</v>
      </c>
      <c r="AH107" s="56">
        <f>'Calculation - Stagewise ECL'!AH46</f>
        <v>353.83355645908102</v>
      </c>
      <c r="AI107" s="56">
        <f>'Calculation - Stagewise ECL'!AI46</f>
        <v>359.42719777725489</v>
      </c>
      <c r="AJ107" s="56">
        <f>'Calculation - Stagewise ECL'!AJ46</f>
        <v>328.57097901261011</v>
      </c>
      <c r="AK107" s="56">
        <f>'Calculation - Stagewise ECL'!AK46</f>
        <v>333.89267348967996</v>
      </c>
      <c r="AL107" s="56">
        <f>'Calculation - Stagewise ECL'!AL46</f>
        <v>304.08173032251239</v>
      </c>
      <c r="AM107" s="57">
        <f>'Calculation - Stagewise ECL'!AM46</f>
        <v>306.66490797445624</v>
      </c>
    </row>
    <row r="108" spans="1:63" x14ac:dyDescent="0.35">
      <c r="A108" s="3" t="s">
        <v>204</v>
      </c>
      <c r="B108" s="3" t="s">
        <v>159</v>
      </c>
      <c r="C108" s="58">
        <v>0</v>
      </c>
      <c r="D108" s="59">
        <v>0</v>
      </c>
      <c r="E108" s="59">
        <v>0</v>
      </c>
      <c r="F108" s="59">
        <v>0</v>
      </c>
      <c r="G108" s="59">
        <v>0</v>
      </c>
      <c r="H108" s="59">
        <v>0</v>
      </c>
      <c r="I108" s="59">
        <v>0</v>
      </c>
      <c r="J108" s="59">
        <v>0</v>
      </c>
      <c r="K108" s="59">
        <v>0</v>
      </c>
      <c r="L108" s="59">
        <v>0</v>
      </c>
      <c r="M108" s="59">
        <v>0</v>
      </c>
      <c r="N108" s="59">
        <v>0</v>
      </c>
      <c r="O108" s="60">
        <v>0</v>
      </c>
      <c r="P108" s="59">
        <v>0</v>
      </c>
      <c r="Q108" s="59">
        <v>0</v>
      </c>
      <c r="R108" s="59">
        <v>0</v>
      </c>
      <c r="S108" s="59">
        <v>0</v>
      </c>
      <c r="T108" s="59">
        <v>0</v>
      </c>
      <c r="U108" s="59">
        <v>0</v>
      </c>
      <c r="V108" s="59">
        <v>0</v>
      </c>
      <c r="W108" s="59">
        <v>0</v>
      </c>
      <c r="X108" s="59">
        <v>0</v>
      </c>
      <c r="Y108" s="59">
        <v>0</v>
      </c>
      <c r="Z108" s="59">
        <v>0</v>
      </c>
      <c r="AA108" s="60">
        <v>0</v>
      </c>
      <c r="AB108" s="59">
        <v>0</v>
      </c>
      <c r="AC108" s="59">
        <v>0</v>
      </c>
      <c r="AD108" s="59">
        <v>0</v>
      </c>
      <c r="AE108" s="59">
        <v>0</v>
      </c>
      <c r="AF108" s="59">
        <v>0</v>
      </c>
      <c r="AG108" s="59">
        <v>0</v>
      </c>
      <c r="AH108" s="59">
        <v>0</v>
      </c>
      <c r="AI108" s="59">
        <v>0</v>
      </c>
      <c r="AJ108" s="59">
        <v>0</v>
      </c>
      <c r="AK108" s="59">
        <v>0</v>
      </c>
      <c r="AL108" s="59">
        <v>0</v>
      </c>
      <c r="AM108" s="60">
        <v>0</v>
      </c>
    </row>
    <row r="110" spans="1:63" x14ac:dyDescent="0.35">
      <c r="A110" s="25" t="s">
        <v>205</v>
      </c>
      <c r="B110" s="4" t="s">
        <v>3</v>
      </c>
      <c r="C110" s="19">
        <f>C104</f>
        <v>45352</v>
      </c>
      <c r="D110" s="20">
        <f>EDATE(C110,1)</f>
        <v>45383</v>
      </c>
      <c r="E110" s="20">
        <f>EDATE(D110,1)</f>
        <v>45413</v>
      </c>
      <c r="F110" s="20">
        <f>EDATE(E110,1)</f>
        <v>45444</v>
      </c>
      <c r="G110" s="20">
        <f t="shared" ref="G110" si="710">EDATE(F110,1)</f>
        <v>45474</v>
      </c>
      <c r="H110" s="20">
        <f t="shared" ref="H110" si="711">EDATE(G110,1)</f>
        <v>45505</v>
      </c>
      <c r="I110" s="20">
        <f t="shared" ref="I110" si="712">EDATE(H110,1)</f>
        <v>45536</v>
      </c>
      <c r="J110" s="20">
        <f t="shared" ref="J110" si="713">EDATE(I110,1)</f>
        <v>45566</v>
      </c>
      <c r="K110" s="20">
        <f t="shared" ref="K110" si="714">EDATE(J110,1)</f>
        <v>45597</v>
      </c>
      <c r="L110" s="20">
        <f t="shared" ref="L110" si="715">EDATE(K110,1)</f>
        <v>45627</v>
      </c>
      <c r="M110" s="20">
        <f t="shared" ref="M110" si="716">EDATE(L110,1)</f>
        <v>45658</v>
      </c>
      <c r="N110" s="20">
        <f t="shared" ref="N110" si="717">EDATE(M110,1)</f>
        <v>45689</v>
      </c>
      <c r="O110" s="21">
        <f t="shared" ref="O110" si="718">EDATE(N110,1)</f>
        <v>45717</v>
      </c>
      <c r="P110" s="20">
        <f t="shared" ref="P110" si="719">EDATE(O110,1)</f>
        <v>45748</v>
      </c>
      <c r="Q110" s="20">
        <f t="shared" ref="Q110" si="720">EDATE(P110,1)</f>
        <v>45778</v>
      </c>
      <c r="R110" s="20">
        <f t="shared" ref="R110" si="721">EDATE(Q110,1)</f>
        <v>45809</v>
      </c>
      <c r="S110" s="20">
        <f t="shared" ref="S110" si="722">EDATE(R110,1)</f>
        <v>45839</v>
      </c>
      <c r="T110" s="20">
        <f t="shared" ref="T110" si="723">EDATE(S110,1)</f>
        <v>45870</v>
      </c>
      <c r="U110" s="20">
        <f t="shared" ref="U110" si="724">EDATE(T110,1)</f>
        <v>45901</v>
      </c>
      <c r="V110" s="20">
        <f t="shared" ref="V110" si="725">EDATE(U110,1)</f>
        <v>45931</v>
      </c>
      <c r="W110" s="20">
        <f t="shared" ref="W110" si="726">EDATE(V110,1)</f>
        <v>45962</v>
      </c>
      <c r="X110" s="20">
        <f t="shared" ref="X110" si="727">EDATE(W110,1)</f>
        <v>45992</v>
      </c>
      <c r="Y110" s="20">
        <f t="shared" ref="Y110" si="728">EDATE(X110,1)</f>
        <v>46023</v>
      </c>
      <c r="Z110" s="20">
        <f t="shared" ref="Z110" si="729">EDATE(Y110,1)</f>
        <v>46054</v>
      </c>
      <c r="AA110" s="21">
        <f t="shared" ref="AA110" si="730">EDATE(Z110,1)</f>
        <v>46082</v>
      </c>
      <c r="AB110" s="20">
        <f t="shared" ref="AB110" si="731">EDATE(AA110,1)</f>
        <v>46113</v>
      </c>
      <c r="AC110" s="20">
        <f t="shared" ref="AC110" si="732">EDATE(AB110,1)</f>
        <v>46143</v>
      </c>
      <c r="AD110" s="20">
        <f t="shared" ref="AD110" si="733">EDATE(AC110,1)</f>
        <v>46174</v>
      </c>
      <c r="AE110" s="20">
        <f t="shared" ref="AE110" si="734">EDATE(AD110,1)</f>
        <v>46204</v>
      </c>
      <c r="AF110" s="20">
        <f t="shared" ref="AF110" si="735">EDATE(AE110,1)</f>
        <v>46235</v>
      </c>
      <c r="AG110" s="20">
        <f t="shared" ref="AG110" si="736">EDATE(AF110,1)</f>
        <v>46266</v>
      </c>
      <c r="AH110" s="20">
        <f t="shared" ref="AH110" si="737">EDATE(AG110,1)</f>
        <v>46296</v>
      </c>
      <c r="AI110" s="20">
        <f t="shared" ref="AI110" si="738">EDATE(AH110,1)</f>
        <v>46327</v>
      </c>
      <c r="AJ110" s="20">
        <f t="shared" ref="AJ110" si="739">EDATE(AI110,1)</f>
        <v>46357</v>
      </c>
      <c r="AK110" s="20">
        <f t="shared" ref="AK110" si="740">EDATE(AJ110,1)</f>
        <v>46388</v>
      </c>
      <c r="AL110" s="20">
        <f t="shared" ref="AL110" si="741">EDATE(AK110,1)</f>
        <v>46419</v>
      </c>
      <c r="AM110" s="21">
        <f t="shared" ref="AM110" si="742">EDATE(AL110,1)</f>
        <v>46447</v>
      </c>
    </row>
    <row r="111" spans="1:63" x14ac:dyDescent="0.35">
      <c r="A111" s="15" t="s">
        <v>205</v>
      </c>
      <c r="B111" s="15" t="s">
        <v>188</v>
      </c>
      <c r="C111" s="16">
        <f>SUM(C112:C114)</f>
        <v>86.947681604459376</v>
      </c>
      <c r="D111" s="17">
        <f t="shared" ref="D111:AM111" si="743">SUM(D112:D114)</f>
        <v>99.219799219394503</v>
      </c>
      <c r="E111" s="17">
        <f t="shared" si="743"/>
        <v>104.41103006055039</v>
      </c>
      <c r="F111" s="17">
        <f t="shared" si="743"/>
        <v>108.28457828056455</v>
      </c>
      <c r="G111" s="17">
        <f t="shared" si="743"/>
        <v>113.88269328150884</v>
      </c>
      <c r="H111" s="17">
        <f t="shared" si="743"/>
        <v>117.71593407767544</v>
      </c>
      <c r="I111" s="17">
        <f t="shared" si="743"/>
        <v>116.91717793747536</v>
      </c>
      <c r="J111" s="17">
        <f t="shared" si="743"/>
        <v>123.34485162763704</v>
      </c>
      <c r="K111" s="17">
        <f t="shared" si="743"/>
        <v>128.95760284684269</v>
      </c>
      <c r="L111" s="17">
        <f t="shared" si="743"/>
        <v>127.52674182939022</v>
      </c>
      <c r="M111" s="17">
        <f t="shared" si="743"/>
        <v>134.04864812813827</v>
      </c>
      <c r="N111" s="17">
        <f t="shared" si="743"/>
        <v>132.18644378492704</v>
      </c>
      <c r="O111" s="18">
        <f t="shared" si="743"/>
        <v>137.51805895697078</v>
      </c>
      <c r="P111" s="17">
        <f t="shared" si="743"/>
        <v>140.85593076379303</v>
      </c>
      <c r="Q111" s="17">
        <f t="shared" si="743"/>
        <v>143.16271763295859</v>
      </c>
      <c r="R111" s="17">
        <f t="shared" si="743"/>
        <v>145.81970083917957</v>
      </c>
      <c r="S111" s="17">
        <f t="shared" si="743"/>
        <v>149.09889769867215</v>
      </c>
      <c r="T111" s="17">
        <f t="shared" si="743"/>
        <v>153.48205330342068</v>
      </c>
      <c r="U111" s="17">
        <f t="shared" si="743"/>
        <v>158.94144997583817</v>
      </c>
      <c r="V111" s="17">
        <f t="shared" si="743"/>
        <v>159.93735118859999</v>
      </c>
      <c r="W111" s="17">
        <f t="shared" si="743"/>
        <v>160.71163972815177</v>
      </c>
      <c r="X111" s="17">
        <f t="shared" si="743"/>
        <v>154.52343133732313</v>
      </c>
      <c r="Y111" s="17">
        <f t="shared" si="743"/>
        <v>157.64518716399925</v>
      </c>
      <c r="Z111" s="17">
        <f t="shared" si="743"/>
        <v>152.37324337558408</v>
      </c>
      <c r="AA111" s="18">
        <f t="shared" si="743"/>
        <v>154.61061613088333</v>
      </c>
      <c r="AB111" s="17">
        <f t="shared" si="743"/>
        <v>152.66576521110446</v>
      </c>
      <c r="AC111" s="17">
        <f t="shared" si="743"/>
        <v>149.22835245277506</v>
      </c>
      <c r="AD111" s="17">
        <f t="shared" si="743"/>
        <v>145.53042005190954</v>
      </c>
      <c r="AE111" s="17">
        <f t="shared" si="743"/>
        <v>145.97466771856367</v>
      </c>
      <c r="AF111" s="17">
        <f t="shared" si="743"/>
        <v>146.07544396421991</v>
      </c>
      <c r="AG111" s="17">
        <f t="shared" si="743"/>
        <v>146.18770642389944</v>
      </c>
      <c r="AH111" s="17">
        <f t="shared" si="743"/>
        <v>150.56983534844969</v>
      </c>
      <c r="AI111" s="17">
        <f t="shared" si="743"/>
        <v>154.9184956024028</v>
      </c>
      <c r="AJ111" s="17">
        <f t="shared" si="743"/>
        <v>154.78173620607964</v>
      </c>
      <c r="AK111" s="17">
        <f t="shared" si="743"/>
        <v>160.10433651470359</v>
      </c>
      <c r="AL111" s="17">
        <f t="shared" si="743"/>
        <v>159.14865033125935</v>
      </c>
      <c r="AM111" s="18">
        <f t="shared" si="743"/>
        <v>161.59896499349742</v>
      </c>
    </row>
    <row r="112" spans="1:63" x14ac:dyDescent="0.35">
      <c r="A112" s="1" t="s">
        <v>205</v>
      </c>
      <c r="B112" s="1" t="s">
        <v>157</v>
      </c>
      <c r="C112" s="52">
        <f>C82</f>
        <v>55.047006846762471</v>
      </c>
      <c r="D112" s="53">
        <f t="shared" ref="D112:F112" si="744">IFERROR((D82/D70)*D100,0)</f>
        <v>61.259868624722209</v>
      </c>
      <c r="E112" s="53">
        <f t="shared" si="744"/>
        <v>62.734521994061957</v>
      </c>
      <c r="F112" s="53">
        <f t="shared" si="744"/>
        <v>63.542301391533201</v>
      </c>
      <c r="G112" s="53">
        <f t="shared" ref="G112:AM112" si="745">IFERROR((G82/G70)*G100,0)</f>
        <v>65.674996067805608</v>
      </c>
      <c r="H112" s="53">
        <f t="shared" si="745"/>
        <v>66.739624059480022</v>
      </c>
      <c r="I112" s="53">
        <f t="shared" si="745"/>
        <v>68.193991006882669</v>
      </c>
      <c r="J112" s="53">
        <f t="shared" si="745"/>
        <v>71.271395700090537</v>
      </c>
      <c r="K112" s="53">
        <f t="shared" si="745"/>
        <v>74.24129926714069</v>
      </c>
      <c r="L112" s="53">
        <f t="shared" si="745"/>
        <v>77.593932775378107</v>
      </c>
      <c r="M112" s="53">
        <f t="shared" si="745"/>
        <v>81.235538553407139</v>
      </c>
      <c r="N112" s="53">
        <f t="shared" si="745"/>
        <v>84.749986602210697</v>
      </c>
      <c r="O112" s="54">
        <f t="shared" si="745"/>
        <v>87.830223239245356</v>
      </c>
      <c r="P112" s="53">
        <f t="shared" si="745"/>
        <v>91.660967007892197</v>
      </c>
      <c r="Q112" s="53">
        <f t="shared" si="745"/>
        <v>93.181897473505927</v>
      </c>
      <c r="R112" s="53">
        <f t="shared" si="745"/>
        <v>95.058843032859642</v>
      </c>
      <c r="S112" s="53">
        <f t="shared" si="745"/>
        <v>96.269557488607319</v>
      </c>
      <c r="T112" s="53">
        <f t="shared" si="745"/>
        <v>98.68330664388732</v>
      </c>
      <c r="U112" s="53">
        <f t="shared" si="745"/>
        <v>101.84837536461156</v>
      </c>
      <c r="V112" s="53">
        <f t="shared" si="745"/>
        <v>102.19873882726866</v>
      </c>
      <c r="W112" s="53">
        <f t="shared" si="745"/>
        <v>102.27005075702488</v>
      </c>
      <c r="X112" s="53">
        <f t="shared" si="745"/>
        <v>102.94680108301031</v>
      </c>
      <c r="Y112" s="53">
        <f t="shared" si="745"/>
        <v>104.32810501677756</v>
      </c>
      <c r="Z112" s="53">
        <f t="shared" si="745"/>
        <v>105.38533998867806</v>
      </c>
      <c r="AA112" s="54">
        <f t="shared" si="745"/>
        <v>105.90166006867737</v>
      </c>
      <c r="AB112" s="53">
        <f t="shared" si="745"/>
        <v>106.65120683876042</v>
      </c>
      <c r="AC112" s="53">
        <f t="shared" si="745"/>
        <v>104.40518377574602</v>
      </c>
      <c r="AD112" s="53">
        <f t="shared" si="745"/>
        <v>101.55056181923382</v>
      </c>
      <c r="AE112" s="53">
        <f t="shared" si="745"/>
        <v>101.34888717638763</v>
      </c>
      <c r="AF112" s="53">
        <f t="shared" si="745"/>
        <v>100.57711212830166</v>
      </c>
      <c r="AG112" s="53">
        <f t="shared" si="745"/>
        <v>101.22143236143171</v>
      </c>
      <c r="AH112" s="53">
        <f t="shared" si="745"/>
        <v>103.95882059317911</v>
      </c>
      <c r="AI112" s="53">
        <f t="shared" si="745"/>
        <v>106.78268058151569</v>
      </c>
      <c r="AJ112" s="53">
        <f t="shared" si="745"/>
        <v>109.95143433205916</v>
      </c>
      <c r="AK112" s="53">
        <f t="shared" si="745"/>
        <v>113.48250228882479</v>
      </c>
      <c r="AL112" s="53">
        <f t="shared" si="745"/>
        <v>116.12306116268003</v>
      </c>
      <c r="AM112" s="54">
        <f t="shared" si="745"/>
        <v>117.8082241597165</v>
      </c>
    </row>
    <row r="113" spans="1:39" x14ac:dyDescent="0.35">
      <c r="A113" s="2" t="s">
        <v>205</v>
      </c>
      <c r="B113" s="2" t="s">
        <v>158</v>
      </c>
      <c r="C113" s="55">
        <f t="shared" ref="C113:C114" si="746">C83</f>
        <v>31.900674757696905</v>
      </c>
      <c r="D113" s="56">
        <f t="shared" ref="D113:F113" si="747">IFERROR((D83/D71)*D101,0)</f>
        <v>37.959930594672294</v>
      </c>
      <c r="E113" s="56">
        <f t="shared" si="747"/>
        <v>41.676508066488438</v>
      </c>
      <c r="F113" s="56">
        <f t="shared" si="747"/>
        <v>44.742276889031338</v>
      </c>
      <c r="G113" s="56">
        <f t="shared" ref="G113:AM113" si="748">IFERROR((G83/G71)*G101,0)</f>
        <v>48.207697213703234</v>
      </c>
      <c r="H113" s="56">
        <f t="shared" si="748"/>
        <v>50.97631001819542</v>
      </c>
      <c r="I113" s="56">
        <f t="shared" si="748"/>
        <v>48.723186930592689</v>
      </c>
      <c r="J113" s="56">
        <f t="shared" si="748"/>
        <v>52.073455927546512</v>
      </c>
      <c r="K113" s="56">
        <f t="shared" si="748"/>
        <v>54.716303579701993</v>
      </c>
      <c r="L113" s="56">
        <f t="shared" si="748"/>
        <v>49.932809054012111</v>
      </c>
      <c r="M113" s="56">
        <f t="shared" si="748"/>
        <v>52.813109574731122</v>
      </c>
      <c r="N113" s="56">
        <f t="shared" si="748"/>
        <v>47.436457182716339</v>
      </c>
      <c r="O113" s="57">
        <f t="shared" si="748"/>
        <v>49.687835717725434</v>
      </c>
      <c r="P113" s="56">
        <f t="shared" si="748"/>
        <v>49.194963755900822</v>
      </c>
      <c r="Q113" s="56">
        <f t="shared" si="748"/>
        <v>49.980820159452655</v>
      </c>
      <c r="R113" s="56">
        <f t="shared" si="748"/>
        <v>50.76085780631994</v>
      </c>
      <c r="S113" s="56">
        <f t="shared" si="748"/>
        <v>52.829340210064835</v>
      </c>
      <c r="T113" s="56">
        <f t="shared" si="748"/>
        <v>54.798746659533379</v>
      </c>
      <c r="U113" s="56">
        <f t="shared" si="748"/>
        <v>57.093074611226626</v>
      </c>
      <c r="V113" s="56">
        <f t="shared" si="748"/>
        <v>57.738612361331334</v>
      </c>
      <c r="W113" s="56">
        <f t="shared" si="748"/>
        <v>58.44158897112689</v>
      </c>
      <c r="X113" s="56">
        <f t="shared" si="748"/>
        <v>51.576630254312803</v>
      </c>
      <c r="Y113" s="56">
        <f t="shared" si="748"/>
        <v>53.317082147221683</v>
      </c>
      <c r="Z113" s="56">
        <f t="shared" si="748"/>
        <v>46.987903386906041</v>
      </c>
      <c r="AA113" s="57">
        <f t="shared" si="748"/>
        <v>48.708956062205964</v>
      </c>
      <c r="AB113" s="56">
        <f t="shared" si="748"/>
        <v>46.014558372344034</v>
      </c>
      <c r="AC113" s="56">
        <f t="shared" si="748"/>
        <v>44.823168677029031</v>
      </c>
      <c r="AD113" s="56">
        <f t="shared" si="748"/>
        <v>43.979858232675717</v>
      </c>
      <c r="AE113" s="56">
        <f t="shared" si="748"/>
        <v>44.625780542176038</v>
      </c>
      <c r="AF113" s="56">
        <f t="shared" si="748"/>
        <v>45.498331835918258</v>
      </c>
      <c r="AG113" s="56">
        <f t="shared" si="748"/>
        <v>44.966274062467718</v>
      </c>
      <c r="AH113" s="56">
        <f t="shared" si="748"/>
        <v>46.611014755270574</v>
      </c>
      <c r="AI113" s="56">
        <f t="shared" si="748"/>
        <v>48.135815020887108</v>
      </c>
      <c r="AJ113" s="56">
        <f t="shared" si="748"/>
        <v>44.830301874020478</v>
      </c>
      <c r="AK113" s="56">
        <f t="shared" si="748"/>
        <v>46.621834225878807</v>
      </c>
      <c r="AL113" s="56">
        <f t="shared" si="748"/>
        <v>43.025589168579309</v>
      </c>
      <c r="AM113" s="57">
        <f t="shared" si="748"/>
        <v>43.790740833780909</v>
      </c>
    </row>
    <row r="114" spans="1:39" x14ac:dyDescent="0.35">
      <c r="A114" s="3" t="s">
        <v>205</v>
      </c>
      <c r="B114" s="3" t="s">
        <v>159</v>
      </c>
      <c r="C114" s="58">
        <f t="shared" si="746"/>
        <v>0</v>
      </c>
      <c r="D114" s="59">
        <f t="shared" ref="D114:F114" si="749">IFERROR((D84/D72)*D102,0)</f>
        <v>0</v>
      </c>
      <c r="E114" s="59">
        <f t="shared" si="749"/>
        <v>0</v>
      </c>
      <c r="F114" s="59">
        <f t="shared" si="749"/>
        <v>0</v>
      </c>
      <c r="G114" s="59">
        <f t="shared" ref="G114:AM114" si="750">IFERROR((G84/G72)*G102,0)</f>
        <v>0</v>
      </c>
      <c r="H114" s="59">
        <f t="shared" si="750"/>
        <v>0</v>
      </c>
      <c r="I114" s="59">
        <f t="shared" si="750"/>
        <v>0</v>
      </c>
      <c r="J114" s="59">
        <f t="shared" si="750"/>
        <v>0</v>
      </c>
      <c r="K114" s="59">
        <f t="shared" si="750"/>
        <v>0</v>
      </c>
      <c r="L114" s="59">
        <f t="shared" si="750"/>
        <v>0</v>
      </c>
      <c r="M114" s="59">
        <f t="shared" si="750"/>
        <v>0</v>
      </c>
      <c r="N114" s="59">
        <f t="shared" si="750"/>
        <v>0</v>
      </c>
      <c r="O114" s="60">
        <f t="shared" si="750"/>
        <v>0</v>
      </c>
      <c r="P114" s="59">
        <f t="shared" si="750"/>
        <v>0</v>
      </c>
      <c r="Q114" s="59">
        <f t="shared" si="750"/>
        <v>0</v>
      </c>
      <c r="R114" s="59">
        <f t="shared" si="750"/>
        <v>0</v>
      </c>
      <c r="S114" s="59">
        <f t="shared" si="750"/>
        <v>0</v>
      </c>
      <c r="T114" s="59">
        <f t="shared" si="750"/>
        <v>0</v>
      </c>
      <c r="U114" s="59">
        <f t="shared" si="750"/>
        <v>0</v>
      </c>
      <c r="V114" s="59">
        <f t="shared" si="750"/>
        <v>0</v>
      </c>
      <c r="W114" s="59">
        <f t="shared" si="750"/>
        <v>0</v>
      </c>
      <c r="X114" s="59">
        <f t="shared" si="750"/>
        <v>0</v>
      </c>
      <c r="Y114" s="59">
        <f t="shared" si="750"/>
        <v>0</v>
      </c>
      <c r="Z114" s="59">
        <f t="shared" si="750"/>
        <v>0</v>
      </c>
      <c r="AA114" s="60">
        <f t="shared" si="750"/>
        <v>0</v>
      </c>
      <c r="AB114" s="59">
        <f t="shared" si="750"/>
        <v>0</v>
      </c>
      <c r="AC114" s="59">
        <f t="shared" si="750"/>
        <v>0</v>
      </c>
      <c r="AD114" s="59">
        <f t="shared" si="750"/>
        <v>0</v>
      </c>
      <c r="AE114" s="59">
        <f t="shared" si="750"/>
        <v>0</v>
      </c>
      <c r="AF114" s="59">
        <f t="shared" si="750"/>
        <v>0</v>
      </c>
      <c r="AG114" s="59">
        <f t="shared" si="750"/>
        <v>0</v>
      </c>
      <c r="AH114" s="59">
        <f t="shared" si="750"/>
        <v>0</v>
      </c>
      <c r="AI114" s="59">
        <f t="shared" si="750"/>
        <v>0</v>
      </c>
      <c r="AJ114" s="59">
        <f t="shared" si="750"/>
        <v>0</v>
      </c>
      <c r="AK114" s="59">
        <f t="shared" si="750"/>
        <v>0</v>
      </c>
      <c r="AL114" s="59">
        <f t="shared" si="750"/>
        <v>0</v>
      </c>
      <c r="AM114" s="60">
        <f t="shared" si="750"/>
        <v>0</v>
      </c>
    </row>
    <row r="115" spans="1:39" x14ac:dyDescent="0.35">
      <c r="O115" s="299">
        <f>O111*20%</f>
        <v>27.503611791394157</v>
      </c>
    </row>
    <row r="116" spans="1:39" x14ac:dyDescent="0.35">
      <c r="A116" s="25" t="s">
        <v>206</v>
      </c>
      <c r="B116" s="4" t="s">
        <v>3</v>
      </c>
      <c r="C116" s="19">
        <f>C110</f>
        <v>45352</v>
      </c>
      <c r="D116" s="20">
        <f>EDATE(C116,1)</f>
        <v>45383</v>
      </c>
      <c r="E116" s="20">
        <f>EDATE(D116,1)</f>
        <v>45413</v>
      </c>
      <c r="F116" s="20">
        <f>EDATE(E116,1)</f>
        <v>45444</v>
      </c>
      <c r="G116" s="20">
        <f t="shared" ref="G116" si="751">EDATE(F116,1)</f>
        <v>45474</v>
      </c>
      <c r="H116" s="20">
        <f t="shared" ref="H116" si="752">EDATE(G116,1)</f>
        <v>45505</v>
      </c>
      <c r="I116" s="20">
        <f t="shared" ref="I116" si="753">EDATE(H116,1)</f>
        <v>45536</v>
      </c>
      <c r="J116" s="20">
        <f t="shared" ref="J116" si="754">EDATE(I116,1)</f>
        <v>45566</v>
      </c>
      <c r="K116" s="20">
        <f t="shared" ref="K116" si="755">EDATE(J116,1)</f>
        <v>45597</v>
      </c>
      <c r="L116" s="20">
        <f t="shared" ref="L116" si="756">EDATE(K116,1)</f>
        <v>45627</v>
      </c>
      <c r="M116" s="20">
        <f t="shared" ref="M116" si="757">EDATE(L116,1)</f>
        <v>45658</v>
      </c>
      <c r="N116" s="20">
        <f t="shared" ref="N116" si="758">EDATE(M116,1)</f>
        <v>45689</v>
      </c>
      <c r="O116" s="21">
        <f t="shared" ref="O116" si="759">EDATE(N116,1)</f>
        <v>45717</v>
      </c>
      <c r="P116" s="20">
        <f t="shared" ref="P116" si="760">EDATE(O116,1)</f>
        <v>45748</v>
      </c>
      <c r="Q116" s="20">
        <f t="shared" ref="Q116" si="761">EDATE(P116,1)</f>
        <v>45778</v>
      </c>
      <c r="R116" s="20">
        <f t="shared" ref="R116" si="762">EDATE(Q116,1)</f>
        <v>45809</v>
      </c>
      <c r="S116" s="20">
        <f t="shared" ref="S116" si="763">EDATE(R116,1)</f>
        <v>45839</v>
      </c>
      <c r="T116" s="20">
        <f t="shared" ref="T116" si="764">EDATE(S116,1)</f>
        <v>45870</v>
      </c>
      <c r="U116" s="20">
        <f t="shared" ref="U116" si="765">EDATE(T116,1)</f>
        <v>45901</v>
      </c>
      <c r="V116" s="20">
        <f t="shared" ref="V116" si="766">EDATE(U116,1)</f>
        <v>45931</v>
      </c>
      <c r="W116" s="20">
        <f t="shared" ref="W116" si="767">EDATE(V116,1)</f>
        <v>45962</v>
      </c>
      <c r="X116" s="20">
        <f t="shared" ref="X116" si="768">EDATE(W116,1)</f>
        <v>45992</v>
      </c>
      <c r="Y116" s="20">
        <f t="shared" ref="Y116" si="769">EDATE(X116,1)</f>
        <v>46023</v>
      </c>
      <c r="Z116" s="20">
        <f t="shared" ref="Z116" si="770">EDATE(Y116,1)</f>
        <v>46054</v>
      </c>
      <c r="AA116" s="21">
        <f t="shared" ref="AA116" si="771">EDATE(Z116,1)</f>
        <v>46082</v>
      </c>
      <c r="AB116" s="20">
        <f t="shared" ref="AB116" si="772">EDATE(AA116,1)</f>
        <v>46113</v>
      </c>
      <c r="AC116" s="20">
        <f t="shared" ref="AC116" si="773">EDATE(AB116,1)</f>
        <v>46143</v>
      </c>
      <c r="AD116" s="20">
        <f t="shared" ref="AD116" si="774">EDATE(AC116,1)</f>
        <v>46174</v>
      </c>
      <c r="AE116" s="20">
        <f t="shared" ref="AE116" si="775">EDATE(AD116,1)</f>
        <v>46204</v>
      </c>
      <c r="AF116" s="20">
        <f t="shared" ref="AF116" si="776">EDATE(AE116,1)</f>
        <v>46235</v>
      </c>
      <c r="AG116" s="20">
        <f t="shared" ref="AG116" si="777">EDATE(AF116,1)</f>
        <v>46266</v>
      </c>
      <c r="AH116" s="20">
        <f t="shared" ref="AH116" si="778">EDATE(AG116,1)</f>
        <v>46296</v>
      </c>
      <c r="AI116" s="20">
        <f t="shared" ref="AI116" si="779">EDATE(AH116,1)</f>
        <v>46327</v>
      </c>
      <c r="AJ116" s="20">
        <f t="shared" ref="AJ116" si="780">EDATE(AI116,1)</f>
        <v>46357</v>
      </c>
      <c r="AK116" s="20">
        <f t="shared" ref="AK116" si="781">EDATE(AJ116,1)</f>
        <v>46388</v>
      </c>
      <c r="AL116" s="20">
        <f t="shared" ref="AL116" si="782">EDATE(AK116,1)</f>
        <v>46419</v>
      </c>
      <c r="AM116" s="21">
        <f t="shared" ref="AM116" si="783">EDATE(AL116,1)</f>
        <v>46447</v>
      </c>
    </row>
    <row r="117" spans="1:39" x14ac:dyDescent="0.35">
      <c r="A117" s="15" t="s">
        <v>206</v>
      </c>
      <c r="B117" s="15" t="s">
        <v>188</v>
      </c>
      <c r="C117" s="16">
        <f>SUM(C118:C120)</f>
        <v>98.355415030653845</v>
      </c>
      <c r="D117" s="17">
        <f t="shared" ref="D117:AM117" si="784">SUM(D118:D120)</f>
        <v>93.365409661947609</v>
      </c>
      <c r="E117" s="17">
        <f t="shared" si="784"/>
        <v>92.574863469669197</v>
      </c>
      <c r="F117" s="17">
        <f t="shared" si="784"/>
        <v>91.925196263095387</v>
      </c>
      <c r="G117" s="17">
        <f t="shared" si="784"/>
        <v>92.310882236498117</v>
      </c>
      <c r="H117" s="17">
        <f t="shared" si="784"/>
        <v>90.645731172605565</v>
      </c>
      <c r="I117" s="17">
        <f t="shared" si="784"/>
        <v>88.290678612507065</v>
      </c>
      <c r="J117" s="17">
        <f t="shared" si="784"/>
        <v>81.775062716988856</v>
      </c>
      <c r="K117" s="17">
        <f t="shared" si="784"/>
        <v>82.04529777789341</v>
      </c>
      <c r="L117" s="17">
        <f t="shared" si="784"/>
        <v>79.370619776116186</v>
      </c>
      <c r="M117" s="17">
        <f t="shared" si="784"/>
        <v>71.151005034559006</v>
      </c>
      <c r="N117" s="17">
        <f t="shared" si="784"/>
        <v>71.289781507037773</v>
      </c>
      <c r="O117" s="18">
        <f t="shared" si="784"/>
        <v>71.943081238587681</v>
      </c>
      <c r="P117" s="17">
        <f t="shared" si="784"/>
        <v>72.623723673759343</v>
      </c>
      <c r="Q117" s="17">
        <f t="shared" si="784"/>
        <v>71.92471655089939</v>
      </c>
      <c r="R117" s="17">
        <f t="shared" si="784"/>
        <v>71.86705959082316</v>
      </c>
      <c r="S117" s="17">
        <f t="shared" si="784"/>
        <v>65.699616881638107</v>
      </c>
      <c r="T117" s="17">
        <f t="shared" si="784"/>
        <v>64.284634002686161</v>
      </c>
      <c r="U117" s="17">
        <f t="shared" si="784"/>
        <v>59.881117237984959</v>
      </c>
      <c r="V117" s="17">
        <f t="shared" si="784"/>
        <v>60.564061014771262</v>
      </c>
      <c r="W117" s="17">
        <f t="shared" si="784"/>
        <v>60.246275820082239</v>
      </c>
      <c r="X117" s="17">
        <f t="shared" si="784"/>
        <v>59.435385586079946</v>
      </c>
      <c r="Y117" s="17">
        <f t="shared" si="784"/>
        <v>60.0360831738626</v>
      </c>
      <c r="Z117" s="17">
        <f t="shared" si="784"/>
        <v>59.7977231213371</v>
      </c>
      <c r="AA117" s="18">
        <f t="shared" si="784"/>
        <v>59.849096204272342</v>
      </c>
      <c r="AB117" s="17">
        <f t="shared" si="784"/>
        <v>50.00278943371454</v>
      </c>
      <c r="AC117" s="17">
        <f t="shared" si="784"/>
        <v>50.468360069533347</v>
      </c>
      <c r="AD117" s="17">
        <f t="shared" si="784"/>
        <v>49.980977614258151</v>
      </c>
      <c r="AE117" s="17">
        <f t="shared" si="784"/>
        <v>47.596410395001286</v>
      </c>
      <c r="AF117" s="17">
        <f t="shared" si="784"/>
        <v>42.589839051042809</v>
      </c>
      <c r="AG117" s="17">
        <f t="shared" si="784"/>
        <v>39.679439617555261</v>
      </c>
      <c r="AH117" s="17">
        <f t="shared" si="784"/>
        <v>37.874160222566935</v>
      </c>
      <c r="AI117" s="17">
        <f t="shared" si="784"/>
        <v>35.955994441199536</v>
      </c>
      <c r="AJ117" s="17">
        <f t="shared" si="784"/>
        <v>35.694661653169263</v>
      </c>
      <c r="AK117" s="17">
        <f t="shared" si="784"/>
        <v>36.082975796613411</v>
      </c>
      <c r="AL117" s="17">
        <f t="shared" si="784"/>
        <v>35.648497029333349</v>
      </c>
      <c r="AM117" s="18">
        <f t="shared" si="784"/>
        <v>35.241983956564006</v>
      </c>
    </row>
    <row r="118" spans="1:39" x14ac:dyDescent="0.35">
      <c r="A118" s="1" t="s">
        <v>206</v>
      </c>
      <c r="B118" s="1" t="s">
        <v>157</v>
      </c>
      <c r="C118" s="52">
        <f>C88</f>
        <v>55.213194051055638</v>
      </c>
      <c r="D118" s="53">
        <f t="shared" ref="D118:AM118" si="785">D88</f>
        <v>50.17230921405455</v>
      </c>
      <c r="E118" s="53">
        <f t="shared" si="785"/>
        <v>51.002671608301455</v>
      </c>
      <c r="F118" s="53">
        <f t="shared" si="785"/>
        <v>50.784013986197088</v>
      </c>
      <c r="G118" s="53">
        <f t="shared" si="785"/>
        <v>51.523599126968904</v>
      </c>
      <c r="H118" s="53">
        <f t="shared" si="785"/>
        <v>51.067174323205307</v>
      </c>
      <c r="I118" s="53">
        <f t="shared" si="785"/>
        <v>50.910631180007258</v>
      </c>
      <c r="J118" s="53">
        <f t="shared" si="785"/>
        <v>46.389135211343145</v>
      </c>
      <c r="K118" s="53">
        <f t="shared" si="785"/>
        <v>46.659370272247706</v>
      </c>
      <c r="L118" s="53">
        <f t="shared" si="785"/>
        <v>47.315220132237684</v>
      </c>
      <c r="M118" s="53">
        <f t="shared" si="785"/>
        <v>46.663096828548717</v>
      </c>
      <c r="N118" s="53">
        <f t="shared" si="785"/>
        <v>46.801873301027491</v>
      </c>
      <c r="O118" s="54">
        <f t="shared" si="785"/>
        <v>47.475571912622968</v>
      </c>
      <c r="P118" s="53">
        <f t="shared" si="785"/>
        <v>48.156214347794631</v>
      </c>
      <c r="Q118" s="53">
        <f t="shared" si="785"/>
        <v>48.552401978967737</v>
      </c>
      <c r="R118" s="53">
        <f t="shared" si="785"/>
        <v>48.951453054837799</v>
      </c>
      <c r="S118" s="53">
        <f t="shared" si="785"/>
        <v>42.784010345652746</v>
      </c>
      <c r="T118" s="53">
        <f t="shared" si="785"/>
        <v>41.3690274667008</v>
      </c>
      <c r="U118" s="53">
        <f t="shared" si="785"/>
        <v>39.166337287889512</v>
      </c>
      <c r="V118" s="53">
        <f t="shared" si="785"/>
        <v>39.849281064675814</v>
      </c>
      <c r="W118" s="53">
        <f t="shared" si="785"/>
        <v>39.531495869986792</v>
      </c>
      <c r="X118" s="53">
        <f t="shared" si="785"/>
        <v>40.19703231893908</v>
      </c>
      <c r="Y118" s="53">
        <f t="shared" si="785"/>
        <v>40.850977201670013</v>
      </c>
      <c r="Z118" s="53">
        <f t="shared" si="785"/>
        <v>41.491702856111885</v>
      </c>
      <c r="AA118" s="54">
        <f t="shared" si="785"/>
        <v>41.543075939047128</v>
      </c>
      <c r="AB118" s="53">
        <f t="shared" si="785"/>
        <v>32.163182576793723</v>
      </c>
      <c r="AC118" s="53">
        <f t="shared" si="785"/>
        <v>32.75678380019265</v>
      </c>
      <c r="AD118" s="53">
        <f t="shared" si="785"/>
        <v>32.269401344917455</v>
      </c>
      <c r="AE118" s="53">
        <f t="shared" si="785"/>
        <v>30.225209691776634</v>
      </c>
      <c r="AF118" s="53">
        <f t="shared" si="785"/>
        <v>25.810090342871138</v>
      </c>
      <c r="AG118" s="53">
        <f t="shared" si="785"/>
        <v>23.12346921901235</v>
      </c>
      <c r="AH118" s="53">
        <f t="shared" si="785"/>
        <v>21.809670408168341</v>
      </c>
      <c r="AI118" s="53">
        <f t="shared" si="785"/>
        <v>19.911982052349085</v>
      </c>
      <c r="AJ118" s="53">
        <f t="shared" si="785"/>
        <v>19.684232641274392</v>
      </c>
      <c r="AK118" s="53">
        <f t="shared" si="785"/>
        <v>19.293178207872689</v>
      </c>
      <c r="AL118" s="53">
        <f t="shared" si="785"/>
        <v>18.891512007827245</v>
      </c>
      <c r="AM118" s="54">
        <f t="shared" si="785"/>
        <v>18.516812410323947</v>
      </c>
    </row>
    <row r="119" spans="1:39" x14ac:dyDescent="0.35">
      <c r="A119" s="2" t="s">
        <v>206</v>
      </c>
      <c r="B119" s="2" t="s">
        <v>158</v>
      </c>
      <c r="C119" s="55">
        <f t="shared" ref="C119:AM119" si="786">C89</f>
        <v>43.142220979598207</v>
      </c>
      <c r="D119" s="56">
        <f t="shared" si="786"/>
        <v>43.193100447893059</v>
      </c>
      <c r="E119" s="56">
        <f t="shared" si="786"/>
        <v>41.572191861367742</v>
      </c>
      <c r="F119" s="56">
        <f t="shared" si="786"/>
        <v>41.141182276898292</v>
      </c>
      <c r="G119" s="56">
        <f t="shared" si="786"/>
        <v>40.787283109529213</v>
      </c>
      <c r="H119" s="56">
        <f t="shared" si="786"/>
        <v>39.578556849400258</v>
      </c>
      <c r="I119" s="56">
        <f t="shared" si="786"/>
        <v>37.380047432499815</v>
      </c>
      <c r="J119" s="56">
        <f t="shared" si="786"/>
        <v>35.385927505645704</v>
      </c>
      <c r="K119" s="56">
        <f t="shared" si="786"/>
        <v>35.385927505645704</v>
      </c>
      <c r="L119" s="56">
        <f t="shared" si="786"/>
        <v>32.055399643878502</v>
      </c>
      <c r="M119" s="56">
        <f t="shared" si="786"/>
        <v>24.487908206010282</v>
      </c>
      <c r="N119" s="56">
        <f t="shared" si="786"/>
        <v>24.487908206010282</v>
      </c>
      <c r="O119" s="57">
        <f t="shared" si="786"/>
        <v>24.467509325964713</v>
      </c>
      <c r="P119" s="56">
        <f t="shared" si="786"/>
        <v>24.467509325964713</v>
      </c>
      <c r="Q119" s="56">
        <f t="shared" si="786"/>
        <v>23.372314571931653</v>
      </c>
      <c r="R119" s="56">
        <f t="shared" si="786"/>
        <v>22.915606535985358</v>
      </c>
      <c r="S119" s="56">
        <f t="shared" si="786"/>
        <v>22.915606535985358</v>
      </c>
      <c r="T119" s="56">
        <f t="shared" si="786"/>
        <v>22.915606535985358</v>
      </c>
      <c r="U119" s="56">
        <f t="shared" si="786"/>
        <v>20.714779950095448</v>
      </c>
      <c r="V119" s="56">
        <f t="shared" si="786"/>
        <v>20.714779950095448</v>
      </c>
      <c r="W119" s="56">
        <f t="shared" si="786"/>
        <v>20.714779950095448</v>
      </c>
      <c r="X119" s="56">
        <f t="shared" si="786"/>
        <v>19.238353267140866</v>
      </c>
      <c r="Y119" s="56">
        <f t="shared" si="786"/>
        <v>19.185105972192588</v>
      </c>
      <c r="Z119" s="56">
        <f t="shared" si="786"/>
        <v>18.306020265225211</v>
      </c>
      <c r="AA119" s="57">
        <f t="shared" si="786"/>
        <v>18.306020265225211</v>
      </c>
      <c r="AB119" s="56">
        <f t="shared" si="786"/>
        <v>17.839606856920813</v>
      </c>
      <c r="AC119" s="56">
        <f t="shared" si="786"/>
        <v>17.711576269340693</v>
      </c>
      <c r="AD119" s="56">
        <f t="shared" si="786"/>
        <v>17.711576269340693</v>
      </c>
      <c r="AE119" s="56">
        <f t="shared" si="786"/>
        <v>17.371200703224655</v>
      </c>
      <c r="AF119" s="56">
        <f t="shared" si="786"/>
        <v>16.77974870817167</v>
      </c>
      <c r="AG119" s="56">
        <f t="shared" si="786"/>
        <v>16.555970398542911</v>
      </c>
      <c r="AH119" s="56">
        <f t="shared" si="786"/>
        <v>16.064489814398595</v>
      </c>
      <c r="AI119" s="56">
        <f t="shared" si="786"/>
        <v>16.044012388850454</v>
      </c>
      <c r="AJ119" s="56">
        <f t="shared" si="786"/>
        <v>16.010429011894868</v>
      </c>
      <c r="AK119" s="56">
        <f t="shared" si="786"/>
        <v>16.789797588740718</v>
      </c>
      <c r="AL119" s="56">
        <f t="shared" si="786"/>
        <v>16.756985021506104</v>
      </c>
      <c r="AM119" s="57">
        <f t="shared" si="786"/>
        <v>16.725171546240059</v>
      </c>
    </row>
    <row r="120" spans="1:39" x14ac:dyDescent="0.35">
      <c r="A120" s="3" t="s">
        <v>206</v>
      </c>
      <c r="B120" s="3" t="s">
        <v>159</v>
      </c>
      <c r="C120" s="58">
        <f t="shared" ref="C120:AM120" si="787">C90</f>
        <v>0</v>
      </c>
      <c r="D120" s="59">
        <f t="shared" si="787"/>
        <v>0</v>
      </c>
      <c r="E120" s="59">
        <f t="shared" si="787"/>
        <v>0</v>
      </c>
      <c r="F120" s="59">
        <f t="shared" si="787"/>
        <v>0</v>
      </c>
      <c r="G120" s="59">
        <f t="shared" si="787"/>
        <v>0</v>
      </c>
      <c r="H120" s="59">
        <f t="shared" si="787"/>
        <v>0</v>
      </c>
      <c r="I120" s="59">
        <f t="shared" si="787"/>
        <v>0</v>
      </c>
      <c r="J120" s="59">
        <f t="shared" si="787"/>
        <v>0</v>
      </c>
      <c r="K120" s="59">
        <f t="shared" si="787"/>
        <v>0</v>
      </c>
      <c r="L120" s="59">
        <f t="shared" si="787"/>
        <v>0</v>
      </c>
      <c r="M120" s="59">
        <f t="shared" si="787"/>
        <v>0</v>
      </c>
      <c r="N120" s="59">
        <f t="shared" si="787"/>
        <v>0</v>
      </c>
      <c r="O120" s="60">
        <f t="shared" si="787"/>
        <v>0</v>
      </c>
      <c r="P120" s="59">
        <f t="shared" si="787"/>
        <v>0</v>
      </c>
      <c r="Q120" s="59">
        <f t="shared" si="787"/>
        <v>0</v>
      </c>
      <c r="R120" s="59">
        <f t="shared" si="787"/>
        <v>0</v>
      </c>
      <c r="S120" s="59">
        <f t="shared" si="787"/>
        <v>0</v>
      </c>
      <c r="T120" s="59">
        <f t="shared" si="787"/>
        <v>0</v>
      </c>
      <c r="U120" s="59">
        <f t="shared" si="787"/>
        <v>0</v>
      </c>
      <c r="V120" s="59">
        <f t="shared" si="787"/>
        <v>0</v>
      </c>
      <c r="W120" s="59">
        <f t="shared" si="787"/>
        <v>0</v>
      </c>
      <c r="X120" s="59">
        <f t="shared" si="787"/>
        <v>0</v>
      </c>
      <c r="Y120" s="59">
        <f t="shared" si="787"/>
        <v>0</v>
      </c>
      <c r="Z120" s="59">
        <f t="shared" si="787"/>
        <v>0</v>
      </c>
      <c r="AA120" s="60">
        <f t="shared" si="787"/>
        <v>0</v>
      </c>
      <c r="AB120" s="59">
        <f t="shared" si="787"/>
        <v>0</v>
      </c>
      <c r="AC120" s="59">
        <f t="shared" si="787"/>
        <v>0</v>
      </c>
      <c r="AD120" s="59">
        <f t="shared" si="787"/>
        <v>0</v>
      </c>
      <c r="AE120" s="59">
        <f t="shared" si="787"/>
        <v>0</v>
      </c>
      <c r="AF120" s="59">
        <f t="shared" si="787"/>
        <v>0</v>
      </c>
      <c r="AG120" s="59">
        <f t="shared" si="787"/>
        <v>0</v>
      </c>
      <c r="AH120" s="59">
        <f t="shared" si="787"/>
        <v>0</v>
      </c>
      <c r="AI120" s="59">
        <f t="shared" si="787"/>
        <v>0</v>
      </c>
      <c r="AJ120" s="59">
        <f t="shared" si="787"/>
        <v>0</v>
      </c>
      <c r="AK120" s="59">
        <f t="shared" si="787"/>
        <v>0</v>
      </c>
      <c r="AL120" s="59">
        <f t="shared" si="787"/>
        <v>0</v>
      </c>
      <c r="AM120" s="60">
        <f t="shared" si="787"/>
        <v>0</v>
      </c>
    </row>
    <row r="122" spans="1:39" x14ac:dyDescent="0.35">
      <c r="A122" s="25" t="s">
        <v>264</v>
      </c>
      <c r="B122" s="4" t="s">
        <v>3</v>
      </c>
      <c r="C122" s="19">
        <f>C116</f>
        <v>45352</v>
      </c>
      <c r="D122" s="20">
        <f>EDATE(C122,1)</f>
        <v>45383</v>
      </c>
      <c r="E122" s="20">
        <f>EDATE(D122,1)</f>
        <v>45413</v>
      </c>
      <c r="F122" s="20">
        <f>EDATE(E122,1)</f>
        <v>45444</v>
      </c>
      <c r="G122" s="20">
        <f t="shared" ref="G122" si="788">EDATE(F122,1)</f>
        <v>45474</v>
      </c>
      <c r="H122" s="20">
        <f t="shared" ref="H122" si="789">EDATE(G122,1)</f>
        <v>45505</v>
      </c>
      <c r="I122" s="20">
        <f t="shared" ref="I122" si="790">EDATE(H122,1)</f>
        <v>45536</v>
      </c>
      <c r="J122" s="20">
        <f t="shared" ref="J122" si="791">EDATE(I122,1)</f>
        <v>45566</v>
      </c>
      <c r="K122" s="20">
        <f t="shared" ref="K122" si="792">EDATE(J122,1)</f>
        <v>45597</v>
      </c>
      <c r="L122" s="20">
        <f t="shared" ref="L122" si="793">EDATE(K122,1)</f>
        <v>45627</v>
      </c>
      <c r="M122" s="20">
        <f t="shared" ref="M122" si="794">EDATE(L122,1)</f>
        <v>45658</v>
      </c>
      <c r="N122" s="20">
        <f t="shared" ref="N122" si="795">EDATE(M122,1)</f>
        <v>45689</v>
      </c>
      <c r="O122" s="21">
        <f t="shared" ref="O122" si="796">EDATE(N122,1)</f>
        <v>45717</v>
      </c>
      <c r="P122" s="20">
        <f t="shared" ref="P122" si="797">EDATE(O122,1)</f>
        <v>45748</v>
      </c>
      <c r="Q122" s="20">
        <f t="shared" ref="Q122" si="798">EDATE(P122,1)</f>
        <v>45778</v>
      </c>
      <c r="R122" s="20">
        <f t="shared" ref="R122" si="799">EDATE(Q122,1)</f>
        <v>45809</v>
      </c>
      <c r="S122" s="20">
        <f t="shared" ref="S122" si="800">EDATE(R122,1)</f>
        <v>45839</v>
      </c>
      <c r="T122" s="20">
        <f t="shared" ref="T122" si="801">EDATE(S122,1)</f>
        <v>45870</v>
      </c>
      <c r="U122" s="20">
        <f t="shared" ref="U122" si="802">EDATE(T122,1)</f>
        <v>45901</v>
      </c>
      <c r="V122" s="20">
        <f t="shared" ref="V122" si="803">EDATE(U122,1)</f>
        <v>45931</v>
      </c>
      <c r="W122" s="20">
        <f t="shared" ref="W122" si="804">EDATE(V122,1)</f>
        <v>45962</v>
      </c>
      <c r="X122" s="20">
        <f t="shared" ref="X122" si="805">EDATE(W122,1)</f>
        <v>45992</v>
      </c>
      <c r="Y122" s="20">
        <f t="shared" ref="Y122" si="806">EDATE(X122,1)</f>
        <v>46023</v>
      </c>
      <c r="Z122" s="20">
        <f t="shared" ref="Z122" si="807">EDATE(Y122,1)</f>
        <v>46054</v>
      </c>
      <c r="AA122" s="21">
        <f t="shared" ref="AA122" si="808">EDATE(Z122,1)</f>
        <v>46082</v>
      </c>
      <c r="AB122" s="20">
        <f t="shared" ref="AB122" si="809">EDATE(AA122,1)</f>
        <v>46113</v>
      </c>
      <c r="AC122" s="20">
        <f t="shared" ref="AC122" si="810">EDATE(AB122,1)</f>
        <v>46143</v>
      </c>
      <c r="AD122" s="20">
        <f t="shared" ref="AD122" si="811">EDATE(AC122,1)</f>
        <v>46174</v>
      </c>
      <c r="AE122" s="20">
        <f t="shared" ref="AE122" si="812">EDATE(AD122,1)</f>
        <v>46204</v>
      </c>
      <c r="AF122" s="20">
        <f t="shared" ref="AF122" si="813">EDATE(AE122,1)</f>
        <v>46235</v>
      </c>
      <c r="AG122" s="20">
        <f t="shared" ref="AG122" si="814">EDATE(AF122,1)</f>
        <v>46266</v>
      </c>
      <c r="AH122" s="20">
        <f t="shared" ref="AH122" si="815">EDATE(AG122,1)</f>
        <v>46296</v>
      </c>
      <c r="AI122" s="20">
        <f t="shared" ref="AI122" si="816">EDATE(AH122,1)</f>
        <v>46327</v>
      </c>
      <c r="AJ122" s="20">
        <f t="shared" ref="AJ122" si="817">EDATE(AI122,1)</f>
        <v>46357</v>
      </c>
      <c r="AK122" s="20">
        <f t="shared" ref="AK122" si="818">EDATE(AJ122,1)</f>
        <v>46388</v>
      </c>
      <c r="AL122" s="20">
        <f t="shared" ref="AL122" si="819">EDATE(AK122,1)</f>
        <v>46419</v>
      </c>
      <c r="AM122" s="21">
        <f t="shared" ref="AM122" si="820">EDATE(AL122,1)</f>
        <v>46447</v>
      </c>
    </row>
    <row r="123" spans="1:39" x14ac:dyDescent="0.35">
      <c r="A123" s="15" t="s">
        <v>264</v>
      </c>
      <c r="B123" s="15" t="s">
        <v>188</v>
      </c>
      <c r="C123" s="16">
        <f>SUM(C124:C126)</f>
        <v>0</v>
      </c>
      <c r="D123" s="17">
        <f t="shared" ref="D123:AM123" si="821">SUM(D124:D126)</f>
        <v>0</v>
      </c>
      <c r="E123" s="17">
        <f t="shared" si="821"/>
        <v>0</v>
      </c>
      <c r="F123" s="17">
        <f t="shared" si="821"/>
        <v>0</v>
      </c>
      <c r="G123" s="17">
        <f t="shared" si="821"/>
        <v>0</v>
      </c>
      <c r="H123" s="17">
        <f t="shared" si="821"/>
        <v>0</v>
      </c>
      <c r="I123" s="17">
        <f t="shared" si="821"/>
        <v>0</v>
      </c>
      <c r="J123" s="17">
        <f t="shared" si="821"/>
        <v>123.85581460278414</v>
      </c>
      <c r="K123" s="17">
        <f t="shared" si="821"/>
        <v>131.34391435480194</v>
      </c>
      <c r="L123" s="17">
        <f t="shared" si="821"/>
        <v>132.0277755876582</v>
      </c>
      <c r="M123" s="17">
        <f t="shared" si="821"/>
        <v>140.35001352777579</v>
      </c>
      <c r="N123" s="17">
        <f t="shared" si="821"/>
        <v>140.46333785443244</v>
      </c>
      <c r="O123" s="18">
        <f t="shared" si="821"/>
        <v>169.22074332956691</v>
      </c>
      <c r="P123" s="17">
        <f t="shared" si="821"/>
        <v>153.08309410514329</v>
      </c>
      <c r="Q123" s="17">
        <f t="shared" si="821"/>
        <v>154.60836297545382</v>
      </c>
      <c r="R123" s="17">
        <f t="shared" si="821"/>
        <v>156.60948096889649</v>
      </c>
      <c r="S123" s="17">
        <f t="shared" si="821"/>
        <v>165.636375664339</v>
      </c>
      <c r="T123" s="17">
        <f t="shared" si="821"/>
        <v>171.45810272022703</v>
      </c>
      <c r="U123" s="17">
        <f t="shared" si="821"/>
        <v>178.44695488341108</v>
      </c>
      <c r="V123" s="17">
        <f t="shared" si="821"/>
        <v>180.60928500196684</v>
      </c>
      <c r="W123" s="17">
        <f t="shared" si="821"/>
        <v>182.39342843344483</v>
      </c>
      <c r="X123" s="17">
        <f t="shared" si="821"/>
        <v>176.87775804026955</v>
      </c>
      <c r="Y123" s="17">
        <f t="shared" si="821"/>
        <v>181.22094863006689</v>
      </c>
      <c r="Z123" s="17">
        <f t="shared" si="821"/>
        <v>176.54400511714047</v>
      </c>
      <c r="AA123" s="18">
        <f t="shared" si="821"/>
        <v>179.62216510695194</v>
      </c>
      <c r="AB123" s="17">
        <f t="shared" si="821"/>
        <v>182.51422768540479</v>
      </c>
      <c r="AC123" s="17">
        <f t="shared" si="821"/>
        <v>178.58386796308866</v>
      </c>
      <c r="AD123" s="17">
        <f t="shared" si="821"/>
        <v>174.32096949649335</v>
      </c>
      <c r="AE123" s="17">
        <f t="shared" si="821"/>
        <v>175.18899914946647</v>
      </c>
      <c r="AF123" s="17">
        <f t="shared" si="821"/>
        <v>175.76960792093658</v>
      </c>
      <c r="AG123" s="17">
        <f t="shared" si="821"/>
        <v>176.5072314125307</v>
      </c>
      <c r="AH123" s="17">
        <f t="shared" si="821"/>
        <v>182.38670359942637</v>
      </c>
      <c r="AI123" s="17">
        <f t="shared" si="821"/>
        <v>188.32217947134359</v>
      </c>
      <c r="AJ123" s="17">
        <f t="shared" si="821"/>
        <v>188.95224367066413</v>
      </c>
      <c r="AK123" s="17">
        <f t="shared" si="821"/>
        <v>196.15235477049313</v>
      </c>
      <c r="AL123" s="17">
        <f t="shared" si="821"/>
        <v>195.6978393132936</v>
      </c>
      <c r="AM123" s="18">
        <f t="shared" si="821"/>
        <v>199.26182251269978</v>
      </c>
    </row>
    <row r="124" spans="1:39" x14ac:dyDescent="0.35">
      <c r="A124" s="1" t="s">
        <v>264</v>
      </c>
      <c r="B124" s="1" t="s">
        <v>157</v>
      </c>
      <c r="C124" s="52"/>
      <c r="D124" s="53"/>
      <c r="E124" s="53"/>
      <c r="F124" s="53"/>
      <c r="G124" s="53"/>
      <c r="H124" s="53"/>
      <c r="I124" s="53"/>
      <c r="J124" s="53">
        <f>J100*'Calculation - Stagewise ECL'!J12-'Input - GNPA'!J112</f>
        <v>74.713709473704441</v>
      </c>
      <c r="K124" s="53">
        <f>K100*'Calculation - Stagewise ECL'!K12-'Input - GNPA'!K112</f>
        <v>79.148252013110479</v>
      </c>
      <c r="L124" s="53">
        <f>L100*'Calculation - Stagewise ECL'!L12-'Input - GNPA'!L112</f>
        <v>83.942584737038032</v>
      </c>
      <c r="M124" s="53">
        <f>M100*'Calculation - Stagewise ECL'!M12-'Input - GNPA'!M112</f>
        <v>89.10734058081789</v>
      </c>
      <c r="N124" s="53">
        <f>N100*'Calculation - Stagewise ECL'!N12-'Input - GNPA'!N112</f>
        <v>94.041724744812228</v>
      </c>
      <c r="O124" s="54">
        <f>O100*('Calculation - Stagewise ECL'!O12+3%)-'Input - GNPA'!O112</f>
        <v>111.91509461399971</v>
      </c>
      <c r="P124" s="53">
        <f>P100*'Calculation - Stagewise ECL'!P12-'Input - GNPA'!P112</f>
        <v>104.15499979742057</v>
      </c>
      <c r="Q124" s="53">
        <f>Q100*'Calculation - Stagewise ECL'!Q12-'Input - GNPA'!Q112</f>
        <v>104.5438903310619</v>
      </c>
      <c r="R124" s="53">
        <f>R100*'Calculation - Stagewise ECL'!R12-'Input - GNPA'!R112</f>
        <v>105.408902778765</v>
      </c>
      <c r="S124" s="53">
        <f>S100*'Calculation - Stagewise ECL'!S12-'Input - GNPA'!S112</f>
        <v>111.9305829325447</v>
      </c>
      <c r="T124" s="53">
        <f>T100*'Calculation - Stagewise ECL'!T12-'Input - GNPA'!T112</f>
        <v>115.32314417921337</v>
      </c>
      <c r="U124" s="54">
        <f>U100*'Calculation - Stagewise ECL'!U12-'Input - GNPA'!U112</f>
        <v>119.58653440502955</v>
      </c>
      <c r="V124" s="53">
        <f>V100*'Calculation - Stagewise ECL'!V12-'Input - GNPA'!V112</f>
        <v>120.69218684391647</v>
      </c>
      <c r="W124" s="53">
        <f>W100*'Calculation - Stagewise ECL'!W12-'Input - GNPA'!W112</f>
        <v>121.38106897100192</v>
      </c>
      <c r="X124" s="53">
        <f>X100*'Calculation - Stagewise ECL'!X12-'Input - GNPA'!X112</f>
        <v>122.73469803341962</v>
      </c>
      <c r="Y124" s="53">
        <f>Y100*'Calculation - Stagewise ECL'!Y12-'Input - GNPA'!Y112</f>
        <v>124.99096367333109</v>
      </c>
      <c r="Z124" s="53">
        <f>Z100*'Calculation - Stagewise ECL'!Z12-'Input - GNPA'!Z112</f>
        <v>126.758153409258</v>
      </c>
      <c r="AA124" s="54">
        <f>AA100*'Calculation - Stagewise ECL'!AA12-'Input - GNPA'!AA112</f>
        <v>127.77458654629008</v>
      </c>
      <c r="AB124" s="53">
        <f>AB100*'Calculation - Stagewise ECL'!AB12-'Input - GNPA'!AB112</f>
        <v>132.94773295297011</v>
      </c>
      <c r="AC124" s="53">
        <f>AC100*'Calculation - Stagewise ECL'!AC12-'Input - GNPA'!AC112</f>
        <v>129.71317229066852</v>
      </c>
      <c r="AD124" s="53">
        <f>AD100*'Calculation - Stagewise ECL'!AD12-'Input - GNPA'!AD112</f>
        <v>125.76079067007089</v>
      </c>
      <c r="AE124" s="53">
        <f>AE100*'Calculation - Stagewise ECL'!AE12-'Input - GNPA'!AE112</f>
        <v>125.28955302649929</v>
      </c>
      <c r="AF124" s="53">
        <f>AF100*'Calculation - Stagewise ECL'!AF12-'Input - GNPA'!AF112</f>
        <v>124.246467335102</v>
      </c>
      <c r="AG124" s="53">
        <f>AG100*'Calculation - Stagewise ECL'!AG12-'Input - GNPA'!AG112</f>
        <v>124.96718267236639</v>
      </c>
      <c r="AH124" s="53">
        <f>AH100*'Calculation - Stagewise ECL'!AH12-'Input - GNPA'!AH112</f>
        <v>128.35942257074441</v>
      </c>
      <c r="AI124" s="53">
        <f>AI100*'Calculation - Stagewise ECL'!AI12-'Input - GNPA'!AI112</f>
        <v>131.88307518914138</v>
      </c>
      <c r="AJ124" s="53">
        <f>AJ100*'Calculation - Stagewise ECL'!AJ12-'Input - GNPA'!AJ112</f>
        <v>135.79651958717434</v>
      </c>
      <c r="AK124" s="53">
        <f>AK100*'Calculation - Stagewise ECL'!AK12-'Input - GNPA'!AK112</f>
        <v>140.25770952551449</v>
      </c>
      <c r="AL124" s="53">
        <f>AL100*'Calculation - Stagewise ECL'!AL12-'Input - GNPA'!AL112</f>
        <v>143.50448971762836</v>
      </c>
      <c r="AM124" s="54">
        <f>AM100*'Calculation - Stagewise ECL'!AM12-'Input - GNPA'!AM112</f>
        <v>145.49825545481715</v>
      </c>
    </row>
    <row r="125" spans="1:39" x14ac:dyDescent="0.35">
      <c r="A125" s="2" t="s">
        <v>264</v>
      </c>
      <c r="B125" s="2" t="s">
        <v>158</v>
      </c>
      <c r="C125" s="55"/>
      <c r="D125" s="56"/>
      <c r="E125" s="56"/>
      <c r="F125" s="56"/>
      <c r="G125" s="56"/>
      <c r="H125" s="56"/>
      <c r="I125" s="56"/>
      <c r="J125" s="56">
        <f>J101*'Calculation - Stagewise ECL'!J36-'Input - GNPA'!J113</f>
        <v>49.142105129079688</v>
      </c>
      <c r="K125" s="56">
        <f>K101*'Calculation - Stagewise ECL'!K36-'Input - GNPA'!K113</f>
        <v>52.195662341691467</v>
      </c>
      <c r="L125" s="56">
        <f>L101*'Calculation - Stagewise ECL'!L36-'Input - GNPA'!L113</f>
        <v>48.08519085062018</v>
      </c>
      <c r="M125" s="56">
        <f>M101*'Calculation - Stagewise ECL'!M36-'Input - GNPA'!M113</f>
        <v>51.242672946957889</v>
      </c>
      <c r="N125" s="56">
        <f>N101*'Calculation - Stagewise ECL'!N36-'Input - GNPA'!N113</f>
        <v>46.421613109620196</v>
      </c>
      <c r="O125" s="57">
        <f>O101*('Calculation - Stagewise ECL'!O36+3%)-'Input - GNPA'!O113</f>
        <v>57.305648715567202</v>
      </c>
      <c r="P125" s="56">
        <f>P101*'Calculation - Stagewise ECL'!P36-'Input - GNPA'!P113</f>
        <v>48.928094307722723</v>
      </c>
      <c r="Q125" s="56">
        <f>Q101*'Calculation - Stagewise ECL'!Q36-'Input - GNPA'!Q113</f>
        <v>50.06447264439192</v>
      </c>
      <c r="R125" s="56">
        <f>R101*'Calculation - Stagewise ECL'!R36-'Input - GNPA'!R113</f>
        <v>51.200578190131488</v>
      </c>
      <c r="S125" s="56">
        <f>S101*'Calculation - Stagewise ECL'!S36-'Input - GNPA'!S113</f>
        <v>53.705792731794311</v>
      </c>
      <c r="T125" s="56">
        <f>T101*'Calculation - Stagewise ECL'!T36-'Input - GNPA'!T113</f>
        <v>56.134958541013674</v>
      </c>
      <c r="U125" s="57">
        <f>U101*'Calculation - Stagewise ECL'!U36-'Input - GNPA'!U113</f>
        <v>58.860420478381513</v>
      </c>
      <c r="V125" s="56">
        <f>V101*'Calculation - Stagewise ECL'!V36-'Input - GNPA'!V113</f>
        <v>59.917098158050351</v>
      </c>
      <c r="W125" s="56">
        <f>W101*'Calculation - Stagewise ECL'!W36-'Input - GNPA'!W113</f>
        <v>61.012359462442902</v>
      </c>
      <c r="X125" s="56">
        <f>X101*'Calculation - Stagewise ECL'!X36-'Input - GNPA'!X113</f>
        <v>54.143060006849922</v>
      </c>
      <c r="Y125" s="56">
        <f>Y101*'Calculation - Stagewise ECL'!Y36-'Input - GNPA'!Y113</f>
        <v>56.229984956735791</v>
      </c>
      <c r="Z125" s="56">
        <f>Z101*'Calculation - Stagewise ECL'!Z36-'Input - GNPA'!Z113</f>
        <v>49.785851707882472</v>
      </c>
      <c r="AA125" s="57">
        <f>AA101*'Calculation - Stagewise ECL'!AA36-'Input - GNPA'!AA113</f>
        <v>51.847578560661852</v>
      </c>
      <c r="AB125" s="56">
        <f>AB101*'Calculation - Stagewise ECL'!AB36-'Input - GNPA'!AB113</f>
        <v>49.566494732434684</v>
      </c>
      <c r="AC125" s="56">
        <f>AC101*'Calculation - Stagewise ECL'!AC36-'Input - GNPA'!AC113</f>
        <v>48.87069567242014</v>
      </c>
      <c r="AD125" s="56">
        <f>AD101*'Calculation - Stagewise ECL'!AD36-'Input - GNPA'!AD113</f>
        <v>48.560178826422451</v>
      </c>
      <c r="AE125" s="56">
        <f>AE101*'Calculation - Stagewise ECL'!AE36-'Input - GNPA'!AE113</f>
        <v>49.89944612296717</v>
      </c>
      <c r="AF125" s="56">
        <f>AF101*'Calculation - Stagewise ECL'!AF36-'Input - GNPA'!AF113</f>
        <v>51.523140585834575</v>
      </c>
      <c r="AG125" s="56">
        <f>AG101*'Calculation - Stagewise ECL'!AG36-'Input - GNPA'!AG113</f>
        <v>51.540048740164295</v>
      </c>
      <c r="AH125" s="56">
        <f>AH101*'Calculation - Stagewise ECL'!AH36-'Input - GNPA'!AH113</f>
        <v>54.027281028681941</v>
      </c>
      <c r="AI125" s="56">
        <f>AI101*'Calculation - Stagewise ECL'!AI36-'Input - GNPA'!AI113</f>
        <v>56.439104282202223</v>
      </c>
      <c r="AJ125" s="56">
        <f>AJ101*'Calculation - Stagewise ECL'!AJ36-'Input - GNPA'!AJ113</f>
        <v>53.155724083489773</v>
      </c>
      <c r="AK125" s="56">
        <f>AK101*'Calculation - Stagewise ECL'!AK36-'Input - GNPA'!AK113</f>
        <v>55.894645244978655</v>
      </c>
      <c r="AL125" s="56">
        <f>AL101*'Calculation - Stagewise ECL'!AL36-'Input - GNPA'!AL113</f>
        <v>52.193349595665232</v>
      </c>
      <c r="AM125" s="57">
        <f>AM101*'Calculation - Stagewise ECL'!AM36-'Input - GNPA'!AM113</f>
        <v>53.763567057882618</v>
      </c>
    </row>
    <row r="126" spans="1:39" x14ac:dyDescent="0.35">
      <c r="A126" s="3" t="s">
        <v>264</v>
      </c>
      <c r="B126" s="3" t="s">
        <v>159</v>
      </c>
      <c r="C126" s="58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60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60"/>
      <c r="AB126" s="59"/>
      <c r="AC126" s="59"/>
      <c r="AD126" s="59"/>
      <c r="AE126" s="59"/>
      <c r="AF126" s="59"/>
      <c r="AG126" s="59"/>
      <c r="AH126" s="59"/>
      <c r="AI126" s="59"/>
      <c r="AJ126" s="59"/>
      <c r="AK126" s="59"/>
      <c r="AL126" s="59"/>
      <c r="AM126" s="60"/>
    </row>
    <row r="127" spans="1:39" x14ac:dyDescent="0.35">
      <c r="A127" s="2"/>
      <c r="C127" s="231"/>
      <c r="D127" s="231"/>
      <c r="E127" s="231"/>
      <c r="F127" s="231"/>
      <c r="G127" s="231"/>
      <c r="H127" s="231"/>
      <c r="I127" s="231"/>
      <c r="J127" s="231"/>
      <c r="K127" s="231"/>
      <c r="L127" s="231"/>
      <c r="M127" s="231"/>
      <c r="N127" s="231"/>
      <c r="O127" s="231"/>
      <c r="P127" s="231"/>
      <c r="Q127" s="231"/>
      <c r="R127" s="231"/>
      <c r="S127" s="231"/>
      <c r="T127" s="231"/>
      <c r="U127" s="231"/>
      <c r="V127" s="231"/>
      <c r="W127" s="231"/>
      <c r="X127" s="231"/>
      <c r="Y127" s="231"/>
      <c r="Z127" s="231"/>
      <c r="AA127" s="231"/>
      <c r="AB127" s="231"/>
      <c r="AC127" s="231"/>
      <c r="AD127" s="231"/>
      <c r="AE127" s="231"/>
      <c r="AF127" s="231"/>
      <c r="AG127" s="231"/>
      <c r="AH127" s="231"/>
      <c r="AI127" s="231"/>
      <c r="AJ127" s="231"/>
      <c r="AK127" s="231"/>
      <c r="AL127" s="231"/>
      <c r="AM127" s="231"/>
    </row>
  </sheetData>
  <conditionalFormatting sqref="C45:AM45">
    <cfRule type="expression" dxfId="209" priority="61">
      <formula>C$1="SL3"</formula>
    </cfRule>
    <cfRule type="expression" dxfId="208" priority="62">
      <formula>C$1="SL2"</formula>
    </cfRule>
    <cfRule type="expression" dxfId="207" priority="63">
      <formula>C$1="SL1"</formula>
    </cfRule>
  </conditionalFormatting>
  <conditionalFormatting sqref="C57:AM57">
    <cfRule type="expression" dxfId="206" priority="52">
      <formula>C$1="SL3"</formula>
    </cfRule>
    <cfRule type="expression" dxfId="205" priority="53">
      <formula>C$1="SL2"</formula>
    </cfRule>
    <cfRule type="expression" dxfId="204" priority="54">
      <formula>C$1="SL1"</formula>
    </cfRule>
  </conditionalFormatting>
  <conditionalFormatting sqref="C63:AM63">
    <cfRule type="expression" dxfId="203" priority="49">
      <formula>C$1="SL3"</formula>
    </cfRule>
    <cfRule type="expression" dxfId="202" priority="50">
      <formula>C$1="SL2"</formula>
    </cfRule>
    <cfRule type="expression" dxfId="201" priority="51">
      <formula>C$1="SL1"</formula>
    </cfRule>
  </conditionalFormatting>
  <conditionalFormatting sqref="C69:AM69">
    <cfRule type="expression" dxfId="200" priority="46">
      <formula>C$1="SL3"</formula>
    </cfRule>
    <cfRule type="expression" dxfId="199" priority="47">
      <formula>C$1="SL2"</formula>
    </cfRule>
    <cfRule type="expression" dxfId="198" priority="48">
      <formula>C$1="SL1"</formula>
    </cfRule>
  </conditionalFormatting>
  <conditionalFormatting sqref="C75:AM75">
    <cfRule type="expression" dxfId="197" priority="43">
      <formula>C$1="SL3"</formula>
    </cfRule>
    <cfRule type="expression" dxfId="196" priority="44">
      <formula>C$1="SL2"</formula>
    </cfRule>
    <cfRule type="expression" dxfId="195" priority="45">
      <formula>C$1="SL1"</formula>
    </cfRule>
  </conditionalFormatting>
  <conditionalFormatting sqref="C81:AM81">
    <cfRule type="expression" dxfId="194" priority="40">
      <formula>C$1="SL3"</formula>
    </cfRule>
    <cfRule type="expression" dxfId="193" priority="41">
      <formula>C$1="SL2"</formula>
    </cfRule>
    <cfRule type="expression" dxfId="192" priority="42">
      <formula>C$1="SL1"</formula>
    </cfRule>
  </conditionalFormatting>
  <conditionalFormatting sqref="C87:AM87">
    <cfRule type="expression" dxfId="191" priority="37">
      <formula>C$1="SL3"</formula>
    </cfRule>
    <cfRule type="expression" dxfId="190" priority="38">
      <formula>C$1="SL2"</formula>
    </cfRule>
    <cfRule type="expression" dxfId="189" priority="39">
      <formula>C$1="SL1"</formula>
    </cfRule>
  </conditionalFormatting>
  <conditionalFormatting sqref="C93:AM93">
    <cfRule type="expression" dxfId="188" priority="34">
      <formula>C$1="SL3"</formula>
    </cfRule>
    <cfRule type="expression" dxfId="187" priority="35">
      <formula>C$1="SL2"</formula>
    </cfRule>
    <cfRule type="expression" dxfId="186" priority="36">
      <formula>C$1="SL1"</formula>
    </cfRule>
  </conditionalFormatting>
  <conditionalFormatting sqref="C99:AM99">
    <cfRule type="expression" dxfId="185" priority="4">
      <formula>C$1="SL3"</formula>
    </cfRule>
    <cfRule type="expression" dxfId="184" priority="5">
      <formula>C$1="SL2"</formula>
    </cfRule>
    <cfRule type="expression" dxfId="183" priority="6">
      <formula>C$1="SL1"</formula>
    </cfRule>
  </conditionalFormatting>
  <conditionalFormatting sqref="C105:AM105">
    <cfRule type="expression" dxfId="182" priority="25">
      <formula>C$1="SL3"</formula>
    </cfRule>
    <cfRule type="expression" dxfId="181" priority="26">
      <formula>C$1="SL2"</formula>
    </cfRule>
    <cfRule type="expression" dxfId="180" priority="27">
      <formula>C$1="SL1"</formula>
    </cfRule>
  </conditionalFormatting>
  <conditionalFormatting sqref="C111:AM111">
    <cfRule type="expression" dxfId="179" priority="22">
      <formula>C$1="SL3"</formula>
    </cfRule>
    <cfRule type="expression" dxfId="178" priority="23">
      <formula>C$1="SL2"</formula>
    </cfRule>
    <cfRule type="expression" dxfId="177" priority="24">
      <formula>C$1="SL1"</formula>
    </cfRule>
  </conditionalFormatting>
  <conditionalFormatting sqref="C117:AM117">
    <cfRule type="expression" dxfId="176" priority="19">
      <formula>C$1="SL3"</formula>
    </cfRule>
    <cfRule type="expression" dxfId="175" priority="20">
      <formula>C$1="SL2"</formula>
    </cfRule>
    <cfRule type="expression" dxfId="174" priority="21">
      <formula>C$1="SL1"</formula>
    </cfRule>
  </conditionalFormatting>
  <conditionalFormatting sqref="C123:AM123">
    <cfRule type="expression" dxfId="173" priority="1">
      <formula>C$1="SL3"</formula>
    </cfRule>
    <cfRule type="expression" dxfId="172" priority="2">
      <formula>C$1="SL2"</formula>
    </cfRule>
    <cfRule type="expression" dxfId="171" priority="3">
      <formula>C$1="SL1"</formula>
    </cfRule>
  </conditionalFormatting>
  <conditionalFormatting sqref="C3:BJ3">
    <cfRule type="expression" dxfId="170" priority="70">
      <formula>C$1="SL3"</formula>
    </cfRule>
    <cfRule type="expression" dxfId="169" priority="71">
      <formula>C$1="SL2"</formula>
    </cfRule>
    <cfRule type="expression" dxfId="168" priority="72">
      <formula>C$1="SL1"</formula>
    </cfRule>
  </conditionalFormatting>
  <conditionalFormatting sqref="C9:BJ9">
    <cfRule type="expression" dxfId="167" priority="67">
      <formula>C$1="SL3"</formula>
    </cfRule>
    <cfRule type="expression" dxfId="166" priority="68">
      <formula>C$1="SL2"</formula>
    </cfRule>
    <cfRule type="expression" dxfId="165" priority="69">
      <formula>C$1="SL1"</formula>
    </cfRule>
  </conditionalFormatting>
  <conditionalFormatting sqref="C15:BJ15">
    <cfRule type="expression" dxfId="164" priority="16">
      <formula>C$1="SL3"</formula>
    </cfRule>
    <cfRule type="expression" dxfId="163" priority="17">
      <formula>C$1="SL2"</formula>
    </cfRule>
    <cfRule type="expression" dxfId="162" priority="18">
      <formula>C$1="SL1"</formula>
    </cfRule>
  </conditionalFormatting>
  <conditionalFormatting sqref="C21:BJ21">
    <cfRule type="expression" dxfId="161" priority="13">
      <formula>C$1="SL3"</formula>
    </cfRule>
    <cfRule type="expression" dxfId="160" priority="14">
      <formula>C$1="SL2"</formula>
    </cfRule>
    <cfRule type="expression" dxfId="159" priority="15">
      <formula>C$1="SL1"</formula>
    </cfRule>
  </conditionalFormatting>
  <conditionalFormatting sqref="C27:BJ27">
    <cfRule type="expression" dxfId="158" priority="10">
      <formula>C$1="SL3"</formula>
    </cfRule>
    <cfRule type="expression" dxfId="157" priority="11">
      <formula>C$1="SL2"</formula>
    </cfRule>
    <cfRule type="expression" dxfId="156" priority="12">
      <formula>C$1="SL1"</formula>
    </cfRule>
  </conditionalFormatting>
  <conditionalFormatting sqref="C33:BJ33">
    <cfRule type="expression" dxfId="155" priority="7">
      <formula>C$1="SL3"</formula>
    </cfRule>
    <cfRule type="expression" dxfId="154" priority="8">
      <formula>C$1="SL2"</formula>
    </cfRule>
    <cfRule type="expression" dxfId="153" priority="9">
      <formula>C$1="SL1"</formula>
    </cfRule>
  </conditionalFormatting>
  <conditionalFormatting sqref="C39:BJ39">
    <cfRule type="expression" dxfId="152" priority="64">
      <formula>C$1="SL3"</formula>
    </cfRule>
    <cfRule type="expression" dxfId="151" priority="65">
      <formula>C$1="SL2"</formula>
    </cfRule>
    <cfRule type="expression" dxfId="150" priority="66">
      <formula>C$1="SL1"</formula>
    </cfRule>
  </conditionalFormatting>
  <conditionalFormatting sqref="C51:BJ51">
    <cfRule type="expression" dxfId="149" priority="58">
      <formula>C$1="SL3"</formula>
    </cfRule>
    <cfRule type="expression" dxfId="148" priority="59">
      <formula>C$1="SL2"</formula>
    </cfRule>
    <cfRule type="expression" dxfId="147" priority="60">
      <formula>C$1="SL1"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J97"/>
  <sheetViews>
    <sheetView showGridLines="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O1" sqref="O1"/>
    </sheetView>
  </sheetViews>
  <sheetFormatPr defaultRowHeight="14.5" x14ac:dyDescent="0.35"/>
  <cols>
    <col min="1" max="1" width="9.81640625" bestFit="1" customWidth="1"/>
    <col min="2" max="2" width="15.1796875" bestFit="1" customWidth="1"/>
    <col min="3" max="9" width="7.1796875" style="137" bestFit="1" customWidth="1"/>
    <col min="10" max="13" width="9.1796875" style="137"/>
    <col min="14" max="15" width="10.1796875" style="137" bestFit="1" customWidth="1"/>
    <col min="16" max="33" width="9.1796875" style="137"/>
    <col min="34" max="34" width="6.81640625" style="137" bestFit="1" customWidth="1"/>
    <col min="35" max="39" width="9.1796875" style="137"/>
    <col min="40" max="62" width="0" style="137" hidden="1" customWidth="1"/>
  </cols>
  <sheetData>
    <row r="1" spans="1:62" x14ac:dyDescent="0.35">
      <c r="C1" s="137" t="str">
        <f>LOOKUP(C3,'Input-Stress Parameters'!$C$9:$BJ$9,'Input-Stress Parameters'!$C$11:$BJ$11)</f>
        <v>N</v>
      </c>
      <c r="D1" s="137" t="str">
        <f>LOOKUP(D3,'Input-Stress Parameters'!$C$9:$BJ$9,'Input-Stress Parameters'!$C$11:$BJ$11)</f>
        <v>SL1</v>
      </c>
      <c r="E1" s="137" t="str">
        <f>LOOKUP(E3,'Input-Stress Parameters'!$C$9:$BJ$9,'Input-Stress Parameters'!$C$11:$BJ$11)</f>
        <v>SL1</v>
      </c>
      <c r="F1" s="137" t="str">
        <f>LOOKUP(F3,'Input-Stress Parameters'!$C$9:$BJ$9,'Input-Stress Parameters'!$C$11:$BJ$11)</f>
        <v>SL1</v>
      </c>
      <c r="G1" s="137" t="str">
        <f>LOOKUP(G3,'Input-Stress Parameters'!$C$9:$BJ$9,'Input-Stress Parameters'!$C$11:$BJ$11)</f>
        <v>SL1</v>
      </c>
      <c r="H1" s="137" t="str">
        <f>LOOKUP(H3,'Input-Stress Parameters'!$C$9:$BJ$9,'Input-Stress Parameters'!$C$11:$BJ$11)</f>
        <v>SL1</v>
      </c>
      <c r="I1" s="137" t="str">
        <f>LOOKUP(I3,'Input-Stress Parameters'!$C$9:$BJ$9,'Input-Stress Parameters'!$C$11:$BJ$11)</f>
        <v>SL1</v>
      </c>
      <c r="J1" s="137" t="str">
        <f>LOOKUP(J3,'Input-Stress Parameters'!$C$9:$BJ$9,'Input-Stress Parameters'!$C$11:$BJ$11)</f>
        <v>SL2</v>
      </c>
      <c r="K1" s="137" t="str">
        <f>LOOKUP(K3,'Input-Stress Parameters'!$C$9:$BJ$9,'Input-Stress Parameters'!$C$11:$BJ$11)</f>
        <v>SL2</v>
      </c>
      <c r="L1" s="137" t="str">
        <f>LOOKUP(L3,'Input-Stress Parameters'!$C$9:$BJ$9,'Input-Stress Parameters'!$C$11:$BJ$11)</f>
        <v>SL2</v>
      </c>
      <c r="M1" s="137" t="str">
        <f>LOOKUP(M3,'Input-Stress Parameters'!$C$9:$BJ$9,'Input-Stress Parameters'!$C$11:$BJ$11)</f>
        <v>SL2</v>
      </c>
      <c r="N1" s="137" t="str">
        <f>LOOKUP(N3,'Input-Stress Parameters'!$C$9:$BJ$9,'Input-Stress Parameters'!$C$11:$BJ$11)</f>
        <v>SL2</v>
      </c>
      <c r="O1" s="137" t="str">
        <f>LOOKUP(O3,'Input-Stress Parameters'!$C$9:$BJ$9,'Input-Stress Parameters'!$C$11:$BJ$11)</f>
        <v>SL2</v>
      </c>
      <c r="P1" s="137" t="str">
        <f>LOOKUP(P3,'Input-Stress Parameters'!$C$9:$BJ$9,'Input-Stress Parameters'!$C$11:$BJ$11)</f>
        <v>SL2</v>
      </c>
      <c r="Q1" s="137" t="str">
        <f>LOOKUP(Q3,'Input-Stress Parameters'!$C$9:$BJ$9,'Input-Stress Parameters'!$C$11:$BJ$11)</f>
        <v>SL2</v>
      </c>
      <c r="R1" s="137" t="str">
        <f>LOOKUP(R3,'Input-Stress Parameters'!$C$9:$BJ$9,'Input-Stress Parameters'!$C$11:$BJ$11)</f>
        <v>SL2</v>
      </c>
      <c r="S1" s="137" t="str">
        <f>LOOKUP(S3,'Input-Stress Parameters'!$C$9:$BJ$9,'Input-Stress Parameters'!$C$11:$BJ$11)</f>
        <v>SL2</v>
      </c>
      <c r="T1" s="137" t="str">
        <f>LOOKUP(T3,'Input-Stress Parameters'!$C$9:$BJ$9,'Input-Stress Parameters'!$C$11:$BJ$11)</f>
        <v>SL2</v>
      </c>
      <c r="U1" s="137" t="str">
        <f>LOOKUP(U3,'Input-Stress Parameters'!$C$9:$BJ$9,'Input-Stress Parameters'!$C$11:$BJ$11)</f>
        <v>SL2</v>
      </c>
      <c r="V1" s="137" t="str">
        <f>LOOKUP(V3,'Input-Stress Parameters'!$C$9:$BJ$9,'Input-Stress Parameters'!$C$11:$BJ$11)</f>
        <v>SL3</v>
      </c>
      <c r="W1" s="137" t="str">
        <f>LOOKUP(W3,'Input-Stress Parameters'!$C$9:$BJ$9,'Input-Stress Parameters'!$C$11:$BJ$11)</f>
        <v>SL3</v>
      </c>
      <c r="X1" s="137" t="str">
        <f>LOOKUP(X3,'Input-Stress Parameters'!$C$9:$BJ$9,'Input-Stress Parameters'!$C$11:$BJ$11)</f>
        <v>SL3</v>
      </c>
      <c r="Y1" s="137" t="str">
        <f>LOOKUP(Y3,'Input-Stress Parameters'!$C$9:$BJ$9,'Input-Stress Parameters'!$C$11:$BJ$11)</f>
        <v>SL3</v>
      </c>
      <c r="Z1" s="137" t="str">
        <f>LOOKUP(Z3,'Input-Stress Parameters'!$C$9:$BJ$9,'Input-Stress Parameters'!$C$11:$BJ$11)</f>
        <v>SL3</v>
      </c>
      <c r="AA1" s="137" t="str">
        <f>LOOKUP(AA3,'Input-Stress Parameters'!$C$9:$BJ$9,'Input-Stress Parameters'!$C$11:$BJ$11)</f>
        <v>SL3</v>
      </c>
      <c r="AB1" s="137" t="str">
        <f>LOOKUP(AB3,'Input-Stress Parameters'!$C$9:$BJ$9,'Input-Stress Parameters'!$C$11:$BJ$11)</f>
        <v>SL3</v>
      </c>
      <c r="AC1" s="137" t="str">
        <f>LOOKUP(AC3,'Input-Stress Parameters'!$C$9:$BJ$9,'Input-Stress Parameters'!$C$11:$BJ$11)</f>
        <v>SL3</v>
      </c>
      <c r="AD1" s="137" t="str">
        <f>LOOKUP(AD3,'Input-Stress Parameters'!$C$9:$BJ$9,'Input-Stress Parameters'!$C$11:$BJ$11)</f>
        <v>SL3</v>
      </c>
      <c r="AE1" s="137" t="str">
        <f>LOOKUP(AE3,'Input-Stress Parameters'!$C$9:$BJ$9,'Input-Stress Parameters'!$C$11:$BJ$11)</f>
        <v>SL3</v>
      </c>
      <c r="AF1" s="137" t="str">
        <f>LOOKUP(AF3,'Input-Stress Parameters'!$C$9:$BJ$9,'Input-Stress Parameters'!$C$11:$BJ$11)</f>
        <v>SL3</v>
      </c>
      <c r="AG1" s="137" t="str">
        <f>LOOKUP(AG3,'Input-Stress Parameters'!$C$9:$BJ$9,'Input-Stress Parameters'!$C$11:$BJ$11)</f>
        <v>SL3</v>
      </c>
      <c r="AH1" s="137" t="str">
        <f>LOOKUP(AH3,'Input-Stress Parameters'!$C$9:$BJ$9,'Input-Stress Parameters'!$C$11:$BJ$11)</f>
        <v>N</v>
      </c>
      <c r="AI1" s="137" t="str">
        <f>LOOKUP(AI3,'Input-Stress Parameters'!$C$9:$BJ$9,'Input-Stress Parameters'!$C$11:$BJ$11)</f>
        <v>N</v>
      </c>
      <c r="AJ1" s="137" t="str">
        <f>LOOKUP(AJ3,'Input-Stress Parameters'!$C$9:$BJ$9,'Input-Stress Parameters'!$C$11:$BJ$11)</f>
        <v>N</v>
      </c>
      <c r="AK1" s="137" t="str">
        <f>LOOKUP(AK3,'Input-Stress Parameters'!$C$9:$BJ$9,'Input-Stress Parameters'!$C$11:$BJ$11)</f>
        <v>N</v>
      </c>
      <c r="AL1" s="137" t="str">
        <f>LOOKUP(AL3,'Input-Stress Parameters'!$C$9:$BJ$9,'Input-Stress Parameters'!$C$11:$BJ$11)</f>
        <v>N</v>
      </c>
      <c r="AM1" s="137" t="str">
        <f>LOOKUP(AM3,'Input-Stress Parameters'!$C$9:$BJ$9,'Input-Stress Parameters'!$C$11:$BJ$11)</f>
        <v>N</v>
      </c>
      <c r="AN1" s="137" t="str">
        <f>LOOKUP(AN3,'Input-Stress Parameters'!$C$9:$BJ$9,'Input-Stress Parameters'!$C$11:$BJ$11)</f>
        <v>N</v>
      </c>
      <c r="AO1" s="137" t="str">
        <f>LOOKUP(AO3,'Input-Stress Parameters'!$C$9:$BJ$9,'Input-Stress Parameters'!$C$11:$BJ$11)</f>
        <v>N</v>
      </c>
      <c r="AP1" s="137" t="str">
        <f>LOOKUP(AP3,'Input-Stress Parameters'!$C$9:$BJ$9,'Input-Stress Parameters'!$C$11:$BJ$11)</f>
        <v>N</v>
      </c>
      <c r="AQ1" s="137" t="str">
        <f>LOOKUP(AQ3,'Input-Stress Parameters'!$C$9:$BJ$9,'Input-Stress Parameters'!$C$11:$BJ$11)</f>
        <v>N</v>
      </c>
      <c r="AR1" s="137" t="str">
        <f>LOOKUP(AR3,'Input-Stress Parameters'!$C$9:$BJ$9,'Input-Stress Parameters'!$C$11:$BJ$11)</f>
        <v>N</v>
      </c>
      <c r="AS1" s="137" t="str">
        <f>LOOKUP(AS3,'Input-Stress Parameters'!$C$9:$BJ$9,'Input-Stress Parameters'!$C$11:$BJ$11)</f>
        <v>N</v>
      </c>
      <c r="AT1" s="137" t="str">
        <f>LOOKUP(AT3,'Input-Stress Parameters'!$C$9:$BJ$9,'Input-Stress Parameters'!$C$11:$BJ$11)</f>
        <v>N</v>
      </c>
      <c r="AU1" s="137" t="str">
        <f>LOOKUP(AU3,'Input-Stress Parameters'!$C$9:$BJ$9,'Input-Stress Parameters'!$C$11:$BJ$11)</f>
        <v>N</v>
      </c>
      <c r="AV1" s="137" t="str">
        <f>LOOKUP(AV3,'Input-Stress Parameters'!$C$9:$BJ$9,'Input-Stress Parameters'!$C$11:$BJ$11)</f>
        <v>N</v>
      </c>
      <c r="AW1" s="137" t="str">
        <f>LOOKUP(AW3,'Input-Stress Parameters'!$C$9:$BJ$9,'Input-Stress Parameters'!$C$11:$BJ$11)</f>
        <v>N</v>
      </c>
      <c r="AX1" s="137" t="str">
        <f>LOOKUP(AX3,'Input-Stress Parameters'!$C$9:$BJ$9,'Input-Stress Parameters'!$C$11:$BJ$11)</f>
        <v>N</v>
      </c>
      <c r="AY1" s="137" t="str">
        <f>LOOKUP(AY3,'Input-Stress Parameters'!$C$9:$BJ$9,'Input-Stress Parameters'!$C$11:$BJ$11)</f>
        <v>N</v>
      </c>
      <c r="AZ1" s="137" t="str">
        <f>LOOKUP(AZ3,'Input-Stress Parameters'!$C$9:$BJ$9,'Input-Stress Parameters'!$C$11:$BJ$11)</f>
        <v>N</v>
      </c>
      <c r="BA1" s="137" t="str">
        <f>LOOKUP(BA3,'Input-Stress Parameters'!$C$9:$BJ$9,'Input-Stress Parameters'!$C$11:$BJ$11)</f>
        <v>N</v>
      </c>
      <c r="BB1" s="137" t="str">
        <f>LOOKUP(BB3,'Input-Stress Parameters'!$C$9:$BJ$9,'Input-Stress Parameters'!$C$11:$BJ$11)</f>
        <v>N</v>
      </c>
      <c r="BC1" s="137" t="str">
        <f>LOOKUP(BC3,'Input-Stress Parameters'!$C$9:$BJ$9,'Input-Stress Parameters'!$C$11:$BJ$11)</f>
        <v>N</v>
      </c>
      <c r="BD1" s="137" t="str">
        <f>LOOKUP(BD3,'Input-Stress Parameters'!$C$9:$BJ$9,'Input-Stress Parameters'!$C$11:$BJ$11)</f>
        <v>N</v>
      </c>
      <c r="BE1" s="137" t="str">
        <f>LOOKUP(BE3,'Input-Stress Parameters'!$C$9:$BJ$9,'Input-Stress Parameters'!$C$11:$BJ$11)</f>
        <v>N</v>
      </c>
      <c r="BF1" s="137" t="str">
        <f>LOOKUP(BF3,'Input-Stress Parameters'!$C$9:$BJ$9,'Input-Stress Parameters'!$C$11:$BJ$11)</f>
        <v>N</v>
      </c>
      <c r="BG1" s="137" t="str">
        <f>LOOKUP(BG3,'Input-Stress Parameters'!$C$9:$BJ$9,'Input-Stress Parameters'!$C$11:$BJ$11)</f>
        <v>N</v>
      </c>
      <c r="BH1" s="137" t="str">
        <f>LOOKUP(BH3,'Input-Stress Parameters'!$C$9:$BJ$9,'Input-Stress Parameters'!$C$11:$BJ$11)</f>
        <v>N</v>
      </c>
      <c r="BI1" s="137" t="str">
        <f>LOOKUP(BI3,'Input-Stress Parameters'!$C$9:$BJ$9,'Input-Stress Parameters'!$C$11:$BJ$11)</f>
        <v>N</v>
      </c>
      <c r="BJ1" s="137" t="str">
        <f>LOOKUP(BJ3,'Input-Stress Parameters'!$C$9:$BJ$9,'Input-Stress Parameters'!$C$11:$BJ$11)</f>
        <v>N</v>
      </c>
    </row>
    <row r="2" spans="1:62" x14ac:dyDescent="0.35">
      <c r="C2" s="137" t="str">
        <f>IF(C1="N",IF(D1="SL1","SL0","NA"))</f>
        <v>SL0</v>
      </c>
      <c r="D2" s="137" t="b">
        <f t="shared" ref="D2:BJ2" si="0">IF(D1="N",IF(E1="SL1","SL0","NA"))</f>
        <v>0</v>
      </c>
      <c r="E2" s="137" t="b">
        <f t="shared" si="0"/>
        <v>0</v>
      </c>
      <c r="F2" s="137" t="b">
        <f t="shared" si="0"/>
        <v>0</v>
      </c>
      <c r="G2" s="137" t="b">
        <f t="shared" si="0"/>
        <v>0</v>
      </c>
      <c r="H2" s="137" t="b">
        <f t="shared" si="0"/>
        <v>0</v>
      </c>
      <c r="I2" s="137" t="b">
        <f t="shared" si="0"/>
        <v>0</v>
      </c>
      <c r="J2" s="137" t="b">
        <f t="shared" si="0"/>
        <v>0</v>
      </c>
      <c r="K2" s="137" t="b">
        <f t="shared" si="0"/>
        <v>0</v>
      </c>
      <c r="L2" s="137" t="b">
        <f t="shared" si="0"/>
        <v>0</v>
      </c>
      <c r="M2" s="137" t="b">
        <f t="shared" si="0"/>
        <v>0</v>
      </c>
      <c r="N2" s="137" t="b">
        <f t="shared" si="0"/>
        <v>0</v>
      </c>
      <c r="O2" s="137" t="b">
        <f t="shared" si="0"/>
        <v>0</v>
      </c>
      <c r="P2" s="137" t="b">
        <f t="shared" si="0"/>
        <v>0</v>
      </c>
      <c r="Q2" s="137" t="b">
        <f t="shared" si="0"/>
        <v>0</v>
      </c>
      <c r="R2" s="137" t="b">
        <f t="shared" si="0"/>
        <v>0</v>
      </c>
      <c r="S2" s="137" t="b">
        <f t="shared" si="0"/>
        <v>0</v>
      </c>
      <c r="T2" s="137" t="b">
        <f t="shared" si="0"/>
        <v>0</v>
      </c>
      <c r="U2" s="137" t="b">
        <f t="shared" si="0"/>
        <v>0</v>
      </c>
      <c r="V2" s="137" t="b">
        <f t="shared" si="0"/>
        <v>0</v>
      </c>
      <c r="W2" s="137" t="b">
        <f t="shared" si="0"/>
        <v>0</v>
      </c>
      <c r="X2" s="137" t="b">
        <f t="shared" si="0"/>
        <v>0</v>
      </c>
      <c r="Y2" s="137" t="b">
        <f t="shared" si="0"/>
        <v>0</v>
      </c>
      <c r="Z2" s="137" t="b">
        <f t="shared" si="0"/>
        <v>0</v>
      </c>
      <c r="AA2" s="137" t="b">
        <f t="shared" si="0"/>
        <v>0</v>
      </c>
      <c r="AB2" s="137" t="b">
        <f t="shared" si="0"/>
        <v>0</v>
      </c>
      <c r="AC2" s="137" t="b">
        <f t="shared" si="0"/>
        <v>0</v>
      </c>
      <c r="AD2" s="137" t="b">
        <f t="shared" si="0"/>
        <v>0</v>
      </c>
      <c r="AE2" s="137" t="b">
        <f t="shared" si="0"/>
        <v>0</v>
      </c>
      <c r="AF2" s="137" t="b">
        <f t="shared" si="0"/>
        <v>0</v>
      </c>
      <c r="AG2" s="137" t="b">
        <f t="shared" si="0"/>
        <v>0</v>
      </c>
      <c r="AH2" s="137" t="str">
        <f t="shared" si="0"/>
        <v>NA</v>
      </c>
      <c r="AI2" s="137" t="str">
        <f t="shared" si="0"/>
        <v>NA</v>
      </c>
      <c r="AJ2" s="137" t="str">
        <f t="shared" si="0"/>
        <v>NA</v>
      </c>
      <c r="AK2" s="137" t="str">
        <f t="shared" si="0"/>
        <v>NA</v>
      </c>
      <c r="AL2" s="137" t="str">
        <f t="shared" si="0"/>
        <v>NA</v>
      </c>
      <c r="AM2" s="137" t="str">
        <f t="shared" si="0"/>
        <v>NA</v>
      </c>
      <c r="AN2" s="137" t="str">
        <f t="shared" si="0"/>
        <v>NA</v>
      </c>
      <c r="AO2" s="137" t="str">
        <f t="shared" si="0"/>
        <v>NA</v>
      </c>
      <c r="AP2" s="137" t="str">
        <f t="shared" si="0"/>
        <v>NA</v>
      </c>
      <c r="AQ2" s="137" t="str">
        <f t="shared" si="0"/>
        <v>NA</v>
      </c>
      <c r="AR2" s="137" t="str">
        <f t="shared" si="0"/>
        <v>NA</v>
      </c>
      <c r="AS2" s="137" t="str">
        <f t="shared" si="0"/>
        <v>NA</v>
      </c>
      <c r="AT2" s="137" t="str">
        <f t="shared" si="0"/>
        <v>NA</v>
      </c>
      <c r="AU2" s="137" t="str">
        <f t="shared" si="0"/>
        <v>NA</v>
      </c>
      <c r="AV2" s="137" t="str">
        <f t="shared" si="0"/>
        <v>NA</v>
      </c>
      <c r="AW2" s="137" t="str">
        <f t="shared" si="0"/>
        <v>NA</v>
      </c>
      <c r="AX2" s="137" t="str">
        <f t="shared" si="0"/>
        <v>NA</v>
      </c>
      <c r="AY2" s="137" t="str">
        <f t="shared" si="0"/>
        <v>NA</v>
      </c>
      <c r="AZ2" s="137" t="str">
        <f t="shared" si="0"/>
        <v>NA</v>
      </c>
      <c r="BA2" s="137" t="str">
        <f t="shared" si="0"/>
        <v>NA</v>
      </c>
      <c r="BB2" s="137" t="str">
        <f t="shared" si="0"/>
        <v>NA</v>
      </c>
      <c r="BC2" s="137" t="str">
        <f t="shared" si="0"/>
        <v>NA</v>
      </c>
      <c r="BD2" s="137" t="str">
        <f t="shared" si="0"/>
        <v>NA</v>
      </c>
      <c r="BE2" s="137" t="str">
        <f t="shared" si="0"/>
        <v>NA</v>
      </c>
      <c r="BF2" s="137" t="str">
        <f t="shared" si="0"/>
        <v>NA</v>
      </c>
      <c r="BG2" s="137" t="str">
        <f t="shared" si="0"/>
        <v>NA</v>
      </c>
      <c r="BH2" s="137" t="str">
        <f t="shared" si="0"/>
        <v>NA</v>
      </c>
      <c r="BI2" s="137" t="str">
        <f t="shared" si="0"/>
        <v>NA</v>
      </c>
      <c r="BJ2" s="137" t="str">
        <f t="shared" si="0"/>
        <v>NA</v>
      </c>
    </row>
    <row r="3" spans="1:62" x14ac:dyDescent="0.35">
      <c r="A3" s="15" t="s">
        <v>157</v>
      </c>
      <c r="B3" s="1" t="s">
        <v>144</v>
      </c>
      <c r="C3" s="110">
        <f>'Input-Stress Parameters'!C2</f>
        <v>45352</v>
      </c>
      <c r="D3" s="111">
        <f>EDATE(C3,1)</f>
        <v>45383</v>
      </c>
      <c r="E3" s="111">
        <f t="shared" ref="E3:BI3" si="1">EDATE(D3,1)</f>
        <v>45413</v>
      </c>
      <c r="F3" s="111">
        <f t="shared" si="1"/>
        <v>45444</v>
      </c>
      <c r="G3" s="111">
        <f t="shared" si="1"/>
        <v>45474</v>
      </c>
      <c r="H3" s="111">
        <f t="shared" si="1"/>
        <v>45505</v>
      </c>
      <c r="I3" s="111">
        <f t="shared" si="1"/>
        <v>45536</v>
      </c>
      <c r="J3" s="111">
        <f t="shared" si="1"/>
        <v>45566</v>
      </c>
      <c r="K3" s="111">
        <f t="shared" si="1"/>
        <v>45597</v>
      </c>
      <c r="L3" s="111">
        <f t="shared" si="1"/>
        <v>45627</v>
      </c>
      <c r="M3" s="111">
        <f t="shared" si="1"/>
        <v>45658</v>
      </c>
      <c r="N3" s="111">
        <f t="shared" si="1"/>
        <v>45689</v>
      </c>
      <c r="O3" s="112">
        <f t="shared" si="1"/>
        <v>45717</v>
      </c>
      <c r="P3" s="111">
        <f t="shared" si="1"/>
        <v>45748</v>
      </c>
      <c r="Q3" s="111">
        <f t="shared" si="1"/>
        <v>45778</v>
      </c>
      <c r="R3" s="111">
        <f t="shared" si="1"/>
        <v>45809</v>
      </c>
      <c r="S3" s="111">
        <f t="shared" si="1"/>
        <v>45839</v>
      </c>
      <c r="T3" s="111">
        <f t="shared" si="1"/>
        <v>45870</v>
      </c>
      <c r="U3" s="111">
        <f t="shared" si="1"/>
        <v>45901</v>
      </c>
      <c r="V3" s="111">
        <f t="shared" si="1"/>
        <v>45931</v>
      </c>
      <c r="W3" s="111">
        <f t="shared" si="1"/>
        <v>45962</v>
      </c>
      <c r="X3" s="111">
        <f t="shared" si="1"/>
        <v>45992</v>
      </c>
      <c r="Y3" s="111">
        <f t="shared" si="1"/>
        <v>46023</v>
      </c>
      <c r="Z3" s="111">
        <f t="shared" si="1"/>
        <v>46054</v>
      </c>
      <c r="AA3" s="112">
        <f t="shared" si="1"/>
        <v>46082</v>
      </c>
      <c r="AB3" s="111">
        <f t="shared" si="1"/>
        <v>46113</v>
      </c>
      <c r="AC3" s="111">
        <f t="shared" si="1"/>
        <v>46143</v>
      </c>
      <c r="AD3" s="111">
        <f t="shared" si="1"/>
        <v>46174</v>
      </c>
      <c r="AE3" s="111">
        <f t="shared" si="1"/>
        <v>46204</v>
      </c>
      <c r="AF3" s="111">
        <f t="shared" si="1"/>
        <v>46235</v>
      </c>
      <c r="AG3" s="111">
        <f t="shared" si="1"/>
        <v>46266</v>
      </c>
      <c r="AH3" s="111">
        <f t="shared" si="1"/>
        <v>46296</v>
      </c>
      <c r="AI3" s="111">
        <f t="shared" si="1"/>
        <v>46327</v>
      </c>
      <c r="AJ3" s="111">
        <f t="shared" si="1"/>
        <v>46357</v>
      </c>
      <c r="AK3" s="111">
        <f t="shared" si="1"/>
        <v>46388</v>
      </c>
      <c r="AL3" s="111">
        <f t="shared" si="1"/>
        <v>46419</v>
      </c>
      <c r="AM3" s="112">
        <f t="shared" si="1"/>
        <v>46447</v>
      </c>
      <c r="AN3" s="111">
        <f t="shared" si="1"/>
        <v>46478</v>
      </c>
      <c r="AO3" s="111">
        <f t="shared" si="1"/>
        <v>46508</v>
      </c>
      <c r="AP3" s="111">
        <f t="shared" si="1"/>
        <v>46539</v>
      </c>
      <c r="AQ3" s="111">
        <f t="shared" si="1"/>
        <v>46569</v>
      </c>
      <c r="AR3" s="111">
        <f t="shared" si="1"/>
        <v>46600</v>
      </c>
      <c r="AS3" s="111">
        <f t="shared" si="1"/>
        <v>46631</v>
      </c>
      <c r="AT3" s="111">
        <f t="shared" si="1"/>
        <v>46661</v>
      </c>
      <c r="AU3" s="111">
        <f t="shared" si="1"/>
        <v>46692</v>
      </c>
      <c r="AV3" s="111">
        <f t="shared" si="1"/>
        <v>46722</v>
      </c>
      <c r="AW3" s="111">
        <f t="shared" si="1"/>
        <v>46753</v>
      </c>
      <c r="AX3" s="112">
        <f t="shared" si="1"/>
        <v>46784</v>
      </c>
      <c r="AY3" s="111">
        <f t="shared" si="1"/>
        <v>46813</v>
      </c>
      <c r="AZ3" s="111">
        <f t="shared" si="1"/>
        <v>46844</v>
      </c>
      <c r="BA3" s="111">
        <f t="shared" si="1"/>
        <v>46874</v>
      </c>
      <c r="BB3" s="111">
        <f t="shared" si="1"/>
        <v>46905</v>
      </c>
      <c r="BC3" s="111">
        <f t="shared" si="1"/>
        <v>46935</v>
      </c>
      <c r="BD3" s="111">
        <f t="shared" si="1"/>
        <v>46966</v>
      </c>
      <c r="BE3" s="111">
        <f t="shared" si="1"/>
        <v>46997</v>
      </c>
      <c r="BF3" s="111">
        <f t="shared" si="1"/>
        <v>47027</v>
      </c>
      <c r="BG3" s="111">
        <f t="shared" si="1"/>
        <v>47058</v>
      </c>
      <c r="BH3" s="111">
        <f t="shared" si="1"/>
        <v>47088</v>
      </c>
      <c r="BI3" s="111">
        <f t="shared" si="1"/>
        <v>47119</v>
      </c>
      <c r="BJ3" s="112">
        <f>EDATE(BI3,1)</f>
        <v>47150</v>
      </c>
    </row>
    <row r="4" spans="1:62" x14ac:dyDescent="0.35">
      <c r="B4" s="1" t="s">
        <v>51</v>
      </c>
      <c r="C4" s="200">
        <f>'Calculation - Stage dist'!F10*C$7</f>
        <v>49926.434086095069</v>
      </c>
      <c r="D4" s="201">
        <f>'Calculation - Stage dist'!G10*D$7</f>
        <v>50279.866387107038</v>
      </c>
      <c r="E4" s="201">
        <f>'Calculation - Stage dist'!H10*E$7</f>
        <v>51126.434953093696</v>
      </c>
      <c r="F4" s="201">
        <f>'Calculation - Stage dist'!I10*F$7</f>
        <v>52012.528580144579</v>
      </c>
      <c r="G4" s="201">
        <f>'Calculation - Stage dist'!J10*G$7</f>
        <v>52919.420197011648</v>
      </c>
      <c r="H4" s="201">
        <f>'Calculation - Stage dist'!K10*H$7</f>
        <v>53894.022147514268</v>
      </c>
      <c r="I4" s="201">
        <f>'Calculation - Stage dist'!L10*I$7</f>
        <v>54918.015017512989</v>
      </c>
      <c r="J4" s="201">
        <f>'Calculation - Stage dist'!M10*J$7</f>
        <v>55594.071829319546</v>
      </c>
      <c r="K4" s="201">
        <f>'Calculation - Stage dist'!N10*K$7</f>
        <v>56414.758364098452</v>
      </c>
      <c r="L4" s="201">
        <f>'Calculation - Stage dist'!O10*L$7</f>
        <v>57301.24979226166</v>
      </c>
      <c r="M4" s="201">
        <f>'Calculation - Stage dist'!P10*M$7</f>
        <v>58092.19861655678</v>
      </c>
      <c r="N4" s="201">
        <f>'Calculation - Stage dist'!Q10*N$7</f>
        <v>58814.503648077662</v>
      </c>
      <c r="O4" s="202">
        <f>'Calculation - Stage dist'!R10*O$7</f>
        <v>59572.431652600964</v>
      </c>
      <c r="P4" s="201">
        <f>'Calculation - Stage dist'!S10*P$7</f>
        <v>59344.137740747632</v>
      </c>
      <c r="Q4" s="201">
        <f>'Calculation - Stage dist'!T10*Q$7</f>
        <v>59202.137026542856</v>
      </c>
      <c r="R4" s="201">
        <f>'Calculation - Stage dist'!U10*R$7</f>
        <v>59107.779829288462</v>
      </c>
      <c r="S4" s="201">
        <f>'Calculation - Stage dist'!V10*S$7</f>
        <v>58980.843217982845</v>
      </c>
      <c r="T4" s="201">
        <f>'Calculation - Stage dist'!W10*T$7</f>
        <v>58996.204360439166</v>
      </c>
      <c r="U4" s="201">
        <f>'Calculation - Stage dist'!X10*U$7</f>
        <v>58323.780036013064</v>
      </c>
      <c r="V4" s="201">
        <f>'Calculation - Stage dist'!Y10*V$7</f>
        <v>59462.984512544419</v>
      </c>
      <c r="W4" s="201">
        <f>'Calculation - Stage dist'!Z10*W$7</f>
        <v>60176.643160650659</v>
      </c>
      <c r="X4" s="201">
        <f>'Calculation - Stage dist'!AA10*X$7</f>
        <v>61228.576434380273</v>
      </c>
      <c r="Y4" s="201">
        <f>'Calculation - Stage dist'!AB10*Y$7</f>
        <v>62506.576741297336</v>
      </c>
      <c r="Z4" s="201">
        <f>'Calculation - Stage dist'!AC10*Z$7</f>
        <v>63955.906678663858</v>
      </c>
      <c r="AA4" s="202">
        <f>'Calculation - Stage dist'!AD10*AA$7</f>
        <v>65750.689542052176</v>
      </c>
      <c r="AB4" s="201">
        <f>'Calculation - Stage dist'!AE10*AB$7</f>
        <v>66169.754078915328</v>
      </c>
      <c r="AC4" s="201">
        <f>'Calculation - Stage dist'!AF10*AC$7</f>
        <v>68102.54354738952</v>
      </c>
      <c r="AD4" s="201">
        <f>'Calculation - Stage dist'!AG10*AD$7</f>
        <v>69349.276185873168</v>
      </c>
      <c r="AE4" s="201">
        <f>'Calculation - Stage dist'!AH10*AE$7</f>
        <v>70951.336616290384</v>
      </c>
      <c r="AF4" s="201">
        <f>'Calculation - Stage dist'!AI10*AF$7</f>
        <v>73084.065681408189</v>
      </c>
      <c r="AG4" s="201">
        <f>'Calculation - Stage dist'!AJ10*AG$7</f>
        <v>75830.085207403492</v>
      </c>
      <c r="AH4" s="201">
        <f>'Calculation - Stage dist'!AK10*AH$7</f>
        <v>78827.904577626119</v>
      </c>
      <c r="AI4" s="201">
        <f>'Calculation - Stage dist'!AL10*AI$7</f>
        <v>82402.224031928141</v>
      </c>
      <c r="AJ4" s="201">
        <f>'Calculation - Stage dist'!AM10*AJ$7</f>
        <v>86405.309152163303</v>
      </c>
      <c r="AK4" s="201">
        <f>'Calculation - Stage dist'!AN10*AK$7</f>
        <v>90505.581844979504</v>
      </c>
      <c r="AL4" s="201">
        <f>'Calculation - Stage dist'!AO10*AL$7</f>
        <v>94561.581138578957</v>
      </c>
      <c r="AM4" s="202">
        <f>'Calculation - Stage dist'!AP10*AM$7</f>
        <v>98947.887508632106</v>
      </c>
      <c r="AN4" s="201">
        <f>'Calculation - Stage dist'!AQ10*AN$7</f>
        <v>0</v>
      </c>
      <c r="AO4" s="201">
        <f>'Calculation - Stage dist'!AR10*AO$7</f>
        <v>0</v>
      </c>
      <c r="AP4" s="201">
        <f>'Calculation - Stage dist'!AS10*AP$7</f>
        <v>0</v>
      </c>
      <c r="AQ4" s="201">
        <f>'Calculation - Stage dist'!AT10*AQ$7</f>
        <v>0</v>
      </c>
      <c r="AR4" s="201">
        <f>'Calculation - Stage dist'!AU10*AR$7</f>
        <v>0</v>
      </c>
      <c r="AS4" s="201">
        <f>'Calculation - Stage dist'!AV10*AS$7</f>
        <v>0</v>
      </c>
      <c r="AT4" s="201">
        <f>'Calculation - Stage dist'!AW10*AT$7</f>
        <v>0</v>
      </c>
      <c r="AU4" s="201">
        <f>'Calculation - Stage dist'!AX10*AU$7</f>
        <v>0</v>
      </c>
      <c r="AV4" s="201">
        <f>'Calculation - Stage dist'!AY10*AV$7</f>
        <v>0</v>
      </c>
      <c r="AW4" s="201">
        <f>'Calculation - Stage dist'!AZ10*AW$7</f>
        <v>0</v>
      </c>
      <c r="AX4" s="202">
        <f>'Calculation - Stage dist'!BA10*AX$7</f>
        <v>0</v>
      </c>
      <c r="AY4" s="201">
        <f>'Calculation - Stage dist'!BB10*AY$7</f>
        <v>0</v>
      </c>
      <c r="AZ4" s="201">
        <f>'Calculation - Stage dist'!BC10*AZ$7</f>
        <v>0</v>
      </c>
      <c r="BA4" s="201">
        <f>'Calculation - Stage dist'!BD10*BA$7</f>
        <v>0</v>
      </c>
      <c r="BB4" s="201">
        <f>'Calculation - Stage dist'!BE10*BB$7</f>
        <v>0</v>
      </c>
      <c r="BC4" s="201">
        <f>'Calculation - Stage dist'!BF10*BC$7</f>
        <v>0</v>
      </c>
      <c r="BD4" s="201">
        <f>'Calculation - Stage dist'!BG10*BD$7</f>
        <v>0</v>
      </c>
      <c r="BE4" s="201">
        <f>'Calculation - Stage dist'!BH10*BE$7</f>
        <v>0</v>
      </c>
      <c r="BF4" s="201">
        <f>'Calculation - Stage dist'!BI10*BF$7</f>
        <v>0</v>
      </c>
      <c r="BG4" s="201">
        <f>'Calculation - Stage dist'!BJ10*BG$7</f>
        <v>0</v>
      </c>
      <c r="BH4" s="201">
        <f>'Calculation - Stage dist'!BK10*BH$7</f>
        <v>0</v>
      </c>
      <c r="BI4" s="201">
        <f>'Calculation - Stage dist'!BL10*BI$7</f>
        <v>0</v>
      </c>
      <c r="BJ4" s="202">
        <f>'Calculation - Stage dist'!BM10*BJ$7</f>
        <v>0</v>
      </c>
    </row>
    <row r="5" spans="1:62" x14ac:dyDescent="0.35">
      <c r="B5" s="2" t="s">
        <v>52</v>
      </c>
      <c r="C5" s="203">
        <f>'Calculation - Stage dist'!F11*C$7</f>
        <v>1210.9404438330791</v>
      </c>
      <c r="D5" s="204">
        <f>'Calculation - Stage dist'!G11*D$7</f>
        <v>1241.2466075514944</v>
      </c>
      <c r="E5" s="204">
        <f>'Calculation - Stage dist'!H11*E$7</f>
        <v>1284.273082934925</v>
      </c>
      <c r="F5" s="204">
        <f>'Calculation - Stage dist'!I11*F$7</f>
        <v>1329.0705058806077</v>
      </c>
      <c r="G5" s="204">
        <f>'Calculation - Stage dist'!J11*G$7</f>
        <v>1375.2050989918298</v>
      </c>
      <c r="H5" s="204">
        <f>'Calculation - Stage dist'!K11*H$7</f>
        <v>1423.944947625615</v>
      </c>
      <c r="I5" s="204">
        <f>'Calculation - Stage dist'!L11*I$7</f>
        <v>1474.8879557950088</v>
      </c>
      <c r="J5" s="204">
        <f>'Calculation - Stage dist'!M11*J$7</f>
        <v>1530.1003754197848</v>
      </c>
      <c r="K5" s="204">
        <f>'Calculation - Stage dist'!N11*K$7</f>
        <v>1590.3690897397116</v>
      </c>
      <c r="L5" s="204">
        <f>'Calculation - Stage dist'!O11*L$7</f>
        <v>1653.7126774015549</v>
      </c>
      <c r="M5" s="204">
        <f>'Calculation - Stage dist'!P11*M$7</f>
        <v>1715.5025119222512</v>
      </c>
      <c r="N5" s="204">
        <f>'Calculation - Stage dist'!Q11*N$7</f>
        <v>1776.3623265696874</v>
      </c>
      <c r="O5" s="205">
        <f>'Calculation - Stage dist'!R11*O$7</f>
        <v>1839.3763707239252</v>
      </c>
      <c r="P5" s="204">
        <f>'Calculation - Stage dist'!S11*P$7</f>
        <v>1898.5502226170602</v>
      </c>
      <c r="Q5" s="204">
        <f>'Calculation - Stage dist'!T11*Q$7</f>
        <v>1960.2906296908261</v>
      </c>
      <c r="R5" s="204">
        <f>'Calculation - Stage dist'!U11*R$7</f>
        <v>2023.5637726008897</v>
      </c>
      <c r="S5" s="204">
        <f>'Calculation - Stage dist'!V11*S$7</f>
        <v>2085.6933920346701</v>
      </c>
      <c r="T5" s="204">
        <f>'Calculation - Stage dist'!W11*T$7</f>
        <v>2152.9508055659167</v>
      </c>
      <c r="U5" s="204">
        <f>'Calculation - Stage dist'!X11*U$7</f>
        <v>2221.8492599304186</v>
      </c>
      <c r="V5" s="204">
        <f>'Calculation - Stage dist'!Y11*V$7</f>
        <v>2187.2288890080449</v>
      </c>
      <c r="W5" s="204">
        <f>'Calculation - Stage dist'!Z11*W$7</f>
        <v>2164.320207203978</v>
      </c>
      <c r="X5" s="204">
        <f>'Calculation - Stage dist'!AA11*X$7</f>
        <v>2152.2691871014877</v>
      </c>
      <c r="Y5" s="204">
        <f>'Calculation - Stage dist'!AB11*Y$7</f>
        <v>2146.4022791396019</v>
      </c>
      <c r="Z5" s="204">
        <f>'Calculation - Stage dist'!AC11*Z$7</f>
        <v>2144.3409198661866</v>
      </c>
      <c r="AA5" s="205">
        <f>'Calculation - Stage dist'!AD11*AA$7</f>
        <v>2151.3747646317652</v>
      </c>
      <c r="AB5" s="204">
        <f>'Calculation - Stage dist'!AE11*AB$7</f>
        <v>2111.7475919430944</v>
      </c>
      <c r="AC5" s="204">
        <f>'Calculation - Stage dist'!AF11*AC$7</f>
        <v>2118.6793914141435</v>
      </c>
      <c r="AD5" s="204">
        <f>'Calculation - Stage dist'!AG11*AD$7</f>
        <v>2101.8593832048987</v>
      </c>
      <c r="AE5" s="204">
        <f>'Calculation - Stage dist'!AH11*AE$7</f>
        <v>2093.6750452372248</v>
      </c>
      <c r="AF5" s="204">
        <f>'Calculation - Stage dist'!AI11*AF$7</f>
        <v>2098.3177027761899</v>
      </c>
      <c r="AG5" s="204">
        <f>'Calculation - Stage dist'!AJ11*AG$7</f>
        <v>2116.8369041134702</v>
      </c>
      <c r="AH5" s="204">
        <f>'Calculation - Stage dist'!AK11*AH$7</f>
        <v>2137.9813376618727</v>
      </c>
      <c r="AI5" s="204">
        <f>'Calculation - Stage dist'!AL11*AI$7</f>
        <v>2169.7194801639421</v>
      </c>
      <c r="AJ5" s="204">
        <f>'Calculation - Stage dist'!AM11*AJ$7</f>
        <v>2206.9310771036876</v>
      </c>
      <c r="AK5" s="204">
        <f>'Calculation - Stage dist'!AN11*AK$7</f>
        <v>2240.4171502189442</v>
      </c>
      <c r="AL5" s="204">
        <f>'Calculation - Stage dist'!AO11*AL$7</f>
        <v>2266.5821762291848</v>
      </c>
      <c r="AM5" s="205">
        <f>'Calculation - Stage dist'!AP11*AM$7</f>
        <v>2294.2398929960123</v>
      </c>
      <c r="AN5" s="204">
        <f>'Calculation - Stage dist'!AQ11*AN$7</f>
        <v>0</v>
      </c>
      <c r="AO5" s="204">
        <f>'Calculation - Stage dist'!AR11*AO$7</f>
        <v>0</v>
      </c>
      <c r="AP5" s="204">
        <f>'Calculation - Stage dist'!AS11*AP$7</f>
        <v>0</v>
      </c>
      <c r="AQ5" s="204">
        <f>'Calculation - Stage dist'!AT11*AQ$7</f>
        <v>0</v>
      </c>
      <c r="AR5" s="204">
        <f>'Calculation - Stage dist'!AU11*AR$7</f>
        <v>0</v>
      </c>
      <c r="AS5" s="204">
        <f>'Calculation - Stage dist'!AV11*AS$7</f>
        <v>0</v>
      </c>
      <c r="AT5" s="204">
        <f>'Calculation - Stage dist'!AW11*AT$7</f>
        <v>0</v>
      </c>
      <c r="AU5" s="204">
        <f>'Calculation - Stage dist'!AX11*AU$7</f>
        <v>0</v>
      </c>
      <c r="AV5" s="204">
        <f>'Calculation - Stage dist'!AY11*AV$7</f>
        <v>0</v>
      </c>
      <c r="AW5" s="204">
        <f>'Calculation - Stage dist'!AZ11*AW$7</f>
        <v>0</v>
      </c>
      <c r="AX5" s="205">
        <f>'Calculation - Stage dist'!BA11*AX$7</f>
        <v>0</v>
      </c>
      <c r="AY5" s="204">
        <f>'Calculation - Stage dist'!BB11*AY$7</f>
        <v>0</v>
      </c>
      <c r="AZ5" s="204">
        <f>'Calculation - Stage dist'!BC11*AZ$7</f>
        <v>0</v>
      </c>
      <c r="BA5" s="204">
        <f>'Calculation - Stage dist'!BD11*BA$7</f>
        <v>0</v>
      </c>
      <c r="BB5" s="204">
        <f>'Calculation - Stage dist'!BE11*BB$7</f>
        <v>0</v>
      </c>
      <c r="BC5" s="204">
        <f>'Calculation - Stage dist'!BF11*BC$7</f>
        <v>0</v>
      </c>
      <c r="BD5" s="204">
        <f>'Calculation - Stage dist'!BG11*BD$7</f>
        <v>0</v>
      </c>
      <c r="BE5" s="204">
        <f>'Calculation - Stage dist'!BH11*BE$7</f>
        <v>0</v>
      </c>
      <c r="BF5" s="204">
        <f>'Calculation - Stage dist'!BI11*BF$7</f>
        <v>0</v>
      </c>
      <c r="BG5" s="204">
        <f>'Calculation - Stage dist'!BJ11*BG$7</f>
        <v>0</v>
      </c>
      <c r="BH5" s="204">
        <f>'Calculation - Stage dist'!BK11*BH$7</f>
        <v>0</v>
      </c>
      <c r="BI5" s="204">
        <f>'Calculation - Stage dist'!BL11*BI$7</f>
        <v>0</v>
      </c>
      <c r="BJ5" s="205">
        <f>'Calculation - Stage dist'!BM11*BJ$7</f>
        <v>0</v>
      </c>
    </row>
    <row r="6" spans="1:62" x14ac:dyDescent="0.35">
      <c r="B6" s="3" t="s">
        <v>53</v>
      </c>
      <c r="C6" s="206">
        <f>'Calculation - Stage dist'!F12*C$7</f>
        <v>888.76109906832028</v>
      </c>
      <c r="D6" s="207">
        <f>'Calculation - Stage dist'!G12*D$7</f>
        <v>906.09810291063002</v>
      </c>
      <c r="E6" s="207">
        <f>'Calculation - Stage dist'!H12*E$7</f>
        <v>932.59963733774009</v>
      </c>
      <c r="F6" s="207">
        <f>'Calculation - Stage dist'!I12*F$7</f>
        <v>960.21758818564194</v>
      </c>
      <c r="G6" s="207">
        <f>'Calculation - Stage dist'!J12*G$7</f>
        <v>988.62897409262723</v>
      </c>
      <c r="H6" s="207">
        <f>'Calculation - Stage dist'!K12*H$7</f>
        <v>1018.7350958405415</v>
      </c>
      <c r="I6" s="207">
        <f>'Calculation - Stage dist'!L12*I$7</f>
        <v>1050.2313048682647</v>
      </c>
      <c r="J6" s="207">
        <f>'Calculation - Stage dist'!M12*J$7</f>
        <v>1086.3820343289308</v>
      </c>
      <c r="K6" s="207">
        <f>'Calculation - Stage dist'!N12*K$7</f>
        <v>1126.0331271628711</v>
      </c>
      <c r="L6" s="207">
        <f>'Calculation - Stage dist'!O12*L$7</f>
        <v>1167.762089100868</v>
      </c>
      <c r="M6" s="207">
        <f>'Calculation - Stage dist'!P12*M$7</f>
        <v>1208.2982215001082</v>
      </c>
      <c r="N6" s="207">
        <f>'Calculation - Stage dist'!Q12*N$7</f>
        <v>1248.0940957084649</v>
      </c>
      <c r="O6" s="208">
        <f>'Calculation - Stage dist'!R12*O$7</f>
        <v>1289.3216717269079</v>
      </c>
      <c r="P6" s="207">
        <f>'Calculation - Stage dist'!S12*P$7</f>
        <v>1321.5425873507513</v>
      </c>
      <c r="Q6" s="207">
        <f>'Calculation - Stage dist'!T12*Q$7</f>
        <v>1355.5762248030171</v>
      </c>
      <c r="R6" s="207">
        <f>'Calculation - Stage dist'!U12*R$7</f>
        <v>1390.6756200989958</v>
      </c>
      <c r="S6" s="207">
        <f>'Calculation - Stage dist'!V12*S$7</f>
        <v>1424.992689978453</v>
      </c>
      <c r="T6" s="207">
        <f>'Calculation - Stage dist'!W12*T$7</f>
        <v>1462.8014874607484</v>
      </c>
      <c r="U6" s="207">
        <f>'Calculation - Stage dist'!X12*U$7</f>
        <v>1491.2417584549205</v>
      </c>
      <c r="V6" s="207">
        <f>'Calculation - Stage dist'!Y12*V$7</f>
        <v>1464.7884702621739</v>
      </c>
      <c r="W6" s="207">
        <f>'Calculation - Stage dist'!Z12*W$7</f>
        <v>1446.127218154408</v>
      </c>
      <c r="X6" s="207">
        <f>'Calculation - Stage dist'!AA12*X$7</f>
        <v>1434.6303200995849</v>
      </c>
      <c r="Y6" s="207">
        <f>'Calculation - Stage dist'!AB12*Y$7</f>
        <v>1427.1310161251401</v>
      </c>
      <c r="Z6" s="207">
        <f>'Calculation - Stage dist'!AC12*Z$7</f>
        <v>1422.0117250932599</v>
      </c>
      <c r="AA6" s="208">
        <f>'Calculation - Stage dist'!AD12*AA$7</f>
        <v>1422.739637424311</v>
      </c>
      <c r="AB6" s="207">
        <f>'Calculation - Stage dist'!AE12*AB$7</f>
        <v>1392.484813027424</v>
      </c>
      <c r="AC6" s="207">
        <f>'Calculation - Stage dist'!AF12*AC$7</f>
        <v>1392.7947367958084</v>
      </c>
      <c r="AD6" s="207">
        <f>'Calculation - Stage dist'!AG12*AD$7</f>
        <v>1377.2982250411601</v>
      </c>
      <c r="AE6" s="207">
        <f>'Calculation - Stage dist'!AH12*AE$7</f>
        <v>1367.2856126718957</v>
      </c>
      <c r="AF6" s="207">
        <f>'Calculation - Stage dist'!AI12*AF$7</f>
        <v>1365.4113531692567</v>
      </c>
      <c r="AG6" s="207">
        <f>'Calculation - Stage dist'!AJ12*AG$7</f>
        <v>1372.2439937585398</v>
      </c>
      <c r="AH6" s="207">
        <f>'Calculation - Stage dist'!AK12*AH$7</f>
        <v>1380.386633202746</v>
      </c>
      <c r="AI6" s="207">
        <f>'Calculation - Stage dist'!AL12*AI$7</f>
        <v>1394.9073690003395</v>
      </c>
      <c r="AJ6" s="207">
        <f>'Calculation - Stage dist'!AM12*AJ$7</f>
        <v>1412.3983563003537</v>
      </c>
      <c r="AK6" s="207">
        <f>'Calculation - Stage dist'!AN12*AK$7</f>
        <v>1426.9014270394086</v>
      </c>
      <c r="AL6" s="207">
        <f>'Calculation - Stage dist'!AO12*AL$7</f>
        <v>1436.1172206504079</v>
      </c>
      <c r="AM6" s="208">
        <f>'Calculation - Stage dist'!AP12*AM$7</f>
        <v>1445.6130951585837</v>
      </c>
      <c r="AN6" s="207">
        <f>'Calculation - Stage dist'!AQ12*AN$7</f>
        <v>0</v>
      </c>
      <c r="AO6" s="207">
        <f>'Calculation - Stage dist'!AR12*AO$7</f>
        <v>0</v>
      </c>
      <c r="AP6" s="207">
        <f>'Calculation - Stage dist'!AS12*AP$7</f>
        <v>0</v>
      </c>
      <c r="AQ6" s="207">
        <f>'Calculation - Stage dist'!AT12*AQ$7</f>
        <v>0</v>
      </c>
      <c r="AR6" s="207">
        <f>'Calculation - Stage dist'!AU12*AR$7</f>
        <v>0</v>
      </c>
      <c r="AS6" s="207">
        <f>'Calculation - Stage dist'!AV12*AS$7</f>
        <v>0</v>
      </c>
      <c r="AT6" s="207">
        <f>'Calculation - Stage dist'!AW12*AT$7</f>
        <v>0</v>
      </c>
      <c r="AU6" s="207">
        <f>'Calculation - Stage dist'!AX12*AU$7</f>
        <v>0</v>
      </c>
      <c r="AV6" s="207">
        <f>'Calculation - Stage dist'!AY12*AV$7</f>
        <v>0</v>
      </c>
      <c r="AW6" s="207">
        <f>'Calculation - Stage dist'!AZ12*AW$7</f>
        <v>0</v>
      </c>
      <c r="AX6" s="208">
        <f>'Calculation - Stage dist'!BA12*AX$7</f>
        <v>0</v>
      </c>
      <c r="AY6" s="207">
        <f>'Calculation - Stage dist'!BB12*AY$7</f>
        <v>0</v>
      </c>
      <c r="AZ6" s="207">
        <f>'Calculation - Stage dist'!BC12*AZ$7</f>
        <v>0</v>
      </c>
      <c r="BA6" s="207">
        <f>'Calculation - Stage dist'!BD12*BA$7</f>
        <v>0</v>
      </c>
      <c r="BB6" s="207">
        <f>'Calculation - Stage dist'!BE12*BB$7</f>
        <v>0</v>
      </c>
      <c r="BC6" s="207">
        <f>'Calculation - Stage dist'!BF12*BC$7</f>
        <v>0</v>
      </c>
      <c r="BD6" s="207">
        <f>'Calculation - Stage dist'!BG12*BD$7</f>
        <v>0</v>
      </c>
      <c r="BE6" s="207">
        <f>'Calculation - Stage dist'!BH12*BE$7</f>
        <v>0</v>
      </c>
      <c r="BF6" s="207">
        <f>'Calculation - Stage dist'!BI12*BF$7</f>
        <v>0</v>
      </c>
      <c r="BG6" s="207">
        <f>'Calculation - Stage dist'!BJ12*BG$7</f>
        <v>0</v>
      </c>
      <c r="BH6" s="207">
        <f>'Calculation - Stage dist'!BK12*BH$7</f>
        <v>0</v>
      </c>
      <c r="BI6" s="207">
        <f>'Calculation - Stage dist'!BL12*BI$7</f>
        <v>0</v>
      </c>
      <c r="BJ6" s="208">
        <f>'Calculation - Stage dist'!BM12*BJ$7</f>
        <v>0</v>
      </c>
    </row>
    <row r="7" spans="1:62" x14ac:dyDescent="0.35">
      <c r="B7" s="3" t="s">
        <v>140</v>
      </c>
      <c r="C7" s="206">
        <f>'Input - ENR'!C16</f>
        <v>52026.135628996468</v>
      </c>
      <c r="D7" s="207">
        <f>'Input - ENR'!D16</f>
        <v>52427.211097569161</v>
      </c>
      <c r="E7" s="207">
        <f>'Input - ENR'!E16</f>
        <v>53343.307673366362</v>
      </c>
      <c r="F7" s="207">
        <f>'Input - ENR'!F16</f>
        <v>54301.81667421083</v>
      </c>
      <c r="G7" s="207">
        <f>'Input - ENR'!G16</f>
        <v>55283.254270096098</v>
      </c>
      <c r="H7" s="207">
        <f>'Input - ENR'!H16</f>
        <v>56336.702190980432</v>
      </c>
      <c r="I7" s="207">
        <f>'Input - ENR'!I16</f>
        <v>57443.134278176265</v>
      </c>
      <c r="J7" s="207">
        <f>'Input - ENR'!J16</f>
        <v>58210.55423906826</v>
      </c>
      <c r="K7" s="207">
        <f>'Input - ENR'!K16</f>
        <v>59131.160581001037</v>
      </c>
      <c r="L7" s="207">
        <f>'Input - ENR'!L16</f>
        <v>60122.724558764086</v>
      </c>
      <c r="M7" s="207">
        <f>'Input - ENR'!M16</f>
        <v>61015.999349979138</v>
      </c>
      <c r="N7" s="207">
        <f>'Input - ENR'!N16</f>
        <v>61838.960070355817</v>
      </c>
      <c r="O7" s="208">
        <f>'Input - ENR'!O16</f>
        <v>62701.129695051794</v>
      </c>
      <c r="P7" s="207">
        <f>'Input - ENR'!P16</f>
        <v>62564.230550715438</v>
      </c>
      <c r="Q7" s="207">
        <f>'Input - ENR'!Q16</f>
        <v>62518.003881036697</v>
      </c>
      <c r="R7" s="207">
        <f>'Input - ENR'!R16</f>
        <v>62522.019221988347</v>
      </c>
      <c r="S7" s="207">
        <f>'Input - ENR'!S16</f>
        <v>62491.529299995971</v>
      </c>
      <c r="T7" s="207">
        <f>'Input - ENR'!T16</f>
        <v>62611.95665346583</v>
      </c>
      <c r="U7" s="207">
        <f>'Input - ENR'!U16</f>
        <v>62801.46685567747</v>
      </c>
      <c r="V7" s="207">
        <f>'Input - ENR'!V16</f>
        <v>63115.001871814638</v>
      </c>
      <c r="W7" s="207">
        <f>'Input - ENR'!W16</f>
        <v>63787.09058600905</v>
      </c>
      <c r="X7" s="207">
        <f>'Input - ENR'!X16</f>
        <v>64815.475941581346</v>
      </c>
      <c r="Y7" s="207">
        <f>'Input - ENR'!Y16</f>
        <v>66080.11003656208</v>
      </c>
      <c r="Z7" s="207">
        <f>'Input - ENR'!Z16</f>
        <v>67522.259323623308</v>
      </c>
      <c r="AA7" s="208">
        <f>'Input - ENR'!AA16</f>
        <v>69324.803944108251</v>
      </c>
      <c r="AB7" s="207">
        <f>'Input - ENR'!AB16</f>
        <v>69673.986483885848</v>
      </c>
      <c r="AC7" s="207">
        <f>'Input - ENR'!AC16</f>
        <v>71614.017675599462</v>
      </c>
      <c r="AD7" s="207">
        <f>'Input - ENR'!AD16</f>
        <v>72828.433794119221</v>
      </c>
      <c r="AE7" s="207">
        <f>'Input - ENR'!AE16</f>
        <v>74412.297274199504</v>
      </c>
      <c r="AF7" s="207">
        <f>'Input - ENR'!AF16</f>
        <v>76547.79473735363</v>
      </c>
      <c r="AG7" s="207">
        <f>'Input - ENR'!AG16</f>
        <v>79319.166105275508</v>
      </c>
      <c r="AH7" s="207">
        <f>'Input - ENR'!AH16</f>
        <v>82346.272548490742</v>
      </c>
      <c r="AI7" s="207">
        <f>'Input - ENR'!AI16</f>
        <v>85966.850881092425</v>
      </c>
      <c r="AJ7" s="207">
        <f>'Input - ENR'!AJ16</f>
        <v>90024.638585567343</v>
      </c>
      <c r="AK7" s="207">
        <f>'Input - ENR'!AK16</f>
        <v>94172.900422237857</v>
      </c>
      <c r="AL7" s="207">
        <f>'Input - ENR'!AL16</f>
        <v>98264.280535458543</v>
      </c>
      <c r="AM7" s="208">
        <f>'Input - ENR'!AM16</f>
        <v>102687.7404967867</v>
      </c>
      <c r="AN7" s="207">
        <f>'Input - ENR'!AN4</f>
        <v>0</v>
      </c>
      <c r="AO7" s="207">
        <f>'Input - ENR'!AO4</f>
        <v>0</v>
      </c>
      <c r="AP7" s="207">
        <f>'Input - ENR'!AP4</f>
        <v>0</v>
      </c>
      <c r="AQ7" s="207">
        <f>'Input - ENR'!AQ4</f>
        <v>0</v>
      </c>
      <c r="AR7" s="207">
        <f>'Input - ENR'!AR4</f>
        <v>0</v>
      </c>
      <c r="AS7" s="207">
        <f>'Input - ENR'!AS4</f>
        <v>0</v>
      </c>
      <c r="AT7" s="207">
        <f>'Input - ENR'!AT4</f>
        <v>0</v>
      </c>
      <c r="AU7" s="207">
        <f>'Input - ENR'!AU4</f>
        <v>0</v>
      </c>
      <c r="AV7" s="207">
        <f>'Input - ENR'!AV4</f>
        <v>0</v>
      </c>
      <c r="AW7" s="207">
        <f>'Input - ENR'!AW4</f>
        <v>0</v>
      </c>
      <c r="AX7" s="208">
        <f>'Input - ENR'!AX4</f>
        <v>0</v>
      </c>
      <c r="AY7" s="207">
        <f>'Input - ENR'!AY4</f>
        <v>0</v>
      </c>
      <c r="AZ7" s="207">
        <f>'Input - ENR'!AZ4</f>
        <v>0</v>
      </c>
      <c r="BA7" s="207">
        <f>'Input - ENR'!BA4</f>
        <v>0</v>
      </c>
      <c r="BB7" s="207">
        <f>'Input - ENR'!BB4</f>
        <v>0</v>
      </c>
      <c r="BC7" s="207">
        <f>'Input - ENR'!BC4</f>
        <v>0</v>
      </c>
      <c r="BD7" s="207">
        <f>'Input - ENR'!BD4</f>
        <v>0</v>
      </c>
      <c r="BE7" s="207">
        <f>'Input - ENR'!BE4</f>
        <v>0</v>
      </c>
      <c r="BF7" s="207">
        <f>'Input - ENR'!BF4</f>
        <v>0</v>
      </c>
      <c r="BG7" s="207">
        <f>'Input - ENR'!BG4</f>
        <v>0</v>
      </c>
      <c r="BH7" s="207">
        <f>'Input - ENR'!BH4</f>
        <v>0</v>
      </c>
      <c r="BI7" s="207">
        <f>'Input - ENR'!BI4</f>
        <v>0</v>
      </c>
      <c r="BJ7" s="208">
        <f>'Input - ENR'!BJ4</f>
        <v>0</v>
      </c>
    </row>
    <row r="9" spans="1:62" x14ac:dyDescent="0.35">
      <c r="B9" s="1" t="s">
        <v>141</v>
      </c>
      <c r="C9" s="110">
        <f>C3</f>
        <v>45352</v>
      </c>
      <c r="D9" s="111">
        <f>EDATE(C9,1)</f>
        <v>45383</v>
      </c>
      <c r="E9" s="111">
        <f t="shared" ref="E9" si="2">EDATE(D9,1)</f>
        <v>45413</v>
      </c>
      <c r="F9" s="111">
        <f t="shared" ref="F9" si="3">EDATE(E9,1)</f>
        <v>45444</v>
      </c>
      <c r="G9" s="111">
        <f t="shared" ref="G9" si="4">EDATE(F9,1)</f>
        <v>45474</v>
      </c>
      <c r="H9" s="111">
        <f t="shared" ref="H9" si="5">EDATE(G9,1)</f>
        <v>45505</v>
      </c>
      <c r="I9" s="111">
        <f t="shared" ref="I9" si="6">EDATE(H9,1)</f>
        <v>45536</v>
      </c>
      <c r="J9" s="111">
        <f t="shared" ref="J9" si="7">EDATE(I9,1)</f>
        <v>45566</v>
      </c>
      <c r="K9" s="111">
        <f t="shared" ref="K9" si="8">EDATE(J9,1)</f>
        <v>45597</v>
      </c>
      <c r="L9" s="111">
        <f t="shared" ref="L9" si="9">EDATE(K9,1)</f>
        <v>45627</v>
      </c>
      <c r="M9" s="111">
        <f t="shared" ref="M9" si="10">EDATE(L9,1)</f>
        <v>45658</v>
      </c>
      <c r="N9" s="111">
        <f t="shared" ref="N9" si="11">EDATE(M9,1)</f>
        <v>45689</v>
      </c>
      <c r="O9" s="112">
        <f t="shared" ref="O9" si="12">EDATE(N9,1)</f>
        <v>45717</v>
      </c>
      <c r="P9" s="111">
        <f t="shared" ref="P9" si="13">EDATE(O9,1)</f>
        <v>45748</v>
      </c>
      <c r="Q9" s="111">
        <f t="shared" ref="Q9" si="14">EDATE(P9,1)</f>
        <v>45778</v>
      </c>
      <c r="R9" s="111">
        <f t="shared" ref="R9" si="15">EDATE(Q9,1)</f>
        <v>45809</v>
      </c>
      <c r="S9" s="111">
        <f t="shared" ref="S9" si="16">EDATE(R9,1)</f>
        <v>45839</v>
      </c>
      <c r="T9" s="111">
        <f t="shared" ref="T9" si="17">EDATE(S9,1)</f>
        <v>45870</v>
      </c>
      <c r="U9" s="111">
        <f t="shared" ref="U9" si="18">EDATE(T9,1)</f>
        <v>45901</v>
      </c>
      <c r="V9" s="111">
        <f t="shared" ref="V9" si="19">EDATE(U9,1)</f>
        <v>45931</v>
      </c>
      <c r="W9" s="111">
        <f t="shared" ref="W9" si="20">EDATE(V9,1)</f>
        <v>45962</v>
      </c>
      <c r="X9" s="111">
        <f t="shared" ref="X9" si="21">EDATE(W9,1)</f>
        <v>45992</v>
      </c>
      <c r="Y9" s="111">
        <f t="shared" ref="Y9" si="22">EDATE(X9,1)</f>
        <v>46023</v>
      </c>
      <c r="Z9" s="111">
        <f t="shared" ref="Z9" si="23">EDATE(Y9,1)</f>
        <v>46054</v>
      </c>
      <c r="AA9" s="112">
        <f t="shared" ref="AA9" si="24">EDATE(Z9,1)</f>
        <v>46082</v>
      </c>
      <c r="AB9" s="111">
        <f t="shared" ref="AB9" si="25">EDATE(AA9,1)</f>
        <v>46113</v>
      </c>
      <c r="AC9" s="111">
        <f t="shared" ref="AC9" si="26">EDATE(AB9,1)</f>
        <v>46143</v>
      </c>
      <c r="AD9" s="111">
        <f t="shared" ref="AD9" si="27">EDATE(AC9,1)</f>
        <v>46174</v>
      </c>
      <c r="AE9" s="111">
        <f t="shared" ref="AE9" si="28">EDATE(AD9,1)</f>
        <v>46204</v>
      </c>
      <c r="AF9" s="111">
        <f t="shared" ref="AF9" si="29">EDATE(AE9,1)</f>
        <v>46235</v>
      </c>
      <c r="AG9" s="111">
        <f t="shared" ref="AG9" si="30">EDATE(AF9,1)</f>
        <v>46266</v>
      </c>
      <c r="AH9" s="111">
        <f t="shared" ref="AH9" si="31">EDATE(AG9,1)</f>
        <v>46296</v>
      </c>
      <c r="AI9" s="111">
        <f t="shared" ref="AI9" si="32">EDATE(AH9,1)</f>
        <v>46327</v>
      </c>
      <c r="AJ9" s="111">
        <f t="shared" ref="AJ9" si="33">EDATE(AI9,1)</f>
        <v>46357</v>
      </c>
      <c r="AK9" s="111">
        <f t="shared" ref="AK9" si="34">EDATE(AJ9,1)</f>
        <v>46388</v>
      </c>
      <c r="AL9" s="111">
        <f t="shared" ref="AL9" si="35">EDATE(AK9,1)</f>
        <v>46419</v>
      </c>
      <c r="AM9" s="112">
        <f t="shared" ref="AM9" si="36">EDATE(AL9,1)</f>
        <v>46447</v>
      </c>
      <c r="AN9" s="111">
        <f t="shared" ref="AN9" si="37">EDATE(AM9,1)</f>
        <v>46478</v>
      </c>
      <c r="AO9" s="111">
        <f t="shared" ref="AO9" si="38">EDATE(AN9,1)</f>
        <v>46508</v>
      </c>
      <c r="AP9" s="111">
        <f t="shared" ref="AP9" si="39">EDATE(AO9,1)</f>
        <v>46539</v>
      </c>
      <c r="AQ9" s="111">
        <f t="shared" ref="AQ9" si="40">EDATE(AP9,1)</f>
        <v>46569</v>
      </c>
      <c r="AR9" s="111">
        <f t="shared" ref="AR9" si="41">EDATE(AQ9,1)</f>
        <v>46600</v>
      </c>
      <c r="AS9" s="111">
        <f t="shared" ref="AS9" si="42">EDATE(AR9,1)</f>
        <v>46631</v>
      </c>
      <c r="AT9" s="111">
        <f t="shared" ref="AT9" si="43">EDATE(AS9,1)</f>
        <v>46661</v>
      </c>
      <c r="AU9" s="111">
        <f t="shared" ref="AU9" si="44">EDATE(AT9,1)</f>
        <v>46692</v>
      </c>
      <c r="AV9" s="111">
        <f t="shared" ref="AV9" si="45">EDATE(AU9,1)</f>
        <v>46722</v>
      </c>
      <c r="AW9" s="111">
        <f t="shared" ref="AW9" si="46">EDATE(AV9,1)</f>
        <v>46753</v>
      </c>
      <c r="AX9" s="112">
        <f t="shared" ref="AX9" si="47">EDATE(AW9,1)</f>
        <v>46784</v>
      </c>
      <c r="AY9" s="111">
        <f t="shared" ref="AY9" si="48">EDATE(AX9,1)</f>
        <v>46813</v>
      </c>
      <c r="AZ9" s="111">
        <f t="shared" ref="AZ9" si="49">EDATE(AY9,1)</f>
        <v>46844</v>
      </c>
      <c r="BA9" s="111">
        <f t="shared" ref="BA9" si="50">EDATE(AZ9,1)</f>
        <v>46874</v>
      </c>
      <c r="BB9" s="111">
        <f t="shared" ref="BB9" si="51">EDATE(BA9,1)</f>
        <v>46905</v>
      </c>
      <c r="BC9" s="111">
        <f t="shared" ref="BC9" si="52">EDATE(BB9,1)</f>
        <v>46935</v>
      </c>
      <c r="BD9" s="111">
        <f t="shared" ref="BD9" si="53">EDATE(BC9,1)</f>
        <v>46966</v>
      </c>
      <c r="BE9" s="111">
        <f t="shared" ref="BE9" si="54">EDATE(BD9,1)</f>
        <v>46997</v>
      </c>
      <c r="BF9" s="111">
        <f t="shared" ref="BF9" si="55">EDATE(BE9,1)</f>
        <v>47027</v>
      </c>
      <c r="BG9" s="111">
        <f t="shared" ref="BG9" si="56">EDATE(BF9,1)</f>
        <v>47058</v>
      </c>
      <c r="BH9" s="111">
        <f t="shared" ref="BH9" si="57">EDATE(BG9,1)</f>
        <v>47088</v>
      </c>
      <c r="BI9" s="111">
        <f t="shared" ref="BI9" si="58">EDATE(BH9,1)</f>
        <v>47119</v>
      </c>
      <c r="BJ9" s="112">
        <f>EDATE(BI9,1)</f>
        <v>47150</v>
      </c>
    </row>
    <row r="10" spans="1:62" x14ac:dyDescent="0.35">
      <c r="B10" s="1" t="s">
        <v>51</v>
      </c>
      <c r="C10" s="181">
        <v>6.3487570230341614E-3</v>
      </c>
      <c r="D10" s="182">
        <v>6.4755119916350577E-3</v>
      </c>
      <c r="E10" s="182">
        <v>6.5455627204048794E-3</v>
      </c>
      <c r="F10" s="182">
        <v>6.5785395109721435E-3</v>
      </c>
      <c r="G10" s="182">
        <v>6.5682283303441268E-3</v>
      </c>
      <c r="H10" s="182">
        <v>6.5477673239941496E-3</v>
      </c>
      <c r="I10" s="182">
        <v>6.5232828031727818E-3</v>
      </c>
      <c r="J10" s="182">
        <v>6.4558134399852378E-3</v>
      </c>
      <c r="K10" s="182">
        <v>6.3959106094757219E-3</v>
      </c>
      <c r="L10" s="182">
        <v>6.3458387341360327E-3</v>
      </c>
      <c r="M10" s="182">
        <v>6.3016372103956286E-3</v>
      </c>
      <c r="N10" s="182">
        <v>6.2697912632863192E-3</v>
      </c>
      <c r="O10" s="183">
        <v>5.9912616506532981E-3</v>
      </c>
      <c r="P10" s="182">
        <v>6.0485770702712301E-3</v>
      </c>
      <c r="Q10" s="182">
        <v>6.0817324303272568E-3</v>
      </c>
      <c r="R10" s="182">
        <v>6.0993151285506824E-3</v>
      </c>
      <c r="S10" s="182">
        <v>6.0902211564530604E-3</v>
      </c>
      <c r="T10" s="182">
        <v>6.0772139248046926E-3</v>
      </c>
      <c r="U10" s="182">
        <v>6.0632932952994914E-3</v>
      </c>
      <c r="V10" s="182">
        <v>6.014310043991433E-3</v>
      </c>
      <c r="W10" s="182">
        <v>5.9728724892701493E-3</v>
      </c>
      <c r="X10" s="182">
        <v>5.9394181683766929E-3</v>
      </c>
      <c r="Y10" s="182">
        <v>5.9099348686804838E-3</v>
      </c>
      <c r="Z10" s="182">
        <v>5.8889952368299829E-3</v>
      </c>
      <c r="AA10" s="183">
        <v>5.7571132535775256E-3</v>
      </c>
      <c r="AB10" s="182">
        <v>5.8067796586233874E-3</v>
      </c>
      <c r="AC10" s="182">
        <v>5.8272675215346589E-3</v>
      </c>
      <c r="AD10" s="182">
        <v>5.8503154108639063E-3</v>
      </c>
      <c r="AE10" s="182">
        <v>5.8476805819183981E-3</v>
      </c>
      <c r="AF10" s="182">
        <v>5.8422599944690902E-3</v>
      </c>
      <c r="AG10" s="182">
        <v>5.8361589799610421E-3</v>
      </c>
      <c r="AH10" s="182">
        <v>5.7940103560018509E-3</v>
      </c>
      <c r="AI10" s="182">
        <v>5.7604260331646558E-3</v>
      </c>
      <c r="AJ10" s="182">
        <v>5.7347623480020534E-3</v>
      </c>
      <c r="AK10" s="182">
        <v>5.7133466637179003E-3</v>
      </c>
      <c r="AL10" s="182">
        <v>5.6986429289445284E-3</v>
      </c>
      <c r="AM10" s="183">
        <v>5.6858362288634608E-3</v>
      </c>
      <c r="AN10" s="182">
        <v>3.1366550930343455E-2</v>
      </c>
      <c r="AO10" s="182">
        <v>3.1366550930343455E-2</v>
      </c>
      <c r="AP10" s="182">
        <v>3.1366550930343455E-2</v>
      </c>
      <c r="AQ10" s="182">
        <v>3.1366550930343455E-2</v>
      </c>
      <c r="AR10" s="182">
        <v>3.1366550930343455E-2</v>
      </c>
      <c r="AS10" s="182">
        <v>3.1366550930343455E-2</v>
      </c>
      <c r="AT10" s="182">
        <v>3.1366550930343455E-2</v>
      </c>
      <c r="AU10" s="182">
        <v>3.1366550930343455E-2</v>
      </c>
      <c r="AV10" s="182">
        <v>3.1366550930343455E-2</v>
      </c>
      <c r="AW10" s="182">
        <v>3.1366550930343455E-2</v>
      </c>
      <c r="AX10" s="183">
        <v>3.1366550930343455E-2</v>
      </c>
      <c r="AY10" s="182">
        <v>3.1366550930343455E-2</v>
      </c>
      <c r="AZ10" s="182">
        <v>3.1366550930343455E-2</v>
      </c>
      <c r="BA10" s="182">
        <v>3.1366550930343455E-2</v>
      </c>
      <c r="BB10" s="182">
        <v>3.1366550930343455E-2</v>
      </c>
      <c r="BC10" s="182">
        <v>3.1366550930343455E-2</v>
      </c>
      <c r="BD10" s="182">
        <v>3.1366550930343455E-2</v>
      </c>
      <c r="BE10" s="182">
        <v>3.1366550930343455E-2</v>
      </c>
      <c r="BF10" s="182">
        <v>3.1366550930343455E-2</v>
      </c>
      <c r="BG10" s="182">
        <v>3.1366550930343455E-2</v>
      </c>
      <c r="BH10" s="182">
        <v>3.1366550930343455E-2</v>
      </c>
      <c r="BI10" s="182">
        <v>3.1366550930343455E-2</v>
      </c>
      <c r="BJ10" s="183">
        <v>3.1366550930343455E-2</v>
      </c>
    </row>
    <row r="11" spans="1:62" x14ac:dyDescent="0.35">
      <c r="B11" s="2" t="s">
        <v>52</v>
      </c>
      <c r="C11" s="184">
        <v>0.1828659128351299</v>
      </c>
      <c r="D11" s="185">
        <v>0.18235042110960595</v>
      </c>
      <c r="E11" s="185">
        <v>0.18111966182498263</v>
      </c>
      <c r="F11" s="185">
        <v>0.17973829052779414</v>
      </c>
      <c r="G11" s="185">
        <v>0.17844596836212612</v>
      </c>
      <c r="H11" s="185">
        <v>0.17722350511977084</v>
      </c>
      <c r="I11" s="185">
        <v>0.17614133993406614</v>
      </c>
      <c r="J11" s="185">
        <v>0.17527881149898955</v>
      </c>
      <c r="K11" s="185">
        <v>0.17453893410404162</v>
      </c>
      <c r="L11" s="185">
        <v>0.17386037242744753</v>
      </c>
      <c r="M11" s="185">
        <v>0.17335655089189123</v>
      </c>
      <c r="N11" s="185">
        <v>0.17278931866723671</v>
      </c>
      <c r="O11" s="186">
        <v>0.16614409786247014</v>
      </c>
      <c r="P11" s="185">
        <v>0.16518582212399857</v>
      </c>
      <c r="Q11" s="185">
        <v>0.16432851403149323</v>
      </c>
      <c r="R11" s="185">
        <v>0.1635666282716855</v>
      </c>
      <c r="S11" s="185">
        <v>0.16294482927370665</v>
      </c>
      <c r="T11" s="185">
        <v>0.16242330126746701</v>
      </c>
      <c r="U11" s="185">
        <v>0.16195267476855649</v>
      </c>
      <c r="V11" s="185">
        <v>0.16163945277850517</v>
      </c>
      <c r="W11" s="185">
        <v>0.16140415651900172</v>
      </c>
      <c r="X11" s="185">
        <v>0.16115509600761729</v>
      </c>
      <c r="Y11" s="185">
        <v>0.16099918826695084</v>
      </c>
      <c r="Z11" s="185">
        <v>0.16076947111571521</v>
      </c>
      <c r="AA11" s="186">
        <v>0.16058528846562842</v>
      </c>
      <c r="AB11" s="185">
        <v>0.16028100294923836</v>
      </c>
      <c r="AC11" s="185">
        <v>0.15979657045560652</v>
      </c>
      <c r="AD11" s="185">
        <v>0.15939428559806026</v>
      </c>
      <c r="AE11" s="185">
        <v>0.1591764697981099</v>
      </c>
      <c r="AF11" s="185">
        <v>0.15898129284798818</v>
      </c>
      <c r="AG11" s="185">
        <v>0.15879715985848836</v>
      </c>
      <c r="AH11" s="185">
        <v>0.15873688794491789</v>
      </c>
      <c r="AI11" s="185">
        <v>0.15866173410336623</v>
      </c>
      <c r="AJ11" s="185">
        <v>0.15860969117471441</v>
      </c>
      <c r="AK11" s="185">
        <v>0.15862983165188838</v>
      </c>
      <c r="AL11" s="185">
        <v>0.1585721045627429</v>
      </c>
      <c r="AM11" s="186">
        <v>0.15844141439114476</v>
      </c>
      <c r="AN11" s="185">
        <v>0.41828286788706864</v>
      </c>
      <c r="AO11" s="185">
        <v>0.41828286788706864</v>
      </c>
      <c r="AP11" s="185">
        <v>0.41828286788706864</v>
      </c>
      <c r="AQ11" s="185">
        <v>0.41828286788706864</v>
      </c>
      <c r="AR11" s="185">
        <v>0.41828286788706864</v>
      </c>
      <c r="AS11" s="185">
        <v>0.41828286788706864</v>
      </c>
      <c r="AT11" s="185">
        <v>0.41828286788706864</v>
      </c>
      <c r="AU11" s="185">
        <v>0.41828286788706864</v>
      </c>
      <c r="AV11" s="185">
        <v>0.41828286788706864</v>
      </c>
      <c r="AW11" s="185">
        <v>0.41828286788706864</v>
      </c>
      <c r="AX11" s="186">
        <v>0.41828286788706864</v>
      </c>
      <c r="AY11" s="185">
        <v>0.41828286788706864</v>
      </c>
      <c r="AZ11" s="185">
        <v>0.41828286788706864</v>
      </c>
      <c r="BA11" s="185">
        <v>0.41828286788706864</v>
      </c>
      <c r="BB11" s="185">
        <v>0.41828286788706864</v>
      </c>
      <c r="BC11" s="185">
        <v>0.41828286788706864</v>
      </c>
      <c r="BD11" s="185">
        <v>0.41828286788706864</v>
      </c>
      <c r="BE11" s="185">
        <v>0.41828286788706864</v>
      </c>
      <c r="BF11" s="185">
        <v>0.41828286788706864</v>
      </c>
      <c r="BG11" s="185">
        <v>0.41828286788706864</v>
      </c>
      <c r="BH11" s="185">
        <v>0.41828286788706864</v>
      </c>
      <c r="BI11" s="185">
        <v>0.41828286788706864</v>
      </c>
      <c r="BJ11" s="186">
        <v>0.41828286788706864</v>
      </c>
    </row>
    <row r="12" spans="1:62" x14ac:dyDescent="0.35">
      <c r="B12" s="3" t="s">
        <v>53</v>
      </c>
      <c r="C12" s="187">
        <v>0.41521828463519495</v>
      </c>
      <c r="D12" s="188">
        <v>0.41508362486220757</v>
      </c>
      <c r="E12" s="188">
        <v>0.41502067530762266</v>
      </c>
      <c r="F12" s="188">
        <v>0.41495918736740839</v>
      </c>
      <c r="G12" s="188">
        <v>0.41479037273834585</v>
      </c>
      <c r="H12" s="188">
        <v>0.41465220140409509</v>
      </c>
      <c r="I12" s="188">
        <v>0.41451791217795769</v>
      </c>
      <c r="J12" s="188">
        <v>0.41420699116716447</v>
      </c>
      <c r="K12" s="188">
        <v>0.41402148668249017</v>
      </c>
      <c r="L12" s="188">
        <v>0.41375695239345889</v>
      </c>
      <c r="M12" s="188">
        <v>0.4135166027070859</v>
      </c>
      <c r="N12" s="188">
        <v>0.41324158299349728</v>
      </c>
      <c r="O12" s="189">
        <v>0.41294845383661194</v>
      </c>
      <c r="P12" s="188">
        <v>0.41260396356770707</v>
      </c>
      <c r="Q12" s="188">
        <v>0.41232059130088311</v>
      </c>
      <c r="R12" s="188">
        <v>0.41197198079424863</v>
      </c>
      <c r="S12" s="188">
        <v>0.41110200293523669</v>
      </c>
      <c r="T12" s="188">
        <v>0.41078589663316167</v>
      </c>
      <c r="U12" s="188">
        <v>0.41046004416746279</v>
      </c>
      <c r="V12" s="188">
        <v>0.41027799875858711</v>
      </c>
      <c r="W12" s="188">
        <v>0.41004301712852592</v>
      </c>
      <c r="X12" s="188">
        <v>0.40984640387401094</v>
      </c>
      <c r="Y12" s="188">
        <v>0.40966106162004806</v>
      </c>
      <c r="Z12" s="188">
        <v>0.40952647000887499</v>
      </c>
      <c r="AA12" s="189">
        <v>0.40940021643337476</v>
      </c>
      <c r="AB12" s="188">
        <v>0.40906841928535903</v>
      </c>
      <c r="AC12" s="188">
        <v>0.4089411376372023</v>
      </c>
      <c r="AD12" s="188">
        <v>0.40876869049559245</v>
      </c>
      <c r="AE12" s="188">
        <v>0.40858212945639666</v>
      </c>
      <c r="AF12" s="188">
        <v>0.40842581127430522</v>
      </c>
      <c r="AG12" s="188">
        <v>0.40830805516525176</v>
      </c>
      <c r="AH12" s="188">
        <v>0.40819509378464303</v>
      </c>
      <c r="AI12" s="188">
        <v>0.40812219400646915</v>
      </c>
      <c r="AJ12" s="188">
        <v>0.40803067146131999</v>
      </c>
      <c r="AK12" s="188">
        <v>0.40793372818661666</v>
      </c>
      <c r="AL12" s="188">
        <v>0.4078401460083334</v>
      </c>
      <c r="AM12" s="189">
        <v>0.40776506762479853</v>
      </c>
      <c r="AN12" s="188">
        <v>0.73826884841741014</v>
      </c>
      <c r="AO12" s="188">
        <v>0.73826884841741014</v>
      </c>
      <c r="AP12" s="188">
        <v>0.73826884841741014</v>
      </c>
      <c r="AQ12" s="188">
        <v>0.73826884841741014</v>
      </c>
      <c r="AR12" s="188">
        <v>0.73826884841741014</v>
      </c>
      <c r="AS12" s="188">
        <v>0.73826884841741014</v>
      </c>
      <c r="AT12" s="188">
        <v>0.73826884841741014</v>
      </c>
      <c r="AU12" s="188">
        <v>0.73826884841741014</v>
      </c>
      <c r="AV12" s="188">
        <v>0.73826884841741014</v>
      </c>
      <c r="AW12" s="188">
        <v>0.73826884841741014</v>
      </c>
      <c r="AX12" s="189">
        <v>0.73826884841741014</v>
      </c>
      <c r="AY12" s="188">
        <v>0.73826884841741014</v>
      </c>
      <c r="AZ12" s="188">
        <v>0.73826884841741014</v>
      </c>
      <c r="BA12" s="188">
        <v>0.73826884841741014</v>
      </c>
      <c r="BB12" s="188">
        <v>0.73826884841741014</v>
      </c>
      <c r="BC12" s="188">
        <v>0.73826884841741014</v>
      </c>
      <c r="BD12" s="188">
        <v>0.73826884841741014</v>
      </c>
      <c r="BE12" s="188">
        <v>0.73826884841741014</v>
      </c>
      <c r="BF12" s="188">
        <v>0.73826884841741014</v>
      </c>
      <c r="BG12" s="188">
        <v>0.73826884841741014</v>
      </c>
      <c r="BH12" s="188">
        <v>0.73826884841741014</v>
      </c>
      <c r="BI12" s="188">
        <v>0.73826884841741014</v>
      </c>
      <c r="BJ12" s="189">
        <v>0.73826884841741014</v>
      </c>
    </row>
    <row r="13" spans="1:62" x14ac:dyDescent="0.35"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</row>
    <row r="14" spans="1:62" x14ac:dyDescent="0.35">
      <c r="B14" s="1" t="s">
        <v>142</v>
      </c>
      <c r="C14" s="110">
        <f>C3</f>
        <v>45352</v>
      </c>
      <c r="D14" s="111">
        <f>EDATE(C14,1)</f>
        <v>45383</v>
      </c>
      <c r="E14" s="111">
        <f t="shared" ref="E14" si="59">EDATE(D14,1)</f>
        <v>45413</v>
      </c>
      <c r="F14" s="111">
        <f t="shared" ref="F14" si="60">EDATE(E14,1)</f>
        <v>45444</v>
      </c>
      <c r="G14" s="111">
        <f t="shared" ref="G14" si="61">EDATE(F14,1)</f>
        <v>45474</v>
      </c>
      <c r="H14" s="111">
        <f t="shared" ref="H14" si="62">EDATE(G14,1)</f>
        <v>45505</v>
      </c>
      <c r="I14" s="111">
        <f t="shared" ref="I14" si="63">EDATE(H14,1)</f>
        <v>45536</v>
      </c>
      <c r="J14" s="111">
        <f t="shared" ref="J14" si="64">EDATE(I14,1)</f>
        <v>45566</v>
      </c>
      <c r="K14" s="111">
        <f t="shared" ref="K14" si="65">EDATE(J14,1)</f>
        <v>45597</v>
      </c>
      <c r="L14" s="111">
        <f t="shared" ref="L14" si="66">EDATE(K14,1)</f>
        <v>45627</v>
      </c>
      <c r="M14" s="111">
        <f t="shared" ref="M14" si="67">EDATE(L14,1)</f>
        <v>45658</v>
      </c>
      <c r="N14" s="111">
        <f t="shared" ref="N14" si="68">EDATE(M14,1)</f>
        <v>45689</v>
      </c>
      <c r="O14" s="112">
        <f t="shared" ref="O14" si="69">EDATE(N14,1)</f>
        <v>45717</v>
      </c>
      <c r="P14" s="111">
        <f t="shared" ref="P14" si="70">EDATE(O14,1)</f>
        <v>45748</v>
      </c>
      <c r="Q14" s="111">
        <f t="shared" ref="Q14" si="71">EDATE(P14,1)</f>
        <v>45778</v>
      </c>
      <c r="R14" s="111">
        <f t="shared" ref="R14" si="72">EDATE(Q14,1)</f>
        <v>45809</v>
      </c>
      <c r="S14" s="111">
        <f t="shared" ref="S14" si="73">EDATE(R14,1)</f>
        <v>45839</v>
      </c>
      <c r="T14" s="111">
        <f t="shared" ref="T14" si="74">EDATE(S14,1)</f>
        <v>45870</v>
      </c>
      <c r="U14" s="111">
        <f t="shared" ref="U14" si="75">EDATE(T14,1)</f>
        <v>45901</v>
      </c>
      <c r="V14" s="111">
        <f t="shared" ref="V14" si="76">EDATE(U14,1)</f>
        <v>45931</v>
      </c>
      <c r="W14" s="111">
        <f t="shared" ref="W14" si="77">EDATE(V14,1)</f>
        <v>45962</v>
      </c>
      <c r="X14" s="111">
        <f t="shared" ref="X14" si="78">EDATE(W14,1)</f>
        <v>45992</v>
      </c>
      <c r="Y14" s="111">
        <f t="shared" ref="Y14" si="79">EDATE(X14,1)</f>
        <v>46023</v>
      </c>
      <c r="Z14" s="111">
        <f t="shared" ref="Z14" si="80">EDATE(Y14,1)</f>
        <v>46054</v>
      </c>
      <c r="AA14" s="112">
        <f t="shared" ref="AA14" si="81">EDATE(Z14,1)</f>
        <v>46082</v>
      </c>
      <c r="AB14" s="111">
        <f t="shared" ref="AB14" si="82">EDATE(AA14,1)</f>
        <v>46113</v>
      </c>
      <c r="AC14" s="111">
        <f t="shared" ref="AC14" si="83">EDATE(AB14,1)</f>
        <v>46143</v>
      </c>
      <c r="AD14" s="111">
        <f t="shared" ref="AD14" si="84">EDATE(AC14,1)</f>
        <v>46174</v>
      </c>
      <c r="AE14" s="111">
        <f t="shared" ref="AE14" si="85">EDATE(AD14,1)</f>
        <v>46204</v>
      </c>
      <c r="AF14" s="111">
        <f t="shared" ref="AF14" si="86">EDATE(AE14,1)</f>
        <v>46235</v>
      </c>
      <c r="AG14" s="111">
        <f t="shared" ref="AG14" si="87">EDATE(AF14,1)</f>
        <v>46266</v>
      </c>
      <c r="AH14" s="111">
        <f t="shared" ref="AH14" si="88">EDATE(AG14,1)</f>
        <v>46296</v>
      </c>
      <c r="AI14" s="111">
        <f t="shared" ref="AI14" si="89">EDATE(AH14,1)</f>
        <v>46327</v>
      </c>
      <c r="AJ14" s="111">
        <f t="shared" ref="AJ14" si="90">EDATE(AI14,1)</f>
        <v>46357</v>
      </c>
      <c r="AK14" s="111">
        <f t="shared" ref="AK14" si="91">EDATE(AJ14,1)</f>
        <v>46388</v>
      </c>
      <c r="AL14" s="111">
        <f t="shared" ref="AL14" si="92">EDATE(AK14,1)</f>
        <v>46419</v>
      </c>
      <c r="AM14" s="112">
        <f t="shared" ref="AM14" si="93">EDATE(AL14,1)</f>
        <v>46447</v>
      </c>
      <c r="AN14" s="111">
        <f t="shared" ref="AN14" si="94">EDATE(AM14,1)</f>
        <v>46478</v>
      </c>
      <c r="AO14" s="111">
        <f t="shared" ref="AO14" si="95">EDATE(AN14,1)</f>
        <v>46508</v>
      </c>
      <c r="AP14" s="111">
        <f t="shared" ref="AP14" si="96">EDATE(AO14,1)</f>
        <v>46539</v>
      </c>
      <c r="AQ14" s="111">
        <f t="shared" ref="AQ14" si="97">EDATE(AP14,1)</f>
        <v>46569</v>
      </c>
      <c r="AR14" s="111">
        <f t="shared" ref="AR14" si="98">EDATE(AQ14,1)</f>
        <v>46600</v>
      </c>
      <c r="AS14" s="111">
        <f t="shared" ref="AS14" si="99">EDATE(AR14,1)</f>
        <v>46631</v>
      </c>
      <c r="AT14" s="111">
        <f t="shared" ref="AT14" si="100">EDATE(AS14,1)</f>
        <v>46661</v>
      </c>
      <c r="AU14" s="111">
        <f t="shared" ref="AU14" si="101">EDATE(AT14,1)</f>
        <v>46692</v>
      </c>
      <c r="AV14" s="111">
        <f t="shared" ref="AV14" si="102">EDATE(AU14,1)</f>
        <v>46722</v>
      </c>
      <c r="AW14" s="111">
        <f t="shared" ref="AW14" si="103">EDATE(AV14,1)</f>
        <v>46753</v>
      </c>
      <c r="AX14" s="112">
        <f t="shared" ref="AX14" si="104">EDATE(AW14,1)</f>
        <v>46784</v>
      </c>
      <c r="AY14" s="111">
        <f t="shared" ref="AY14" si="105">EDATE(AX14,1)</f>
        <v>46813</v>
      </c>
      <c r="AZ14" s="111">
        <f t="shared" ref="AZ14" si="106">EDATE(AY14,1)</f>
        <v>46844</v>
      </c>
      <c r="BA14" s="111">
        <f t="shared" ref="BA14" si="107">EDATE(AZ14,1)</f>
        <v>46874</v>
      </c>
      <c r="BB14" s="111">
        <f t="shared" ref="BB14" si="108">EDATE(BA14,1)</f>
        <v>46905</v>
      </c>
      <c r="BC14" s="111">
        <f t="shared" ref="BC14" si="109">EDATE(BB14,1)</f>
        <v>46935</v>
      </c>
      <c r="BD14" s="111">
        <f t="shared" ref="BD14" si="110">EDATE(BC14,1)</f>
        <v>46966</v>
      </c>
      <c r="BE14" s="111">
        <f t="shared" ref="BE14" si="111">EDATE(BD14,1)</f>
        <v>46997</v>
      </c>
      <c r="BF14" s="111">
        <f t="shared" ref="BF14" si="112">EDATE(BE14,1)</f>
        <v>47027</v>
      </c>
      <c r="BG14" s="111">
        <f t="shared" ref="BG14" si="113">EDATE(BF14,1)</f>
        <v>47058</v>
      </c>
      <c r="BH14" s="111">
        <f t="shared" ref="BH14" si="114">EDATE(BG14,1)</f>
        <v>47088</v>
      </c>
      <c r="BI14" s="111">
        <f t="shared" ref="BI14" si="115">EDATE(BH14,1)</f>
        <v>47119</v>
      </c>
      <c r="BJ14" s="112">
        <f>EDATE(BI14,1)</f>
        <v>47150</v>
      </c>
    </row>
    <row r="15" spans="1:62" x14ac:dyDescent="0.35">
      <c r="A15" s="168"/>
      <c r="B15" s="1" t="s">
        <v>51</v>
      </c>
      <c r="C15" s="190">
        <f>C10</f>
        <v>6.3487570230341614E-3</v>
      </c>
      <c r="D15" s="191">
        <f>D10*'Calculation - Stage dist'!G8</f>
        <v>6.5867960326825587E-3</v>
      </c>
      <c r="E15" s="191">
        <f>E10*'Calculation - Stage dist'!H8</f>
        <v>6.7705384972693138E-3</v>
      </c>
      <c r="F15" s="191">
        <f>F10*'Calculation - Stage dist'!I8</f>
        <v>6.9177033308758023E-3</v>
      </c>
      <c r="G15" s="191">
        <f>G10*'Calculation - Stage dist'!J8</f>
        <v>7.0197379512467453E-3</v>
      </c>
      <c r="H15" s="191">
        <f>H10*'Calculation - Stage dist'!K8</f>
        <v>7.1103962007487012E-3</v>
      </c>
      <c r="I15" s="191">
        <f>I10*'Calculation - Stage dist'!L8</f>
        <v>7.1959128026265612E-3</v>
      </c>
      <c r="J15" s="191">
        <f>J10*'Calculation - Stage dist'!M8</f>
        <v>7.2906784346076416E-3</v>
      </c>
      <c r="K15" s="191">
        <f>K10*'Calculation - Stage dist'!N8</f>
        <v>7.3906509723181343E-3</v>
      </c>
      <c r="L15" s="191">
        <f>L10*'Calculation - Stage dist'!O8</f>
        <v>7.4991012674768915E-3</v>
      </c>
      <c r="M15" s="191">
        <f>M10*'Calculation - Stage dist'!P8</f>
        <v>7.6120180766835136E-3</v>
      </c>
      <c r="N15" s="191">
        <f>N10*'Calculation - Stage dist'!Q8</f>
        <v>7.7378666892767688E-3</v>
      </c>
      <c r="O15" s="192">
        <f>O10*'Calculation - Stage dist'!R8</f>
        <v>7.5511362823474726E-3</v>
      </c>
      <c r="P15" s="191">
        <f>P10*'Calculation - Stage dist'!S8</f>
        <v>7.8858404425900495E-3</v>
      </c>
      <c r="Q15" s="191">
        <f>Q10*'Calculation - Stage dist'!T8</f>
        <v>8.1929716957741937E-3</v>
      </c>
      <c r="R15" s="191">
        <f>R10*'Calculation - Stage dist'!U8</f>
        <v>8.4813260040139307E-3</v>
      </c>
      <c r="S15" s="191">
        <f>S10*'Calculation - Stage dist'!V8</f>
        <v>8.7329537552767681E-3</v>
      </c>
      <c r="T15" s="191">
        <f>T10*'Calculation - Stage dist'!W8</f>
        <v>8.978011125789484E-3</v>
      </c>
      <c r="U15" s="191">
        <f>U10*'Calculation - Stage dist'!X8</f>
        <v>9.2162058088552275E-3</v>
      </c>
      <c r="V15" s="191">
        <f>V10*'Calculation - Stage dist'!Y8</f>
        <v>8.9546008327679553E-3</v>
      </c>
      <c r="W15" s="191">
        <f>W10*'Calculation - Stage dist'!Z8</f>
        <v>8.7070441836577944E-3</v>
      </c>
      <c r="X15" s="191">
        <f>X10*'Calculation - Stage dist'!AA8</f>
        <v>8.4734556627325385E-3</v>
      </c>
      <c r="Y15" s="191">
        <f>Y10*'Calculation - Stage dist'!AB8</f>
        <v>8.247490851878295E-3</v>
      </c>
      <c r="Z15" s="191">
        <f>Z10*'Calculation - Stage dist'!AC8</f>
        <v>8.0350180217669282E-3</v>
      </c>
      <c r="AA15" s="192">
        <f>AA10*'Calculation - Stage dist'!AD8</f>
        <v>7.6759295038546713E-3</v>
      </c>
      <c r="AB15" s="191">
        <f>AB10*'Calculation - Stage dist'!AE8</f>
        <v>7.561456863912428E-3</v>
      </c>
      <c r="AC15" s="191">
        <f>AC10*'Calculation - Stage dist'!AF8</f>
        <v>7.4068055606371129E-3</v>
      </c>
      <c r="AD15" s="191">
        <f>AD10*'Calculation - Stage dist'!AG8</f>
        <v>7.2540534792662429E-3</v>
      </c>
      <c r="AE15" s="191">
        <f>AE10*'Calculation - Stage dist'!AH8</f>
        <v>7.0688211055355823E-3</v>
      </c>
      <c r="AF15" s="191">
        <f>AF10*'Calculation - Stage dist'!AI8</f>
        <v>6.8804719025449997E-3</v>
      </c>
      <c r="AG15" s="191">
        <f>AG10*'Calculation - Stage dist'!AJ8</f>
        <v>6.6916798793995955E-3</v>
      </c>
      <c r="AH15" s="191">
        <f>AG15-($AG$15-$AM$15)/6</f>
        <v>6.5240392709769064E-3</v>
      </c>
      <c r="AI15" s="191">
        <f t="shared" ref="AI15:AL15" si="116">AH15-($AG$15-$AM$15)/6</f>
        <v>6.3563986625542173E-3</v>
      </c>
      <c r="AJ15" s="191">
        <f t="shared" si="116"/>
        <v>6.1887580541315282E-3</v>
      </c>
      <c r="AK15" s="191">
        <f t="shared" si="116"/>
        <v>6.0211174457088391E-3</v>
      </c>
      <c r="AL15" s="191">
        <f t="shared" si="116"/>
        <v>5.85347683728615E-3</v>
      </c>
      <c r="AM15" s="192">
        <f>AM10*'Calculation - Stage dist'!AP8</f>
        <v>5.6858362288634608E-3</v>
      </c>
      <c r="AN15" s="191">
        <f>AN10*'Calculation - Stage dist'!AQ8</f>
        <v>3.1366550930343455E-2</v>
      </c>
      <c r="AO15" s="191">
        <f>AO10*'Calculation - Stage dist'!AR8</f>
        <v>3.1366550930343455E-2</v>
      </c>
      <c r="AP15" s="191">
        <f>AP10*'Calculation - Stage dist'!AS8</f>
        <v>3.1366550930343455E-2</v>
      </c>
      <c r="AQ15" s="191">
        <f>AQ10*'Calculation - Stage dist'!AT8</f>
        <v>3.1366550930343455E-2</v>
      </c>
      <c r="AR15" s="191">
        <f>AR10*'Calculation - Stage dist'!AU8</f>
        <v>3.1366550930343455E-2</v>
      </c>
      <c r="AS15" s="191">
        <f>AS10*'Calculation - Stage dist'!AV8</f>
        <v>3.1366550930343455E-2</v>
      </c>
      <c r="AT15" s="191">
        <f>AT10*'Calculation - Stage dist'!AW8</f>
        <v>3.1366550930343455E-2</v>
      </c>
      <c r="AU15" s="191">
        <f>AU10*'Calculation - Stage dist'!AX8</f>
        <v>3.1366550930343455E-2</v>
      </c>
      <c r="AV15" s="191">
        <f>AV10*'Calculation - Stage dist'!AY8</f>
        <v>3.1366550930343455E-2</v>
      </c>
      <c r="AW15" s="191">
        <f>AW10*'Calculation - Stage dist'!AZ8</f>
        <v>3.1366550930343455E-2</v>
      </c>
      <c r="AX15" s="192">
        <f>AX10*'Calculation - Stage dist'!BA8</f>
        <v>3.1366550930343455E-2</v>
      </c>
      <c r="AY15" s="191">
        <f>AY10*'Calculation - Stage dist'!BB8</f>
        <v>3.1366550930343455E-2</v>
      </c>
      <c r="AZ15" s="191">
        <f>AZ10*'Calculation - Stage dist'!BC8</f>
        <v>3.1366550930343455E-2</v>
      </c>
      <c r="BA15" s="191">
        <f>BA10*'Calculation - Stage dist'!BD8</f>
        <v>3.1366550930343455E-2</v>
      </c>
      <c r="BB15" s="191">
        <f>BB10*'Calculation - Stage dist'!BE8</f>
        <v>3.1366550930343455E-2</v>
      </c>
      <c r="BC15" s="191">
        <f>BC10*'Calculation - Stage dist'!BF8</f>
        <v>3.1366550930343455E-2</v>
      </c>
      <c r="BD15" s="191">
        <f>BD10*'Calculation - Stage dist'!BG8</f>
        <v>3.1366550930343455E-2</v>
      </c>
      <c r="BE15" s="191">
        <f>BE10*'Calculation - Stage dist'!BH8</f>
        <v>3.1366550930343455E-2</v>
      </c>
      <c r="BF15" s="191">
        <f>BF10*'Calculation - Stage dist'!BI8</f>
        <v>3.1366550930343455E-2</v>
      </c>
      <c r="BG15" s="191">
        <f>BG10*'Calculation - Stage dist'!BJ8</f>
        <v>3.1366550930343455E-2</v>
      </c>
      <c r="BH15" s="191">
        <f>BH10*'Calculation - Stage dist'!BK8</f>
        <v>3.1366550930343455E-2</v>
      </c>
      <c r="BI15" s="191">
        <f>BI10*'Calculation - Stage dist'!BL8</f>
        <v>3.1366550930343455E-2</v>
      </c>
      <c r="BJ15" s="192">
        <f>BJ10*'Calculation - Stage dist'!BM8</f>
        <v>3.1366550930343455E-2</v>
      </c>
    </row>
    <row r="16" spans="1:62" x14ac:dyDescent="0.35">
      <c r="B16" s="2" t="s">
        <v>52</v>
      </c>
      <c r="C16" s="193">
        <f t="shared" ref="C16:E16" si="117">C11</f>
        <v>0.1828659128351299</v>
      </c>
      <c r="D16" s="194">
        <f t="shared" si="117"/>
        <v>0.18235042110960595</v>
      </c>
      <c r="E16" s="194">
        <f t="shared" si="117"/>
        <v>0.18111966182498263</v>
      </c>
      <c r="F16" s="194">
        <f t="shared" ref="F16:BJ16" si="118">F11</f>
        <v>0.17973829052779414</v>
      </c>
      <c r="G16" s="194">
        <f t="shared" si="118"/>
        <v>0.17844596836212612</v>
      </c>
      <c r="H16" s="194">
        <f t="shared" si="118"/>
        <v>0.17722350511977084</v>
      </c>
      <c r="I16" s="194">
        <f t="shared" si="118"/>
        <v>0.17614133993406614</v>
      </c>
      <c r="J16" s="194">
        <f t="shared" si="118"/>
        <v>0.17527881149898955</v>
      </c>
      <c r="K16" s="194">
        <f t="shared" si="118"/>
        <v>0.17453893410404162</v>
      </c>
      <c r="L16" s="194">
        <f t="shared" si="118"/>
        <v>0.17386037242744753</v>
      </c>
      <c r="M16" s="194">
        <f t="shared" si="118"/>
        <v>0.17335655089189123</v>
      </c>
      <c r="N16" s="194">
        <f t="shared" si="118"/>
        <v>0.17278931866723671</v>
      </c>
      <c r="O16" s="195">
        <f t="shared" si="118"/>
        <v>0.16614409786247014</v>
      </c>
      <c r="P16" s="194">
        <f t="shared" si="118"/>
        <v>0.16518582212399857</v>
      </c>
      <c r="Q16" s="194">
        <f t="shared" si="118"/>
        <v>0.16432851403149323</v>
      </c>
      <c r="R16" s="194">
        <f t="shared" si="118"/>
        <v>0.1635666282716855</v>
      </c>
      <c r="S16" s="194">
        <f t="shared" si="118"/>
        <v>0.16294482927370665</v>
      </c>
      <c r="T16" s="194">
        <f t="shared" si="118"/>
        <v>0.16242330126746701</v>
      </c>
      <c r="U16" s="194">
        <f t="shared" si="118"/>
        <v>0.16195267476855649</v>
      </c>
      <c r="V16" s="194">
        <f t="shared" si="118"/>
        <v>0.16163945277850517</v>
      </c>
      <c r="W16" s="194">
        <f t="shared" si="118"/>
        <v>0.16140415651900172</v>
      </c>
      <c r="X16" s="194">
        <f t="shared" si="118"/>
        <v>0.16115509600761729</v>
      </c>
      <c r="Y16" s="194">
        <f t="shared" si="118"/>
        <v>0.16099918826695084</v>
      </c>
      <c r="Z16" s="194">
        <f t="shared" si="118"/>
        <v>0.16076947111571521</v>
      </c>
      <c r="AA16" s="195">
        <f t="shared" si="118"/>
        <v>0.16058528846562842</v>
      </c>
      <c r="AB16" s="194">
        <f t="shared" si="118"/>
        <v>0.16028100294923836</v>
      </c>
      <c r="AC16" s="194">
        <f t="shared" si="118"/>
        <v>0.15979657045560652</v>
      </c>
      <c r="AD16" s="194">
        <f t="shared" si="118"/>
        <v>0.15939428559806026</v>
      </c>
      <c r="AE16" s="194">
        <f t="shared" si="118"/>
        <v>0.1591764697981099</v>
      </c>
      <c r="AF16" s="194">
        <f t="shared" si="118"/>
        <v>0.15898129284798818</v>
      </c>
      <c r="AG16" s="194">
        <f t="shared" si="118"/>
        <v>0.15879715985848836</v>
      </c>
      <c r="AH16" s="194">
        <f t="shared" si="118"/>
        <v>0.15873688794491789</v>
      </c>
      <c r="AI16" s="194">
        <f t="shared" si="118"/>
        <v>0.15866173410336623</v>
      </c>
      <c r="AJ16" s="194">
        <f t="shared" si="118"/>
        <v>0.15860969117471441</v>
      </c>
      <c r="AK16" s="194">
        <f t="shared" si="118"/>
        <v>0.15862983165188838</v>
      </c>
      <c r="AL16" s="194">
        <f t="shared" si="118"/>
        <v>0.1585721045627429</v>
      </c>
      <c r="AM16" s="195">
        <f t="shared" si="118"/>
        <v>0.15844141439114476</v>
      </c>
      <c r="AN16" s="194">
        <f t="shared" si="118"/>
        <v>0.41828286788706864</v>
      </c>
      <c r="AO16" s="194">
        <f t="shared" si="118"/>
        <v>0.41828286788706864</v>
      </c>
      <c r="AP16" s="194">
        <f t="shared" si="118"/>
        <v>0.41828286788706864</v>
      </c>
      <c r="AQ16" s="194">
        <f t="shared" si="118"/>
        <v>0.41828286788706864</v>
      </c>
      <c r="AR16" s="194">
        <f t="shared" si="118"/>
        <v>0.41828286788706864</v>
      </c>
      <c r="AS16" s="194">
        <f t="shared" si="118"/>
        <v>0.41828286788706864</v>
      </c>
      <c r="AT16" s="194">
        <f t="shared" si="118"/>
        <v>0.41828286788706864</v>
      </c>
      <c r="AU16" s="194">
        <f t="shared" si="118"/>
        <v>0.41828286788706864</v>
      </c>
      <c r="AV16" s="194">
        <f t="shared" si="118"/>
        <v>0.41828286788706864</v>
      </c>
      <c r="AW16" s="194">
        <f t="shared" si="118"/>
        <v>0.41828286788706864</v>
      </c>
      <c r="AX16" s="195">
        <f t="shared" si="118"/>
        <v>0.41828286788706864</v>
      </c>
      <c r="AY16" s="194">
        <f t="shared" si="118"/>
        <v>0.41828286788706864</v>
      </c>
      <c r="AZ16" s="194">
        <f t="shared" si="118"/>
        <v>0.41828286788706864</v>
      </c>
      <c r="BA16" s="194">
        <f t="shared" si="118"/>
        <v>0.41828286788706864</v>
      </c>
      <c r="BB16" s="194">
        <f t="shared" si="118"/>
        <v>0.41828286788706864</v>
      </c>
      <c r="BC16" s="194">
        <f t="shared" si="118"/>
        <v>0.41828286788706864</v>
      </c>
      <c r="BD16" s="194">
        <f t="shared" si="118"/>
        <v>0.41828286788706864</v>
      </c>
      <c r="BE16" s="194">
        <f t="shared" si="118"/>
        <v>0.41828286788706864</v>
      </c>
      <c r="BF16" s="194">
        <f t="shared" si="118"/>
        <v>0.41828286788706864</v>
      </c>
      <c r="BG16" s="194">
        <f t="shared" si="118"/>
        <v>0.41828286788706864</v>
      </c>
      <c r="BH16" s="194">
        <f t="shared" si="118"/>
        <v>0.41828286788706864</v>
      </c>
      <c r="BI16" s="194">
        <f t="shared" si="118"/>
        <v>0.41828286788706864</v>
      </c>
      <c r="BJ16" s="195">
        <f t="shared" si="118"/>
        <v>0.41828286788706864</v>
      </c>
    </row>
    <row r="17" spans="1:62" x14ac:dyDescent="0.35">
      <c r="B17" s="3" t="s">
        <v>53</v>
      </c>
      <c r="C17" s="196">
        <f t="shared" ref="C17:E17" si="119">C12</f>
        <v>0.41521828463519495</v>
      </c>
      <c r="D17" s="197">
        <f t="shared" si="119"/>
        <v>0.41508362486220757</v>
      </c>
      <c r="E17" s="197">
        <f t="shared" si="119"/>
        <v>0.41502067530762266</v>
      </c>
      <c r="F17" s="197">
        <f t="shared" ref="F17:BJ17" si="120">F12</f>
        <v>0.41495918736740839</v>
      </c>
      <c r="G17" s="197">
        <f t="shared" si="120"/>
        <v>0.41479037273834585</v>
      </c>
      <c r="H17" s="197">
        <f t="shared" si="120"/>
        <v>0.41465220140409509</v>
      </c>
      <c r="I17" s="197">
        <f t="shared" si="120"/>
        <v>0.41451791217795769</v>
      </c>
      <c r="J17" s="197">
        <f t="shared" si="120"/>
        <v>0.41420699116716447</v>
      </c>
      <c r="K17" s="197">
        <f t="shared" si="120"/>
        <v>0.41402148668249017</v>
      </c>
      <c r="L17" s="197">
        <f t="shared" si="120"/>
        <v>0.41375695239345889</v>
      </c>
      <c r="M17" s="197">
        <f t="shared" si="120"/>
        <v>0.4135166027070859</v>
      </c>
      <c r="N17" s="197">
        <f t="shared" si="120"/>
        <v>0.41324158299349728</v>
      </c>
      <c r="O17" s="198">
        <f t="shared" si="120"/>
        <v>0.41294845383661194</v>
      </c>
      <c r="P17" s="197">
        <f t="shared" si="120"/>
        <v>0.41260396356770707</v>
      </c>
      <c r="Q17" s="197">
        <f t="shared" si="120"/>
        <v>0.41232059130088311</v>
      </c>
      <c r="R17" s="197">
        <f t="shared" si="120"/>
        <v>0.41197198079424863</v>
      </c>
      <c r="S17" s="197">
        <f t="shared" si="120"/>
        <v>0.41110200293523669</v>
      </c>
      <c r="T17" s="197">
        <f t="shared" si="120"/>
        <v>0.41078589663316167</v>
      </c>
      <c r="U17" s="197">
        <f t="shared" si="120"/>
        <v>0.41046004416746279</v>
      </c>
      <c r="V17" s="197">
        <f t="shared" si="120"/>
        <v>0.41027799875858711</v>
      </c>
      <c r="W17" s="197">
        <f t="shared" si="120"/>
        <v>0.41004301712852592</v>
      </c>
      <c r="X17" s="197">
        <f t="shared" si="120"/>
        <v>0.40984640387401094</v>
      </c>
      <c r="Y17" s="197">
        <f t="shared" si="120"/>
        <v>0.40966106162004806</v>
      </c>
      <c r="Z17" s="197">
        <f t="shared" si="120"/>
        <v>0.40952647000887499</v>
      </c>
      <c r="AA17" s="198">
        <f t="shared" si="120"/>
        <v>0.40940021643337476</v>
      </c>
      <c r="AB17" s="197">
        <f t="shared" si="120"/>
        <v>0.40906841928535903</v>
      </c>
      <c r="AC17" s="197">
        <f t="shared" si="120"/>
        <v>0.4089411376372023</v>
      </c>
      <c r="AD17" s="197">
        <f t="shared" si="120"/>
        <v>0.40876869049559245</v>
      </c>
      <c r="AE17" s="197">
        <f t="shared" si="120"/>
        <v>0.40858212945639666</v>
      </c>
      <c r="AF17" s="197">
        <f t="shared" si="120"/>
        <v>0.40842581127430522</v>
      </c>
      <c r="AG17" s="197">
        <f t="shared" si="120"/>
        <v>0.40830805516525176</v>
      </c>
      <c r="AH17" s="197">
        <f t="shared" si="120"/>
        <v>0.40819509378464303</v>
      </c>
      <c r="AI17" s="197">
        <f t="shared" si="120"/>
        <v>0.40812219400646915</v>
      </c>
      <c r="AJ17" s="197">
        <f t="shared" si="120"/>
        <v>0.40803067146131999</v>
      </c>
      <c r="AK17" s="197">
        <f t="shared" si="120"/>
        <v>0.40793372818661666</v>
      </c>
      <c r="AL17" s="197">
        <f t="shared" si="120"/>
        <v>0.4078401460083334</v>
      </c>
      <c r="AM17" s="198">
        <f t="shared" si="120"/>
        <v>0.40776506762479853</v>
      </c>
      <c r="AN17" s="197">
        <f t="shared" si="120"/>
        <v>0.73826884841741014</v>
      </c>
      <c r="AO17" s="197">
        <f t="shared" si="120"/>
        <v>0.73826884841741014</v>
      </c>
      <c r="AP17" s="197">
        <f t="shared" si="120"/>
        <v>0.73826884841741014</v>
      </c>
      <c r="AQ17" s="197">
        <f t="shared" si="120"/>
        <v>0.73826884841741014</v>
      </c>
      <c r="AR17" s="197">
        <f t="shared" si="120"/>
        <v>0.73826884841741014</v>
      </c>
      <c r="AS17" s="197">
        <f t="shared" si="120"/>
        <v>0.73826884841741014</v>
      </c>
      <c r="AT17" s="197">
        <f t="shared" si="120"/>
        <v>0.73826884841741014</v>
      </c>
      <c r="AU17" s="197">
        <f t="shared" si="120"/>
        <v>0.73826884841741014</v>
      </c>
      <c r="AV17" s="197">
        <f t="shared" si="120"/>
        <v>0.73826884841741014</v>
      </c>
      <c r="AW17" s="197">
        <f t="shared" si="120"/>
        <v>0.73826884841741014</v>
      </c>
      <c r="AX17" s="198">
        <f t="shared" si="120"/>
        <v>0.73826884841741014</v>
      </c>
      <c r="AY17" s="197">
        <f t="shared" si="120"/>
        <v>0.73826884841741014</v>
      </c>
      <c r="AZ17" s="197">
        <f t="shared" si="120"/>
        <v>0.73826884841741014</v>
      </c>
      <c r="BA17" s="197">
        <f t="shared" si="120"/>
        <v>0.73826884841741014</v>
      </c>
      <c r="BB17" s="197">
        <f t="shared" si="120"/>
        <v>0.73826884841741014</v>
      </c>
      <c r="BC17" s="197">
        <f t="shared" si="120"/>
        <v>0.73826884841741014</v>
      </c>
      <c r="BD17" s="197">
        <f t="shared" si="120"/>
        <v>0.73826884841741014</v>
      </c>
      <c r="BE17" s="197">
        <f t="shared" si="120"/>
        <v>0.73826884841741014</v>
      </c>
      <c r="BF17" s="197">
        <f t="shared" si="120"/>
        <v>0.73826884841741014</v>
      </c>
      <c r="BG17" s="197">
        <f t="shared" si="120"/>
        <v>0.73826884841741014</v>
      </c>
      <c r="BH17" s="197">
        <f t="shared" si="120"/>
        <v>0.73826884841741014</v>
      </c>
      <c r="BI17" s="197">
        <f t="shared" si="120"/>
        <v>0.73826884841741014</v>
      </c>
      <c r="BJ17" s="198">
        <f t="shared" si="120"/>
        <v>0.73826884841741014</v>
      </c>
    </row>
    <row r="18" spans="1:62" x14ac:dyDescent="0.35">
      <c r="F18" s="179"/>
      <c r="G18" s="179"/>
      <c r="H18" s="179"/>
      <c r="I18" s="179"/>
      <c r="J18" s="179"/>
      <c r="K18" s="179"/>
      <c r="L18" s="179"/>
      <c r="M18" s="179"/>
      <c r="N18" s="179"/>
      <c r="O18" s="179"/>
      <c r="P18" s="179"/>
      <c r="Q18" s="179"/>
      <c r="R18" s="179"/>
      <c r="S18" s="179"/>
      <c r="T18" s="179"/>
      <c r="U18" s="179"/>
      <c r="V18" s="179"/>
      <c r="W18" s="179"/>
      <c r="X18" s="179"/>
    </row>
    <row r="19" spans="1:62" x14ac:dyDescent="0.35">
      <c r="B19" s="1" t="s">
        <v>145</v>
      </c>
      <c r="C19" s="110">
        <f>C3</f>
        <v>45352</v>
      </c>
      <c r="D19" s="111">
        <f>EDATE(C19,1)</f>
        <v>45383</v>
      </c>
      <c r="E19" s="111">
        <f t="shared" ref="E19:BI19" si="121">EDATE(D19,1)</f>
        <v>45413</v>
      </c>
      <c r="F19" s="111">
        <f t="shared" si="121"/>
        <v>45444</v>
      </c>
      <c r="G19" s="111">
        <f t="shared" si="121"/>
        <v>45474</v>
      </c>
      <c r="H19" s="111">
        <f t="shared" si="121"/>
        <v>45505</v>
      </c>
      <c r="I19" s="111">
        <f t="shared" si="121"/>
        <v>45536</v>
      </c>
      <c r="J19" s="111">
        <f t="shared" si="121"/>
        <v>45566</v>
      </c>
      <c r="K19" s="111">
        <f t="shared" si="121"/>
        <v>45597</v>
      </c>
      <c r="L19" s="111">
        <f t="shared" si="121"/>
        <v>45627</v>
      </c>
      <c r="M19" s="111">
        <f t="shared" si="121"/>
        <v>45658</v>
      </c>
      <c r="N19" s="111">
        <f t="shared" si="121"/>
        <v>45689</v>
      </c>
      <c r="O19" s="112">
        <f t="shared" si="121"/>
        <v>45717</v>
      </c>
      <c r="P19" s="111">
        <f t="shared" si="121"/>
        <v>45748</v>
      </c>
      <c r="Q19" s="111">
        <f t="shared" si="121"/>
        <v>45778</v>
      </c>
      <c r="R19" s="111">
        <f t="shared" si="121"/>
        <v>45809</v>
      </c>
      <c r="S19" s="111">
        <f t="shared" si="121"/>
        <v>45839</v>
      </c>
      <c r="T19" s="111">
        <f t="shared" si="121"/>
        <v>45870</v>
      </c>
      <c r="U19" s="111">
        <f t="shared" si="121"/>
        <v>45901</v>
      </c>
      <c r="V19" s="111">
        <f t="shared" si="121"/>
        <v>45931</v>
      </c>
      <c r="W19" s="111">
        <f t="shared" si="121"/>
        <v>45962</v>
      </c>
      <c r="X19" s="111">
        <f t="shared" si="121"/>
        <v>45992</v>
      </c>
      <c r="Y19" s="111">
        <f t="shared" si="121"/>
        <v>46023</v>
      </c>
      <c r="Z19" s="111">
        <f t="shared" si="121"/>
        <v>46054</v>
      </c>
      <c r="AA19" s="112">
        <f t="shared" si="121"/>
        <v>46082</v>
      </c>
      <c r="AB19" s="111">
        <f t="shared" si="121"/>
        <v>46113</v>
      </c>
      <c r="AC19" s="111">
        <f t="shared" si="121"/>
        <v>46143</v>
      </c>
      <c r="AD19" s="111">
        <f t="shared" si="121"/>
        <v>46174</v>
      </c>
      <c r="AE19" s="111">
        <f t="shared" si="121"/>
        <v>46204</v>
      </c>
      <c r="AF19" s="111">
        <f t="shared" si="121"/>
        <v>46235</v>
      </c>
      <c r="AG19" s="111">
        <f t="shared" si="121"/>
        <v>46266</v>
      </c>
      <c r="AH19" s="111">
        <f t="shared" si="121"/>
        <v>46296</v>
      </c>
      <c r="AI19" s="111">
        <f t="shared" si="121"/>
        <v>46327</v>
      </c>
      <c r="AJ19" s="111">
        <f t="shared" si="121"/>
        <v>46357</v>
      </c>
      <c r="AK19" s="111">
        <f t="shared" si="121"/>
        <v>46388</v>
      </c>
      <c r="AL19" s="111">
        <f t="shared" si="121"/>
        <v>46419</v>
      </c>
      <c r="AM19" s="112">
        <f t="shared" si="121"/>
        <v>46447</v>
      </c>
      <c r="AN19" s="111">
        <f t="shared" si="121"/>
        <v>46478</v>
      </c>
      <c r="AO19" s="111">
        <f t="shared" si="121"/>
        <v>46508</v>
      </c>
      <c r="AP19" s="111">
        <f t="shared" si="121"/>
        <v>46539</v>
      </c>
      <c r="AQ19" s="111">
        <f t="shared" si="121"/>
        <v>46569</v>
      </c>
      <c r="AR19" s="111">
        <f t="shared" si="121"/>
        <v>46600</v>
      </c>
      <c r="AS19" s="111">
        <f t="shared" si="121"/>
        <v>46631</v>
      </c>
      <c r="AT19" s="111">
        <f t="shared" si="121"/>
        <v>46661</v>
      </c>
      <c r="AU19" s="111">
        <f t="shared" si="121"/>
        <v>46692</v>
      </c>
      <c r="AV19" s="111">
        <f t="shared" si="121"/>
        <v>46722</v>
      </c>
      <c r="AW19" s="111">
        <f t="shared" si="121"/>
        <v>46753</v>
      </c>
      <c r="AX19" s="112">
        <f t="shared" si="121"/>
        <v>46784</v>
      </c>
      <c r="AY19" s="111">
        <f t="shared" si="121"/>
        <v>46813</v>
      </c>
      <c r="AZ19" s="111">
        <f t="shared" si="121"/>
        <v>46844</v>
      </c>
      <c r="BA19" s="111">
        <f t="shared" si="121"/>
        <v>46874</v>
      </c>
      <c r="BB19" s="111">
        <f t="shared" si="121"/>
        <v>46905</v>
      </c>
      <c r="BC19" s="111">
        <f t="shared" si="121"/>
        <v>46935</v>
      </c>
      <c r="BD19" s="111">
        <f t="shared" si="121"/>
        <v>46966</v>
      </c>
      <c r="BE19" s="111">
        <f t="shared" si="121"/>
        <v>46997</v>
      </c>
      <c r="BF19" s="111">
        <f t="shared" si="121"/>
        <v>47027</v>
      </c>
      <c r="BG19" s="111">
        <f t="shared" si="121"/>
        <v>47058</v>
      </c>
      <c r="BH19" s="111">
        <f t="shared" si="121"/>
        <v>47088</v>
      </c>
      <c r="BI19" s="111">
        <f t="shared" si="121"/>
        <v>47119</v>
      </c>
      <c r="BJ19" s="112">
        <f>EDATE(BI19,1)</f>
        <v>47150</v>
      </c>
    </row>
    <row r="20" spans="1:62" x14ac:dyDescent="0.35">
      <c r="B20" s="1" t="s">
        <v>51</v>
      </c>
      <c r="C20" s="200">
        <f>C15*C4</f>
        <v>316.97079903914823</v>
      </c>
      <c r="D20" s="201">
        <f t="shared" ref="D20:BJ20" si="122">D15*D4</f>
        <v>331.18322444240579</v>
      </c>
      <c r="E20" s="201">
        <f t="shared" si="122"/>
        <v>346.15349607805632</v>
      </c>
      <c r="F20" s="201">
        <f t="shared" si="122"/>
        <v>359.80724220613899</v>
      </c>
      <c r="G20" s="201">
        <f t="shared" si="122"/>
        <v>371.48046231493618</v>
      </c>
      <c r="H20" s="201">
        <f t="shared" si="122"/>
        <v>383.20785032075179</v>
      </c>
      <c r="I20" s="201">
        <f t="shared" si="122"/>
        <v>395.18524735935949</v>
      </c>
      <c r="J20" s="201">
        <f t="shared" si="122"/>
        <v>405.3185005780482</v>
      </c>
      <c r="K20" s="201">
        <f t="shared" si="122"/>
        <v>416.94178875671685</v>
      </c>
      <c r="L20" s="201">
        <f t="shared" si="122"/>
        <v>429.7078749451594</v>
      </c>
      <c r="M20" s="201">
        <f t="shared" si="122"/>
        <v>442.19886598351923</v>
      </c>
      <c r="N20" s="201">
        <f t="shared" si="122"/>
        <v>455.09878862480713</v>
      </c>
      <c r="O20" s="202">
        <f t="shared" si="122"/>
        <v>449.83955007962015</v>
      </c>
      <c r="P20" s="201">
        <f t="shared" si="122"/>
        <v>467.97840142662216</v>
      </c>
      <c r="Q20" s="201">
        <f t="shared" si="122"/>
        <v>485.04143298781099</v>
      </c>
      <c r="R20" s="201">
        <f t="shared" si="122"/>
        <v>501.31235010567434</v>
      </c>
      <c r="S20" s="201">
        <f t="shared" si="122"/>
        <v>515.07697626987363</v>
      </c>
      <c r="T20" s="201">
        <f t="shared" si="122"/>
        <v>529.66857912737294</v>
      </c>
      <c r="U20" s="201">
        <f t="shared" si="122"/>
        <v>537.52396036229811</v>
      </c>
      <c r="V20" s="201">
        <f t="shared" si="122"/>
        <v>532.46729063489829</v>
      </c>
      <c r="W20" s="201">
        <f t="shared" si="122"/>
        <v>523.9606908239939</v>
      </c>
      <c r="X20" s="201">
        <f t="shared" si="122"/>
        <v>518.81762770895159</v>
      </c>
      <c r="Y20" s="201">
        <f t="shared" si="122"/>
        <v>515.52241985607839</v>
      </c>
      <c r="Z20" s="201">
        <f t="shared" si="122"/>
        <v>513.88686276150793</v>
      </c>
      <c r="AA20" s="202">
        <f t="shared" si="122"/>
        <v>504.69765775462707</v>
      </c>
      <c r="AB20" s="201">
        <f t="shared" si="122"/>
        <v>500.3397411634117</v>
      </c>
      <c r="AC20" s="201">
        <f t="shared" si="122"/>
        <v>504.42229824033581</v>
      </c>
      <c r="AD20" s="201">
        <f t="shared" si="122"/>
        <v>503.06335820072889</v>
      </c>
      <c r="AE20" s="201">
        <f t="shared" si="122"/>
        <v>501.54230573919301</v>
      </c>
      <c r="AF20" s="201">
        <f t="shared" si="122"/>
        <v>502.85286044468234</v>
      </c>
      <c r="AG20" s="201">
        <f t="shared" si="122"/>
        <v>507.43065543553882</v>
      </c>
      <c r="AH20" s="201">
        <f t="shared" si="122"/>
        <v>514.276345113253</v>
      </c>
      <c r="AI20" s="201">
        <f t="shared" si="122"/>
        <v>523.78138662804099</v>
      </c>
      <c r="AJ20" s="201">
        <f t="shared" si="122"/>
        <v>534.74155293517526</v>
      </c>
      <c r="AK20" s="201">
        <f t="shared" si="122"/>
        <v>544.94473778083523</v>
      </c>
      <c r="AL20" s="201">
        <f t="shared" si="122"/>
        <v>553.51402489182681</v>
      </c>
      <c r="AM20" s="202">
        <f t="shared" si="122"/>
        <v>562.6014835660867</v>
      </c>
      <c r="AN20" s="201">
        <f t="shared" si="122"/>
        <v>0</v>
      </c>
      <c r="AO20" s="201">
        <f t="shared" si="122"/>
        <v>0</v>
      </c>
      <c r="AP20" s="201">
        <f t="shared" si="122"/>
        <v>0</v>
      </c>
      <c r="AQ20" s="201">
        <f t="shared" si="122"/>
        <v>0</v>
      </c>
      <c r="AR20" s="201">
        <f t="shared" si="122"/>
        <v>0</v>
      </c>
      <c r="AS20" s="201">
        <f t="shared" si="122"/>
        <v>0</v>
      </c>
      <c r="AT20" s="201">
        <f t="shared" si="122"/>
        <v>0</v>
      </c>
      <c r="AU20" s="201">
        <f t="shared" si="122"/>
        <v>0</v>
      </c>
      <c r="AV20" s="201">
        <f t="shared" si="122"/>
        <v>0</v>
      </c>
      <c r="AW20" s="201">
        <f t="shared" si="122"/>
        <v>0</v>
      </c>
      <c r="AX20" s="202">
        <f t="shared" si="122"/>
        <v>0</v>
      </c>
      <c r="AY20" s="201">
        <f t="shared" si="122"/>
        <v>0</v>
      </c>
      <c r="AZ20" s="201">
        <f t="shared" si="122"/>
        <v>0</v>
      </c>
      <c r="BA20" s="201">
        <f t="shared" si="122"/>
        <v>0</v>
      </c>
      <c r="BB20" s="201">
        <f t="shared" si="122"/>
        <v>0</v>
      </c>
      <c r="BC20" s="201">
        <f t="shared" si="122"/>
        <v>0</v>
      </c>
      <c r="BD20" s="201">
        <f t="shared" si="122"/>
        <v>0</v>
      </c>
      <c r="BE20" s="201">
        <f t="shared" si="122"/>
        <v>0</v>
      </c>
      <c r="BF20" s="201">
        <f t="shared" si="122"/>
        <v>0</v>
      </c>
      <c r="BG20" s="201">
        <f t="shared" si="122"/>
        <v>0</v>
      </c>
      <c r="BH20" s="201">
        <f t="shared" si="122"/>
        <v>0</v>
      </c>
      <c r="BI20" s="201">
        <f t="shared" si="122"/>
        <v>0</v>
      </c>
      <c r="BJ20" s="202">
        <f t="shared" si="122"/>
        <v>0</v>
      </c>
    </row>
    <row r="21" spans="1:62" x14ac:dyDescent="0.35">
      <c r="B21" s="2" t="s">
        <v>52</v>
      </c>
      <c r="C21" s="203">
        <f t="shared" ref="C21:BJ21" si="123">C16*C5</f>
        <v>221.43972965051336</v>
      </c>
      <c r="D21" s="204">
        <f t="shared" si="123"/>
        <v>226.3418415878848</v>
      </c>
      <c r="E21" s="204">
        <f t="shared" si="123"/>
        <v>232.60710647210149</v>
      </c>
      <c r="F21" s="204">
        <f t="shared" si="123"/>
        <v>238.884860717891</v>
      </c>
      <c r="G21" s="204">
        <f t="shared" si="123"/>
        <v>245.39980558613058</v>
      </c>
      <c r="H21" s="204">
        <f t="shared" si="123"/>
        <v>252.35651471579999</v>
      </c>
      <c r="I21" s="204">
        <f t="shared" si="123"/>
        <v>259.78874078634857</v>
      </c>
      <c r="J21" s="204">
        <f t="shared" si="123"/>
        <v>268.1941752777376</v>
      </c>
      <c r="K21" s="204">
        <f t="shared" si="123"/>
        <v>277.5813257551842</v>
      </c>
      <c r="L21" s="204">
        <f t="shared" si="123"/>
        <v>287.51510198102574</v>
      </c>
      <c r="M21" s="204">
        <f t="shared" si="123"/>
        <v>297.393598513217</v>
      </c>
      <c r="N21" s="204">
        <f t="shared" si="123"/>
        <v>306.93643611412369</v>
      </c>
      <c r="O21" s="205">
        <f t="shared" si="123"/>
        <v>305.60152774347097</v>
      </c>
      <c r="P21" s="204">
        <f t="shared" si="123"/>
        <v>313.61357936669958</v>
      </c>
      <c r="Q21" s="204">
        <f t="shared" si="123"/>
        <v>322.13164624695361</v>
      </c>
      <c r="R21" s="204">
        <f t="shared" si="123"/>
        <v>330.98750337705923</v>
      </c>
      <c r="S21" s="204">
        <f t="shared" si="123"/>
        <v>339.85295368238741</v>
      </c>
      <c r="T21" s="204">
        <f t="shared" si="123"/>
        <v>349.68937730646866</v>
      </c>
      <c r="U21" s="204">
        <f t="shared" si="123"/>
        <v>359.83443057826901</v>
      </c>
      <c r="V21" s="204">
        <f t="shared" si="123"/>
        <v>353.54248072059818</v>
      </c>
      <c r="W21" s="204">
        <f t="shared" si="123"/>
        <v>349.33027748078911</v>
      </c>
      <c r="X21" s="204">
        <f t="shared" si="123"/>
        <v>346.84914748157667</v>
      </c>
      <c r="Y21" s="204">
        <f t="shared" si="123"/>
        <v>345.56902463580911</v>
      </c>
      <c r="Z21" s="204">
        <f t="shared" si="123"/>
        <v>344.7445555786731</v>
      </c>
      <c r="AA21" s="205">
        <f t="shared" si="123"/>
        <v>345.47913717606548</v>
      </c>
      <c r="AB21" s="204">
        <f t="shared" si="123"/>
        <v>338.47302201227814</v>
      </c>
      <c r="AC21" s="204">
        <f t="shared" si="123"/>
        <v>338.55770064295172</v>
      </c>
      <c r="AD21" s="204">
        <f t="shared" si="123"/>
        <v>335.02437481352439</v>
      </c>
      <c r="AE21" s="204">
        <f t="shared" si="123"/>
        <v>333.26380260525951</v>
      </c>
      <c r="AF21" s="204">
        <f t="shared" si="123"/>
        <v>333.59326119317927</v>
      </c>
      <c r="AG21" s="204">
        <f t="shared" si="123"/>
        <v>336.14768825685434</v>
      </c>
      <c r="AH21" s="204">
        <f t="shared" si="123"/>
        <v>339.37650402475833</v>
      </c>
      <c r="AI21" s="204">
        <f t="shared" si="123"/>
        <v>344.25145524066539</v>
      </c>
      <c r="AJ21" s="204">
        <f t="shared" si="123"/>
        <v>350.04065658329574</v>
      </c>
      <c r="AK21" s="204">
        <f t="shared" si="123"/>
        <v>355.39699536923462</v>
      </c>
      <c r="AL21" s="204">
        <f t="shared" si="123"/>
        <v>359.41670584906365</v>
      </c>
      <c r="AM21" s="205">
        <f t="shared" si="123"/>
        <v>363.50261359887679</v>
      </c>
      <c r="AN21" s="204">
        <f t="shared" si="123"/>
        <v>0</v>
      </c>
      <c r="AO21" s="204">
        <f t="shared" si="123"/>
        <v>0</v>
      </c>
      <c r="AP21" s="204">
        <f t="shared" si="123"/>
        <v>0</v>
      </c>
      <c r="AQ21" s="204">
        <f t="shared" si="123"/>
        <v>0</v>
      </c>
      <c r="AR21" s="204">
        <f t="shared" si="123"/>
        <v>0</v>
      </c>
      <c r="AS21" s="204">
        <f t="shared" si="123"/>
        <v>0</v>
      </c>
      <c r="AT21" s="204">
        <f t="shared" si="123"/>
        <v>0</v>
      </c>
      <c r="AU21" s="204">
        <f t="shared" si="123"/>
        <v>0</v>
      </c>
      <c r="AV21" s="204">
        <f t="shared" si="123"/>
        <v>0</v>
      </c>
      <c r="AW21" s="204">
        <f t="shared" si="123"/>
        <v>0</v>
      </c>
      <c r="AX21" s="205">
        <f t="shared" si="123"/>
        <v>0</v>
      </c>
      <c r="AY21" s="204">
        <f t="shared" si="123"/>
        <v>0</v>
      </c>
      <c r="AZ21" s="204">
        <f t="shared" si="123"/>
        <v>0</v>
      </c>
      <c r="BA21" s="204">
        <f t="shared" si="123"/>
        <v>0</v>
      </c>
      <c r="BB21" s="204">
        <f t="shared" si="123"/>
        <v>0</v>
      </c>
      <c r="BC21" s="204">
        <f t="shared" si="123"/>
        <v>0</v>
      </c>
      <c r="BD21" s="204">
        <f t="shared" si="123"/>
        <v>0</v>
      </c>
      <c r="BE21" s="204">
        <f t="shared" si="123"/>
        <v>0</v>
      </c>
      <c r="BF21" s="204">
        <f t="shared" si="123"/>
        <v>0</v>
      </c>
      <c r="BG21" s="204">
        <f t="shared" si="123"/>
        <v>0</v>
      </c>
      <c r="BH21" s="204">
        <f t="shared" si="123"/>
        <v>0</v>
      </c>
      <c r="BI21" s="204">
        <f t="shared" si="123"/>
        <v>0</v>
      </c>
      <c r="BJ21" s="205">
        <f t="shared" si="123"/>
        <v>0</v>
      </c>
    </row>
    <row r="22" spans="1:62" x14ac:dyDescent="0.35">
      <c r="B22" s="3" t="s">
        <v>53</v>
      </c>
      <c r="C22" s="206">
        <f t="shared" ref="C22:BJ22" si="124">C17*C6</f>
        <v>369.02985900563851</v>
      </c>
      <c r="D22" s="207">
        <f t="shared" si="124"/>
        <v>376.10648503691391</v>
      </c>
      <c r="E22" s="207">
        <f t="shared" si="124"/>
        <v>387.04813127955288</v>
      </c>
      <c r="F22" s="207">
        <f t="shared" si="124"/>
        <v>398.45111008940677</v>
      </c>
      <c r="G22" s="207">
        <f t="shared" si="124"/>
        <v>410.07378066380932</v>
      </c>
      <c r="H22" s="207">
        <f t="shared" si="124"/>
        <v>422.4207501378923</v>
      </c>
      <c r="I22" s="207">
        <f t="shared" si="124"/>
        <v>435.33968779792525</v>
      </c>
      <c r="J22" s="207">
        <f t="shared" si="124"/>
        <v>449.98703369744959</v>
      </c>
      <c r="K22" s="207">
        <f t="shared" si="124"/>
        <v>466.20190936170542</v>
      </c>
      <c r="L22" s="207">
        <f t="shared" si="124"/>
        <v>483.16968310699394</v>
      </c>
      <c r="M22" s="207">
        <f t="shared" si="124"/>
        <v>499.65137561173873</v>
      </c>
      <c r="N22" s="207">
        <f t="shared" si="124"/>
        <v>515.76437983540359</v>
      </c>
      <c r="O22" s="208">
        <f t="shared" si="124"/>
        <v>532.4233908376624</v>
      </c>
      <c r="P22" s="207">
        <f t="shared" si="124"/>
        <v>545.2737095644427</v>
      </c>
      <c r="Q22" s="207">
        <f t="shared" si="124"/>
        <v>558.93199056419883</v>
      </c>
      <c r="R22" s="207">
        <f t="shared" si="124"/>
        <v>572.91938985445324</v>
      </c>
      <c r="S22" s="207">
        <f t="shared" si="124"/>
        <v>585.81734901821278</v>
      </c>
      <c r="T22" s="207">
        <f t="shared" si="124"/>
        <v>600.89822062288613</v>
      </c>
      <c r="U22" s="207">
        <f t="shared" si="124"/>
        <v>612.09515803977149</v>
      </c>
      <c r="V22" s="207">
        <f t="shared" si="124"/>
        <v>600.9704821838169</v>
      </c>
      <c r="W22" s="207">
        <f t="shared" si="124"/>
        <v>592.9743676837154</v>
      </c>
      <c r="X22" s="207">
        <f t="shared" si="124"/>
        <v>587.97807758143608</v>
      </c>
      <c r="Y22" s="207">
        <f t="shared" si="124"/>
        <v>584.64000713672283</v>
      </c>
      <c r="Z22" s="207">
        <f t="shared" si="124"/>
        <v>582.35144208867348</v>
      </c>
      <c r="AA22" s="208">
        <f t="shared" si="124"/>
        <v>582.46991548985409</v>
      </c>
      <c r="AB22" s="207">
        <f t="shared" si="124"/>
        <v>569.62156134399709</v>
      </c>
      <c r="AC22" s="207">
        <f t="shared" si="124"/>
        <v>569.57106416038562</v>
      </c>
      <c r="AD22" s="207">
        <f t="shared" si="124"/>
        <v>562.99639187197886</v>
      </c>
      <c r="AE22" s="207">
        <f t="shared" si="124"/>
        <v>558.6484672005771</v>
      </c>
      <c r="AF22" s="207">
        <f t="shared" si="124"/>
        <v>557.66923964130058</v>
      </c>
      <c r="AG22" s="207">
        <f t="shared" si="124"/>
        <v>560.29827630374723</v>
      </c>
      <c r="AH22" s="207">
        <f t="shared" si="124"/>
        <v>563.46705119926253</v>
      </c>
      <c r="AI22" s="207">
        <f t="shared" si="124"/>
        <v>569.29265587221005</v>
      </c>
      <c r="AJ22" s="207">
        <f t="shared" si="124"/>
        <v>576.30184969209802</v>
      </c>
      <c r="AK22" s="207">
        <f t="shared" si="124"/>
        <v>582.08121888698952</v>
      </c>
      <c r="AL22" s="207">
        <f t="shared" si="124"/>
        <v>585.70625695514434</v>
      </c>
      <c r="AM22" s="208">
        <f t="shared" si="124"/>
        <v>589.47052150663421</v>
      </c>
      <c r="AN22" s="207">
        <f t="shared" si="124"/>
        <v>0</v>
      </c>
      <c r="AO22" s="207">
        <f t="shared" si="124"/>
        <v>0</v>
      </c>
      <c r="AP22" s="207">
        <f t="shared" si="124"/>
        <v>0</v>
      </c>
      <c r="AQ22" s="207">
        <f t="shared" si="124"/>
        <v>0</v>
      </c>
      <c r="AR22" s="207">
        <f t="shared" si="124"/>
        <v>0</v>
      </c>
      <c r="AS22" s="207">
        <f t="shared" si="124"/>
        <v>0</v>
      </c>
      <c r="AT22" s="207">
        <f t="shared" si="124"/>
        <v>0</v>
      </c>
      <c r="AU22" s="207">
        <f t="shared" si="124"/>
        <v>0</v>
      </c>
      <c r="AV22" s="207">
        <f t="shared" si="124"/>
        <v>0</v>
      </c>
      <c r="AW22" s="207">
        <f t="shared" si="124"/>
        <v>0</v>
      </c>
      <c r="AX22" s="208">
        <f t="shared" si="124"/>
        <v>0</v>
      </c>
      <c r="AY22" s="207">
        <f t="shared" si="124"/>
        <v>0</v>
      </c>
      <c r="AZ22" s="207">
        <f t="shared" si="124"/>
        <v>0</v>
      </c>
      <c r="BA22" s="207">
        <f t="shared" si="124"/>
        <v>0</v>
      </c>
      <c r="BB22" s="207">
        <f t="shared" si="124"/>
        <v>0</v>
      </c>
      <c r="BC22" s="207">
        <f t="shared" si="124"/>
        <v>0</v>
      </c>
      <c r="BD22" s="207">
        <f t="shared" si="124"/>
        <v>0</v>
      </c>
      <c r="BE22" s="207">
        <f t="shared" si="124"/>
        <v>0</v>
      </c>
      <c r="BF22" s="207">
        <f t="shared" si="124"/>
        <v>0</v>
      </c>
      <c r="BG22" s="207">
        <f t="shared" si="124"/>
        <v>0</v>
      </c>
      <c r="BH22" s="207">
        <f t="shared" si="124"/>
        <v>0</v>
      </c>
      <c r="BI22" s="207">
        <f t="shared" si="124"/>
        <v>0</v>
      </c>
      <c r="BJ22" s="208">
        <f t="shared" si="124"/>
        <v>0</v>
      </c>
    </row>
    <row r="23" spans="1:62" x14ac:dyDescent="0.35">
      <c r="B23" s="3" t="s">
        <v>140</v>
      </c>
      <c r="C23" s="206">
        <f>SUM(C20:C22)</f>
        <v>907.44038769530005</v>
      </c>
      <c r="D23" s="207">
        <f t="shared" ref="D23:BJ23" si="125">SUM(D20:D22)</f>
        <v>933.63155106720455</v>
      </c>
      <c r="E23" s="207">
        <f t="shared" si="125"/>
        <v>965.80873382971072</v>
      </c>
      <c r="F23" s="207">
        <f t="shared" si="125"/>
        <v>997.14321301343671</v>
      </c>
      <c r="G23" s="207">
        <f t="shared" si="125"/>
        <v>1026.9540485648761</v>
      </c>
      <c r="H23" s="207">
        <f t="shared" si="125"/>
        <v>1057.985115174444</v>
      </c>
      <c r="I23" s="207">
        <f t="shared" si="125"/>
        <v>1090.3136759436334</v>
      </c>
      <c r="J23" s="207">
        <f t="shared" si="125"/>
        <v>1123.4997095532353</v>
      </c>
      <c r="K23" s="207">
        <f t="shared" si="125"/>
        <v>1160.7250238736065</v>
      </c>
      <c r="L23" s="207">
        <f t="shared" si="125"/>
        <v>1200.392660033179</v>
      </c>
      <c r="M23" s="207">
        <f t="shared" si="125"/>
        <v>1239.2438401084751</v>
      </c>
      <c r="N23" s="207">
        <f t="shared" si="125"/>
        <v>1277.7996045743344</v>
      </c>
      <c r="O23" s="208">
        <f t="shared" si="125"/>
        <v>1287.8644686607536</v>
      </c>
      <c r="P23" s="207">
        <f t="shared" si="125"/>
        <v>1326.8656903577644</v>
      </c>
      <c r="Q23" s="207">
        <f t="shared" si="125"/>
        <v>1366.1050697989635</v>
      </c>
      <c r="R23" s="207">
        <f t="shared" si="125"/>
        <v>1405.219243337187</v>
      </c>
      <c r="S23" s="207">
        <f t="shared" si="125"/>
        <v>1440.7472789704739</v>
      </c>
      <c r="T23" s="207">
        <f t="shared" si="125"/>
        <v>1480.2561770567277</v>
      </c>
      <c r="U23" s="207">
        <f t="shared" si="125"/>
        <v>1509.4535489803386</v>
      </c>
      <c r="V23" s="207">
        <f t="shared" si="125"/>
        <v>1486.9802535393133</v>
      </c>
      <c r="W23" s="207">
        <f t="shared" si="125"/>
        <v>1466.2653359884985</v>
      </c>
      <c r="X23" s="207">
        <f t="shared" si="125"/>
        <v>1453.6448527719645</v>
      </c>
      <c r="Y23" s="207">
        <f t="shared" si="125"/>
        <v>1445.7314516286103</v>
      </c>
      <c r="Z23" s="207">
        <f t="shared" si="125"/>
        <v>1440.9828604288546</v>
      </c>
      <c r="AA23" s="208">
        <f t="shared" si="125"/>
        <v>1432.6467104205467</v>
      </c>
      <c r="AB23" s="207">
        <f t="shared" si="125"/>
        <v>1408.4343245196869</v>
      </c>
      <c r="AC23" s="207">
        <f t="shared" si="125"/>
        <v>1412.5510630436731</v>
      </c>
      <c r="AD23" s="207">
        <f t="shared" si="125"/>
        <v>1401.0841248862321</v>
      </c>
      <c r="AE23" s="207">
        <f t="shared" si="125"/>
        <v>1393.4545755450295</v>
      </c>
      <c r="AF23" s="207">
        <f t="shared" si="125"/>
        <v>1394.1153612791622</v>
      </c>
      <c r="AG23" s="207">
        <f t="shared" si="125"/>
        <v>1403.8766199961406</v>
      </c>
      <c r="AH23" s="207">
        <f t="shared" si="125"/>
        <v>1417.119900337274</v>
      </c>
      <c r="AI23" s="207">
        <f t="shared" si="125"/>
        <v>1437.3254977409165</v>
      </c>
      <c r="AJ23" s="207">
        <f t="shared" si="125"/>
        <v>1461.0840592105692</v>
      </c>
      <c r="AK23" s="207">
        <f t="shared" si="125"/>
        <v>1482.4229520370593</v>
      </c>
      <c r="AL23" s="207">
        <f t="shared" si="125"/>
        <v>1498.6369876960348</v>
      </c>
      <c r="AM23" s="208">
        <f t="shared" si="125"/>
        <v>1515.5746186715978</v>
      </c>
      <c r="AN23" s="207">
        <f t="shared" si="125"/>
        <v>0</v>
      </c>
      <c r="AO23" s="207">
        <f t="shared" si="125"/>
        <v>0</v>
      </c>
      <c r="AP23" s="207">
        <f t="shared" si="125"/>
        <v>0</v>
      </c>
      <c r="AQ23" s="207">
        <f t="shared" si="125"/>
        <v>0</v>
      </c>
      <c r="AR23" s="207">
        <f t="shared" si="125"/>
        <v>0</v>
      </c>
      <c r="AS23" s="207">
        <f t="shared" si="125"/>
        <v>0</v>
      </c>
      <c r="AT23" s="207">
        <f t="shared" si="125"/>
        <v>0</v>
      </c>
      <c r="AU23" s="207">
        <f t="shared" si="125"/>
        <v>0</v>
      </c>
      <c r="AV23" s="207">
        <f t="shared" si="125"/>
        <v>0</v>
      </c>
      <c r="AW23" s="207">
        <f t="shared" si="125"/>
        <v>0</v>
      </c>
      <c r="AX23" s="208">
        <f t="shared" si="125"/>
        <v>0</v>
      </c>
      <c r="AY23" s="207">
        <f t="shared" si="125"/>
        <v>0</v>
      </c>
      <c r="AZ23" s="207">
        <f t="shared" si="125"/>
        <v>0</v>
      </c>
      <c r="BA23" s="207">
        <f t="shared" si="125"/>
        <v>0</v>
      </c>
      <c r="BB23" s="207">
        <f t="shared" si="125"/>
        <v>0</v>
      </c>
      <c r="BC23" s="207">
        <f t="shared" si="125"/>
        <v>0</v>
      </c>
      <c r="BD23" s="207">
        <f t="shared" si="125"/>
        <v>0</v>
      </c>
      <c r="BE23" s="207">
        <f t="shared" si="125"/>
        <v>0</v>
      </c>
      <c r="BF23" s="207">
        <f t="shared" si="125"/>
        <v>0</v>
      </c>
      <c r="BG23" s="207">
        <f t="shared" si="125"/>
        <v>0</v>
      </c>
      <c r="BH23" s="207">
        <f t="shared" si="125"/>
        <v>0</v>
      </c>
      <c r="BI23" s="207">
        <f t="shared" si="125"/>
        <v>0</v>
      </c>
      <c r="BJ23" s="208">
        <f t="shared" si="125"/>
        <v>0</v>
      </c>
    </row>
    <row r="24" spans="1:62" x14ac:dyDescent="0.35">
      <c r="B24" s="3" t="s">
        <v>146</v>
      </c>
      <c r="C24" s="206"/>
      <c r="D24" s="207">
        <f>D23-C23</f>
        <v>26.191163371904508</v>
      </c>
      <c r="E24" s="207">
        <f t="shared" ref="E24:BJ24" si="126">E23-D23</f>
        <v>32.177182762506163</v>
      </c>
      <c r="F24" s="207">
        <f t="shared" si="126"/>
        <v>31.334479183725989</v>
      </c>
      <c r="G24" s="207">
        <f t="shared" si="126"/>
        <v>29.810835551439368</v>
      </c>
      <c r="H24" s="207">
        <f t="shared" si="126"/>
        <v>31.031066609567915</v>
      </c>
      <c r="I24" s="207">
        <f t="shared" si="126"/>
        <v>32.32856076918938</v>
      </c>
      <c r="J24" s="207">
        <f t="shared" si="126"/>
        <v>33.186033609601964</v>
      </c>
      <c r="K24" s="207">
        <f t="shared" si="126"/>
        <v>37.225314320371126</v>
      </c>
      <c r="L24" s="207">
        <f t="shared" si="126"/>
        <v>39.667636159572567</v>
      </c>
      <c r="M24" s="207">
        <f t="shared" si="126"/>
        <v>38.851180075296043</v>
      </c>
      <c r="N24" s="207">
        <f t="shared" si="126"/>
        <v>38.555764465859284</v>
      </c>
      <c r="O24" s="208">
        <f t="shared" si="126"/>
        <v>10.06486408641922</v>
      </c>
      <c r="P24" s="207">
        <f t="shared" si="126"/>
        <v>39.001221697010806</v>
      </c>
      <c r="Q24" s="207">
        <f t="shared" si="126"/>
        <v>39.239379441199162</v>
      </c>
      <c r="R24" s="207">
        <f t="shared" si="126"/>
        <v>39.11417353822344</v>
      </c>
      <c r="S24" s="207">
        <f t="shared" si="126"/>
        <v>35.528035633286891</v>
      </c>
      <c r="T24" s="207">
        <f t="shared" si="126"/>
        <v>39.508898086253794</v>
      </c>
      <c r="U24" s="207">
        <f t="shared" si="126"/>
        <v>29.197371923610945</v>
      </c>
      <c r="V24" s="207">
        <f t="shared" si="126"/>
        <v>-22.473295441025357</v>
      </c>
      <c r="W24" s="207">
        <f t="shared" si="126"/>
        <v>-20.714917550814789</v>
      </c>
      <c r="X24" s="207">
        <f t="shared" si="126"/>
        <v>-12.620483216534012</v>
      </c>
      <c r="Y24" s="207">
        <f t="shared" si="126"/>
        <v>-7.9134011433541218</v>
      </c>
      <c r="Z24" s="207">
        <f t="shared" si="126"/>
        <v>-4.748591199755765</v>
      </c>
      <c r="AA24" s="208">
        <f t="shared" si="126"/>
        <v>-8.3361500083078681</v>
      </c>
      <c r="AB24" s="207">
        <f t="shared" si="126"/>
        <v>-24.212385900859772</v>
      </c>
      <c r="AC24" s="207">
        <f t="shared" si="126"/>
        <v>4.1167385239862142</v>
      </c>
      <c r="AD24" s="207">
        <f t="shared" si="126"/>
        <v>-11.466938157441064</v>
      </c>
      <c r="AE24" s="207">
        <f t="shared" si="126"/>
        <v>-7.629549341202619</v>
      </c>
      <c r="AF24" s="207">
        <f t="shared" si="126"/>
        <v>0.66078573413278718</v>
      </c>
      <c r="AG24" s="207">
        <f t="shared" si="126"/>
        <v>9.7612587169783183</v>
      </c>
      <c r="AH24" s="207">
        <f t="shared" si="126"/>
        <v>13.243280341133413</v>
      </c>
      <c r="AI24" s="207">
        <f t="shared" si="126"/>
        <v>20.205597403642514</v>
      </c>
      <c r="AJ24" s="207">
        <f t="shared" si="126"/>
        <v>23.758561469652705</v>
      </c>
      <c r="AK24" s="207">
        <f t="shared" si="126"/>
        <v>21.33889282649011</v>
      </c>
      <c r="AL24" s="207">
        <f t="shared" si="126"/>
        <v>16.21403565897549</v>
      </c>
      <c r="AM24" s="208">
        <f t="shared" si="126"/>
        <v>16.937630975563025</v>
      </c>
      <c r="AN24" s="207">
        <f t="shared" si="126"/>
        <v>-1515.5746186715978</v>
      </c>
      <c r="AO24" s="207">
        <f t="shared" si="126"/>
        <v>0</v>
      </c>
      <c r="AP24" s="207">
        <f t="shared" si="126"/>
        <v>0</v>
      </c>
      <c r="AQ24" s="207">
        <f t="shared" si="126"/>
        <v>0</v>
      </c>
      <c r="AR24" s="207">
        <f t="shared" si="126"/>
        <v>0</v>
      </c>
      <c r="AS24" s="207">
        <f t="shared" si="126"/>
        <v>0</v>
      </c>
      <c r="AT24" s="207">
        <f t="shared" si="126"/>
        <v>0</v>
      </c>
      <c r="AU24" s="207">
        <f t="shared" si="126"/>
        <v>0</v>
      </c>
      <c r="AV24" s="207">
        <f t="shared" si="126"/>
        <v>0</v>
      </c>
      <c r="AW24" s="207">
        <f t="shared" si="126"/>
        <v>0</v>
      </c>
      <c r="AX24" s="208">
        <f t="shared" si="126"/>
        <v>0</v>
      </c>
      <c r="AY24" s="207">
        <f t="shared" si="126"/>
        <v>0</v>
      </c>
      <c r="AZ24" s="207">
        <f t="shared" si="126"/>
        <v>0</v>
      </c>
      <c r="BA24" s="207">
        <f t="shared" si="126"/>
        <v>0</v>
      </c>
      <c r="BB24" s="207">
        <f t="shared" si="126"/>
        <v>0</v>
      </c>
      <c r="BC24" s="207">
        <f t="shared" si="126"/>
        <v>0</v>
      </c>
      <c r="BD24" s="207">
        <f t="shared" si="126"/>
        <v>0</v>
      </c>
      <c r="BE24" s="207">
        <f t="shared" si="126"/>
        <v>0</v>
      </c>
      <c r="BF24" s="207">
        <f t="shared" si="126"/>
        <v>0</v>
      </c>
      <c r="BG24" s="207">
        <f t="shared" si="126"/>
        <v>0</v>
      </c>
      <c r="BH24" s="207">
        <f t="shared" si="126"/>
        <v>0</v>
      </c>
      <c r="BI24" s="207">
        <f t="shared" si="126"/>
        <v>0</v>
      </c>
      <c r="BJ24" s="208">
        <f t="shared" si="126"/>
        <v>0</v>
      </c>
    </row>
    <row r="25" spans="1:62" x14ac:dyDescent="0.35">
      <c r="B25" s="3" t="s">
        <v>143</v>
      </c>
      <c r="C25" s="196">
        <f>C23/C7</f>
        <v>1.7442010188232073E-2</v>
      </c>
      <c r="D25" s="197">
        <f t="shared" ref="D25:BJ25" si="127">D23/D7</f>
        <v>1.7808148316905099E-2</v>
      </c>
      <c r="E25" s="197">
        <f t="shared" si="127"/>
        <v>1.8105527683877142E-2</v>
      </c>
      <c r="F25" s="197">
        <f t="shared" si="127"/>
        <v>1.8362980726701963E-2</v>
      </c>
      <c r="G25" s="197">
        <f t="shared" si="127"/>
        <v>1.8576222802433279E-2</v>
      </c>
      <c r="H25" s="197">
        <f t="shared" si="127"/>
        <v>1.8779677794910556E-2</v>
      </c>
      <c r="I25" s="197">
        <f t="shared" si="127"/>
        <v>1.8980748346071084E-2</v>
      </c>
      <c r="J25" s="197">
        <f t="shared" si="127"/>
        <v>1.9300618663396846E-2</v>
      </c>
      <c r="K25" s="197">
        <f t="shared" si="127"/>
        <v>1.9629667547004816E-2</v>
      </c>
      <c r="L25" s="197">
        <f t="shared" si="127"/>
        <v>1.9965706292300718E-2</v>
      </c>
      <c r="M25" s="197">
        <f t="shared" si="127"/>
        <v>2.0310145753744815E-2</v>
      </c>
      <c r="N25" s="197">
        <f t="shared" si="127"/>
        <v>2.066334238351596E-2</v>
      </c>
      <c r="O25" s="198">
        <f t="shared" si="127"/>
        <v>2.0539733094512146E-2</v>
      </c>
      <c r="P25" s="197">
        <f t="shared" si="127"/>
        <v>2.1208055764102916E-2</v>
      </c>
      <c r="Q25" s="197">
        <f t="shared" si="127"/>
        <v>2.1851386560557445E-2</v>
      </c>
      <c r="R25" s="197">
        <f t="shared" si="127"/>
        <v>2.24755895734568E-2</v>
      </c>
      <c r="S25" s="197">
        <f t="shared" si="127"/>
        <v>2.3055081146342929E-2</v>
      </c>
      <c r="T25" s="197">
        <f t="shared" si="127"/>
        <v>2.3641749214920748E-2</v>
      </c>
      <c r="U25" s="197">
        <f t="shared" si="127"/>
        <v>2.4035323131053249E-2</v>
      </c>
      <c r="V25" s="197">
        <f t="shared" si="127"/>
        <v>2.3559854383896586E-2</v>
      </c>
      <c r="W25" s="197">
        <f t="shared" si="127"/>
        <v>2.2986866504146632E-2</v>
      </c>
      <c r="X25" s="197">
        <f t="shared" si="127"/>
        <v>2.2427434677516601E-2</v>
      </c>
      <c r="Y25" s="197">
        <f t="shared" si="127"/>
        <v>2.1878466165215042E-2</v>
      </c>
      <c r="Z25" s="197">
        <f t="shared" si="127"/>
        <v>2.1340856702120346E-2</v>
      </c>
      <c r="AA25" s="198">
        <f t="shared" si="127"/>
        <v>2.0665716005134175E-2</v>
      </c>
      <c r="AB25" s="197">
        <f t="shared" si="127"/>
        <v>2.0214636704409452E-2</v>
      </c>
      <c r="AC25" s="197">
        <f t="shared" si="127"/>
        <v>1.9724505186153825E-2</v>
      </c>
      <c r="AD25" s="197">
        <f t="shared" si="127"/>
        <v>1.9238147134222283E-2</v>
      </c>
      <c r="AE25" s="197">
        <f t="shared" si="127"/>
        <v>1.8726132999366128E-2</v>
      </c>
      <c r="AF25" s="197">
        <f t="shared" si="127"/>
        <v>1.8212351721725889E-2</v>
      </c>
      <c r="AG25" s="197">
        <f t="shared" si="127"/>
        <v>1.7699084457505017E-2</v>
      </c>
      <c r="AH25" s="197">
        <f t="shared" si="127"/>
        <v>1.7209278045982997E-2</v>
      </c>
      <c r="AI25" s="197">
        <f t="shared" si="127"/>
        <v>1.6719531808010456E-2</v>
      </c>
      <c r="AJ25" s="197">
        <f t="shared" si="127"/>
        <v>1.6229824214421325E-2</v>
      </c>
      <c r="AK25" s="197">
        <f t="shared" si="127"/>
        <v>1.5741502548932879E-2</v>
      </c>
      <c r="AL25" s="197">
        <f t="shared" si="127"/>
        <v>1.5251085944248618E-2</v>
      </c>
      <c r="AM25" s="198">
        <f t="shared" si="127"/>
        <v>1.4759060929177063E-2</v>
      </c>
      <c r="AN25" s="197" t="e">
        <f t="shared" si="127"/>
        <v>#DIV/0!</v>
      </c>
      <c r="AO25" s="197" t="e">
        <f t="shared" si="127"/>
        <v>#DIV/0!</v>
      </c>
      <c r="AP25" s="197" t="e">
        <f t="shared" si="127"/>
        <v>#DIV/0!</v>
      </c>
      <c r="AQ25" s="197" t="e">
        <f t="shared" si="127"/>
        <v>#DIV/0!</v>
      </c>
      <c r="AR25" s="197" t="e">
        <f t="shared" si="127"/>
        <v>#DIV/0!</v>
      </c>
      <c r="AS25" s="197" t="e">
        <f t="shared" si="127"/>
        <v>#DIV/0!</v>
      </c>
      <c r="AT25" s="197" t="e">
        <f t="shared" si="127"/>
        <v>#DIV/0!</v>
      </c>
      <c r="AU25" s="197" t="e">
        <f t="shared" si="127"/>
        <v>#DIV/0!</v>
      </c>
      <c r="AV25" s="197" t="e">
        <f t="shared" si="127"/>
        <v>#DIV/0!</v>
      </c>
      <c r="AW25" s="197" t="e">
        <f t="shared" si="127"/>
        <v>#DIV/0!</v>
      </c>
      <c r="AX25" s="198" t="e">
        <f t="shared" si="127"/>
        <v>#DIV/0!</v>
      </c>
      <c r="AY25" s="197" t="e">
        <f t="shared" si="127"/>
        <v>#DIV/0!</v>
      </c>
      <c r="AZ25" s="197" t="e">
        <f t="shared" si="127"/>
        <v>#DIV/0!</v>
      </c>
      <c r="BA25" s="197" t="e">
        <f t="shared" si="127"/>
        <v>#DIV/0!</v>
      </c>
      <c r="BB25" s="197" t="e">
        <f t="shared" si="127"/>
        <v>#DIV/0!</v>
      </c>
      <c r="BC25" s="197" t="e">
        <f t="shared" si="127"/>
        <v>#DIV/0!</v>
      </c>
      <c r="BD25" s="197" t="e">
        <f t="shared" si="127"/>
        <v>#DIV/0!</v>
      </c>
      <c r="BE25" s="197" t="e">
        <f t="shared" si="127"/>
        <v>#DIV/0!</v>
      </c>
      <c r="BF25" s="197" t="e">
        <f t="shared" si="127"/>
        <v>#DIV/0!</v>
      </c>
      <c r="BG25" s="197" t="e">
        <f t="shared" si="127"/>
        <v>#DIV/0!</v>
      </c>
      <c r="BH25" s="197" t="e">
        <f t="shared" si="127"/>
        <v>#DIV/0!</v>
      </c>
      <c r="BI25" s="197" t="e">
        <f t="shared" si="127"/>
        <v>#DIV/0!</v>
      </c>
      <c r="BJ25" s="198" t="e">
        <f t="shared" si="127"/>
        <v>#DIV/0!</v>
      </c>
    </row>
    <row r="26" spans="1:62" x14ac:dyDescent="0.35">
      <c r="F26" s="179"/>
      <c r="G26" s="179"/>
      <c r="H26" s="179"/>
      <c r="I26" s="179"/>
      <c r="J26" s="179"/>
      <c r="K26" s="179"/>
      <c r="L26" s="179"/>
      <c r="M26" s="179"/>
      <c r="N26" s="270">
        <f>O23-C23</f>
        <v>380.42408096545353</v>
      </c>
      <c r="O26" s="270">
        <f>O23-C23</f>
        <v>380.42408096545353</v>
      </c>
      <c r="P26" s="179"/>
      <c r="Q26" s="179"/>
      <c r="R26" s="179"/>
      <c r="S26" s="179"/>
      <c r="T26" s="179"/>
      <c r="U26" s="179"/>
    </row>
    <row r="27" spans="1:62" x14ac:dyDescent="0.35">
      <c r="A27" s="15" t="s">
        <v>158</v>
      </c>
      <c r="B27" s="1" t="s">
        <v>144</v>
      </c>
      <c r="C27" s="110">
        <f>C3</f>
        <v>45352</v>
      </c>
      <c r="D27" s="111">
        <f>EDATE(C27,1)</f>
        <v>45383</v>
      </c>
      <c r="E27" s="111">
        <f t="shared" ref="E27" si="128">EDATE(D27,1)</f>
        <v>45413</v>
      </c>
      <c r="F27" s="111">
        <f t="shared" ref="F27" si="129">EDATE(E27,1)</f>
        <v>45444</v>
      </c>
      <c r="G27" s="111">
        <f t="shared" ref="G27" si="130">EDATE(F27,1)</f>
        <v>45474</v>
      </c>
      <c r="H27" s="111">
        <f t="shared" ref="H27" si="131">EDATE(G27,1)</f>
        <v>45505</v>
      </c>
      <c r="I27" s="111">
        <f t="shared" ref="I27" si="132">EDATE(H27,1)</f>
        <v>45536</v>
      </c>
      <c r="J27" s="111">
        <f t="shared" ref="J27" si="133">EDATE(I27,1)</f>
        <v>45566</v>
      </c>
      <c r="K27" s="111">
        <f t="shared" ref="K27" si="134">EDATE(J27,1)</f>
        <v>45597</v>
      </c>
      <c r="L27" s="111">
        <f t="shared" ref="L27" si="135">EDATE(K27,1)</f>
        <v>45627</v>
      </c>
      <c r="M27" s="111">
        <f t="shared" ref="M27" si="136">EDATE(L27,1)</f>
        <v>45658</v>
      </c>
      <c r="N27" s="111">
        <f t="shared" ref="N27" si="137">EDATE(M27,1)</f>
        <v>45689</v>
      </c>
      <c r="O27" s="112">
        <f t="shared" ref="O27" si="138">EDATE(N27,1)</f>
        <v>45717</v>
      </c>
      <c r="P27" s="111">
        <f t="shared" ref="P27" si="139">EDATE(O27,1)</f>
        <v>45748</v>
      </c>
      <c r="Q27" s="111">
        <f t="shared" ref="Q27" si="140">EDATE(P27,1)</f>
        <v>45778</v>
      </c>
      <c r="R27" s="111">
        <f t="shared" ref="R27" si="141">EDATE(Q27,1)</f>
        <v>45809</v>
      </c>
      <c r="S27" s="111">
        <f t="shared" ref="S27" si="142">EDATE(R27,1)</f>
        <v>45839</v>
      </c>
      <c r="T27" s="111">
        <f t="shared" ref="T27" si="143">EDATE(S27,1)</f>
        <v>45870</v>
      </c>
      <c r="U27" s="111">
        <f t="shared" ref="U27" si="144">EDATE(T27,1)</f>
        <v>45901</v>
      </c>
      <c r="V27" s="111">
        <f t="shared" ref="V27" si="145">EDATE(U27,1)</f>
        <v>45931</v>
      </c>
      <c r="W27" s="111">
        <f t="shared" ref="W27" si="146">EDATE(V27,1)</f>
        <v>45962</v>
      </c>
      <c r="X27" s="111">
        <f t="shared" ref="X27" si="147">EDATE(W27,1)</f>
        <v>45992</v>
      </c>
      <c r="Y27" s="111">
        <f t="shared" ref="Y27" si="148">EDATE(X27,1)</f>
        <v>46023</v>
      </c>
      <c r="Z27" s="111">
        <f t="shared" ref="Z27" si="149">EDATE(Y27,1)</f>
        <v>46054</v>
      </c>
      <c r="AA27" s="112">
        <f t="shared" ref="AA27" si="150">EDATE(Z27,1)</f>
        <v>46082</v>
      </c>
      <c r="AB27" s="111">
        <f t="shared" ref="AB27" si="151">EDATE(AA27,1)</f>
        <v>46113</v>
      </c>
      <c r="AC27" s="111">
        <f t="shared" ref="AC27" si="152">EDATE(AB27,1)</f>
        <v>46143</v>
      </c>
      <c r="AD27" s="111">
        <f t="shared" ref="AD27" si="153">EDATE(AC27,1)</f>
        <v>46174</v>
      </c>
      <c r="AE27" s="111">
        <f t="shared" ref="AE27" si="154">EDATE(AD27,1)</f>
        <v>46204</v>
      </c>
      <c r="AF27" s="111">
        <f t="shared" ref="AF27" si="155">EDATE(AE27,1)</f>
        <v>46235</v>
      </c>
      <c r="AG27" s="111">
        <f t="shared" ref="AG27" si="156">EDATE(AF27,1)</f>
        <v>46266</v>
      </c>
      <c r="AH27" s="111">
        <f t="shared" ref="AH27" si="157">EDATE(AG27,1)</f>
        <v>46296</v>
      </c>
      <c r="AI27" s="111">
        <f t="shared" ref="AI27" si="158">EDATE(AH27,1)</f>
        <v>46327</v>
      </c>
      <c r="AJ27" s="111">
        <f t="shared" ref="AJ27" si="159">EDATE(AI27,1)</f>
        <v>46357</v>
      </c>
      <c r="AK27" s="111">
        <f t="shared" ref="AK27" si="160">EDATE(AJ27,1)</f>
        <v>46388</v>
      </c>
      <c r="AL27" s="111">
        <f t="shared" ref="AL27" si="161">EDATE(AK27,1)</f>
        <v>46419</v>
      </c>
      <c r="AM27" s="112">
        <f t="shared" ref="AM27" si="162">EDATE(AL27,1)</f>
        <v>46447</v>
      </c>
      <c r="AN27" s="111">
        <f t="shared" ref="AN27" si="163">EDATE(AM27,1)</f>
        <v>46478</v>
      </c>
      <c r="AO27" s="111">
        <f t="shared" ref="AO27" si="164">EDATE(AN27,1)</f>
        <v>46508</v>
      </c>
      <c r="AP27" s="111">
        <f t="shared" ref="AP27" si="165">EDATE(AO27,1)</f>
        <v>46539</v>
      </c>
      <c r="AQ27" s="111">
        <f t="shared" ref="AQ27" si="166">EDATE(AP27,1)</f>
        <v>46569</v>
      </c>
      <c r="AR27" s="111">
        <f t="shared" ref="AR27" si="167">EDATE(AQ27,1)</f>
        <v>46600</v>
      </c>
      <c r="AS27" s="111">
        <f t="shared" ref="AS27" si="168">EDATE(AR27,1)</f>
        <v>46631</v>
      </c>
      <c r="AT27" s="111">
        <f t="shared" ref="AT27" si="169">EDATE(AS27,1)</f>
        <v>46661</v>
      </c>
      <c r="AU27" s="111">
        <f t="shared" ref="AU27" si="170">EDATE(AT27,1)</f>
        <v>46692</v>
      </c>
      <c r="AV27" s="111">
        <f t="shared" ref="AV27" si="171">EDATE(AU27,1)</f>
        <v>46722</v>
      </c>
      <c r="AW27" s="111">
        <f t="shared" ref="AW27" si="172">EDATE(AV27,1)</f>
        <v>46753</v>
      </c>
      <c r="AX27" s="112">
        <f t="shared" ref="AX27" si="173">EDATE(AW27,1)</f>
        <v>46784</v>
      </c>
      <c r="AY27" s="111">
        <f t="shared" ref="AY27" si="174">EDATE(AX27,1)</f>
        <v>46813</v>
      </c>
      <c r="AZ27" s="111">
        <f t="shared" ref="AZ27" si="175">EDATE(AY27,1)</f>
        <v>46844</v>
      </c>
      <c r="BA27" s="111">
        <f t="shared" ref="BA27" si="176">EDATE(AZ27,1)</f>
        <v>46874</v>
      </c>
      <c r="BB27" s="111">
        <f t="shared" ref="BB27" si="177">EDATE(BA27,1)</f>
        <v>46905</v>
      </c>
      <c r="BC27" s="111">
        <f t="shared" ref="BC27" si="178">EDATE(BB27,1)</f>
        <v>46935</v>
      </c>
      <c r="BD27" s="111">
        <f t="shared" ref="BD27" si="179">EDATE(BC27,1)</f>
        <v>46966</v>
      </c>
      <c r="BE27" s="111">
        <f t="shared" ref="BE27" si="180">EDATE(BD27,1)</f>
        <v>46997</v>
      </c>
      <c r="BF27" s="111">
        <f t="shared" ref="BF27" si="181">EDATE(BE27,1)</f>
        <v>47027</v>
      </c>
      <c r="BG27" s="111">
        <f t="shared" ref="BG27" si="182">EDATE(BF27,1)</f>
        <v>47058</v>
      </c>
      <c r="BH27" s="111">
        <f t="shared" ref="BH27" si="183">EDATE(BG27,1)</f>
        <v>47088</v>
      </c>
      <c r="BI27" s="111">
        <f t="shared" ref="BI27" si="184">EDATE(BH27,1)</f>
        <v>47119</v>
      </c>
      <c r="BJ27" s="112">
        <f>EDATE(BI27,1)</f>
        <v>47150</v>
      </c>
    </row>
    <row r="28" spans="1:62" x14ac:dyDescent="0.35">
      <c r="B28" s="1" t="s">
        <v>51</v>
      </c>
      <c r="C28" s="200">
        <f>'Calculation - Stage dist'!F20*C$31</f>
        <v>17745.965624562043</v>
      </c>
      <c r="D28" s="201">
        <f>'Calculation - Stage dist'!G20*D$31</f>
        <v>18533.849360668402</v>
      </c>
      <c r="E28" s="201">
        <f>'Calculation - Stage dist'!H20*E$31</f>
        <v>19045.459605394924</v>
      </c>
      <c r="F28" s="201">
        <f>'Calculation - Stage dist'!I20*F$31</f>
        <v>19567.270384567772</v>
      </c>
      <c r="G28" s="201">
        <f>'Calculation - Stage dist'!J20*G$31</f>
        <v>20083.716191721025</v>
      </c>
      <c r="H28" s="201">
        <f>'Calculation - Stage dist'!K20*H$31</f>
        <v>20621.350586721212</v>
      </c>
      <c r="I28" s="201">
        <f>'Calculation - Stage dist'!L20*I$31</f>
        <v>19389.729980397376</v>
      </c>
      <c r="J28" s="201">
        <f>'Calculation - Stage dist'!M20*J$31</f>
        <v>19805.973852762658</v>
      </c>
      <c r="K28" s="201">
        <f>'Calculation - Stage dist'!N20*K$31</f>
        <v>20274.933022040528</v>
      </c>
      <c r="L28" s="201">
        <f>'Calculation - Stage dist'!O20*L$31</f>
        <v>18075.865883843853</v>
      </c>
      <c r="M28" s="201">
        <f>'Calculation - Stage dist'!P20*M$31</f>
        <v>18554.809698930367</v>
      </c>
      <c r="N28" s="201">
        <f>'Calculation - Stage dist'!Q20*N$31</f>
        <v>16384.578662487627</v>
      </c>
      <c r="O28" s="202">
        <f>'Calculation - Stage dist'!R20*O$31</f>
        <v>16931.945997162016</v>
      </c>
      <c r="P28" s="201">
        <f>'Calculation - Stage dist'!S20*P$31</f>
        <v>17048.978464959648</v>
      </c>
      <c r="Q28" s="201">
        <f>'Calculation - Stage dist'!T20*Q$31</f>
        <v>17192.949416957661</v>
      </c>
      <c r="R28" s="201">
        <f>'Calculation - Stage dist'!U20*R$31</f>
        <v>17332.854485203799</v>
      </c>
      <c r="S28" s="201">
        <f>'Calculation - Stage dist'!V20*S$31</f>
        <v>17503.767674982329</v>
      </c>
      <c r="T28" s="201">
        <f>'Calculation - Stage dist'!W20*T$31</f>
        <v>17690.063019051897</v>
      </c>
      <c r="U28" s="201">
        <f>'Calculation - Stage dist'!X20*U$31</f>
        <v>17885.777569806061</v>
      </c>
      <c r="V28" s="201">
        <f>'Calculation - Stage dist'!Y20*V$31</f>
        <v>18296.793696249693</v>
      </c>
      <c r="W28" s="201">
        <f>'Calculation - Stage dist'!Z20*W$31</f>
        <v>18851.183095855416</v>
      </c>
      <c r="X28" s="201">
        <f>'Calculation - Stage dist'!AA20*X$31</f>
        <v>16933.036887425103</v>
      </c>
      <c r="Y28" s="201">
        <f>'Calculation - Stage dist'!AB20*Y$31</f>
        <v>17759.984394774456</v>
      </c>
      <c r="Z28" s="201">
        <f>'Calculation - Stage dist'!AC20*Z$31</f>
        <v>16035.454736670841</v>
      </c>
      <c r="AA28" s="202">
        <f>'Calculation - Stage dist'!AD20*AA$31</f>
        <v>17124.716421690144</v>
      </c>
      <c r="AB28" s="201">
        <f>'Calculation - Stage dist'!AE20*AB$31</f>
        <v>17694.252715703555</v>
      </c>
      <c r="AC28" s="201">
        <f>'Calculation - Stage dist'!AF20*AC$31</f>
        <v>18428.039239350204</v>
      </c>
      <c r="AD28" s="201">
        <f>'Calculation - Stage dist'!AG20*AD$31</f>
        <v>19295.904243820136</v>
      </c>
      <c r="AE28" s="201">
        <f>'Calculation - Stage dist'!AH20*AE$31</f>
        <v>20326.263349145072</v>
      </c>
      <c r="AF28" s="201">
        <f>'Calculation - Stage dist'!AI20*AF$31</f>
        <v>21566.878182649107</v>
      </c>
      <c r="AG28" s="201">
        <f>'Calculation - Stage dist'!AJ20*AG$31</f>
        <v>22154.995904767406</v>
      </c>
      <c r="AH28" s="201">
        <f>'Calculation - Stage dist'!AK20*AH$31</f>
        <v>23782.13124916879</v>
      </c>
      <c r="AI28" s="201">
        <f>'Calculation - Stage dist'!AL20*AI$31</f>
        <v>25644.782031346938</v>
      </c>
      <c r="AJ28" s="201">
        <f>'Calculation - Stage dist'!AM20*AJ$31</f>
        <v>24967.40967135211</v>
      </c>
      <c r="AK28" s="201">
        <f>'Calculation - Stage dist'!AN20*AK$31</f>
        <v>27120.875486337038</v>
      </c>
      <c r="AL28" s="201">
        <f>'Calculation - Stage dist'!AO20*AL$31</f>
        <v>26511.618271686813</v>
      </c>
      <c r="AM28" s="202">
        <f>'Calculation - Stage dist'!AP20*AM$31</f>
        <v>28834.736036795624</v>
      </c>
      <c r="AN28" s="201">
        <f>'Calculation - Stage dist'!AQ20*AN$31</f>
        <v>0</v>
      </c>
      <c r="AO28" s="201">
        <f>'Calculation - Stage dist'!AR20*AO$31</f>
        <v>0</v>
      </c>
      <c r="AP28" s="201">
        <f>'Calculation - Stage dist'!AS20*AP$31</f>
        <v>0</v>
      </c>
      <c r="AQ28" s="201">
        <f>'Calculation - Stage dist'!AT20*AQ$31</f>
        <v>0</v>
      </c>
      <c r="AR28" s="201">
        <f>'Calculation - Stage dist'!AU20*AR$31</f>
        <v>0</v>
      </c>
      <c r="AS28" s="201">
        <f>'Calculation - Stage dist'!AV20*AS$31</f>
        <v>0</v>
      </c>
      <c r="AT28" s="201">
        <f>'Calculation - Stage dist'!AW20*AT$31</f>
        <v>0</v>
      </c>
      <c r="AU28" s="201">
        <f>'Calculation - Stage dist'!AX20*AU$31</f>
        <v>0</v>
      </c>
      <c r="AV28" s="201">
        <f>'Calculation - Stage dist'!AY20*AV$31</f>
        <v>0</v>
      </c>
      <c r="AW28" s="201">
        <f>'Calculation - Stage dist'!AZ20*AW$31</f>
        <v>0</v>
      </c>
      <c r="AX28" s="202">
        <f>'Calculation - Stage dist'!BA20*AX$31</f>
        <v>0</v>
      </c>
      <c r="AY28" s="201">
        <f>'Calculation - Stage dist'!BB20*AY$31</f>
        <v>0</v>
      </c>
      <c r="AZ28" s="201">
        <f>'Calculation - Stage dist'!BC20*AZ$31</f>
        <v>0</v>
      </c>
      <c r="BA28" s="201">
        <f>'Calculation - Stage dist'!BD20*BA$31</f>
        <v>0</v>
      </c>
      <c r="BB28" s="201">
        <f>'Calculation - Stage dist'!BE20*BB$31</f>
        <v>0</v>
      </c>
      <c r="BC28" s="201">
        <f>'Calculation - Stage dist'!BF20*BC$31</f>
        <v>0</v>
      </c>
      <c r="BD28" s="201">
        <f>'Calculation - Stage dist'!BG20*BD$31</f>
        <v>0</v>
      </c>
      <c r="BE28" s="201">
        <f>'Calculation - Stage dist'!BH20*BE$31</f>
        <v>0</v>
      </c>
      <c r="BF28" s="201">
        <f>'Calculation - Stage dist'!BI20*BF$31</f>
        <v>0</v>
      </c>
      <c r="BG28" s="201">
        <f>'Calculation - Stage dist'!BJ20*BG$31</f>
        <v>0</v>
      </c>
      <c r="BH28" s="201">
        <f>'Calculation - Stage dist'!BK20*BH$31</f>
        <v>0</v>
      </c>
      <c r="BI28" s="201">
        <f>'Calculation - Stage dist'!BL20*BI$31</f>
        <v>0</v>
      </c>
      <c r="BJ28" s="202">
        <f>'Calculation - Stage dist'!BM20*BJ$31</f>
        <v>0</v>
      </c>
    </row>
    <row r="29" spans="1:62" x14ac:dyDescent="0.35">
      <c r="B29" s="2" t="s">
        <v>52</v>
      </c>
      <c r="C29" s="203">
        <f>'Calculation - Stage dist'!F21*C$31</f>
        <v>827.77286744907724</v>
      </c>
      <c r="D29" s="204">
        <f>'Calculation - Stage dist'!G21*D$31</f>
        <v>873.97510316988985</v>
      </c>
      <c r="E29" s="204">
        <f>'Calculation - Stage dist'!H21*E$31</f>
        <v>907.84397847227831</v>
      </c>
      <c r="F29" s="204">
        <f>'Calculation - Stage dist'!I21*F$31</f>
        <v>942.76065588682104</v>
      </c>
      <c r="G29" s="204">
        <f>'Calculation - Stage dist'!J21*G$31</f>
        <v>977.98566998522756</v>
      </c>
      <c r="H29" s="204">
        <f>'Calculation - Stage dist'!K21*H$31</f>
        <v>1014.8202772332402</v>
      </c>
      <c r="I29" s="204">
        <f>'Calculation - Stage dist'!L21*I$31</f>
        <v>964.26061221758971</v>
      </c>
      <c r="J29" s="204">
        <f>'Calculation - Stage dist'!M21*J$31</f>
        <v>1001.5368494242119</v>
      </c>
      <c r="K29" s="204">
        <f>'Calculation - Stage dist'!N21*K$31</f>
        <v>1042.3049791771555</v>
      </c>
      <c r="L29" s="204">
        <f>'Calculation - Stage dist'!O21*L$31</f>
        <v>944.5351507404356</v>
      </c>
      <c r="M29" s="204">
        <f>'Calculation - Stage dist'!P21*M$31</f>
        <v>985.32708222969575</v>
      </c>
      <c r="N29" s="204">
        <f>'Calculation - Stage dist'!Q21*N$31</f>
        <v>884.07185783635396</v>
      </c>
      <c r="O29" s="205">
        <f>'Calculation - Stage dist'!R21*O$31</f>
        <v>928.13921641833281</v>
      </c>
      <c r="P29" s="204">
        <f>'Calculation - Stage dist'!S21*P$31</f>
        <v>959.04931382823349</v>
      </c>
      <c r="Q29" s="204">
        <f>'Calculation - Stage dist'!T21*Q$31</f>
        <v>992.06094861810459</v>
      </c>
      <c r="R29" s="204">
        <f>'Calculation - Stage dist'!U21*R$31</f>
        <v>1025.4649623174605</v>
      </c>
      <c r="S29" s="204">
        <f>'Calculation - Stage dist'!V21*S$31</f>
        <v>1061.3783488221466</v>
      </c>
      <c r="T29" s="204">
        <f>'Calculation - Stage dist'!W21*T$31</f>
        <v>1098.9768451554758</v>
      </c>
      <c r="U29" s="204">
        <f>'Calculation - Stage dist'!X21*U$31</f>
        <v>1141.6085172590572</v>
      </c>
      <c r="V29" s="204">
        <f>'Calculation - Stage dist'!Y21*V$31</f>
        <v>1137.1685259680871</v>
      </c>
      <c r="W29" s="204">
        <f>'Calculation - Stage dist'!Z21*W$31</f>
        <v>1140.8035825782986</v>
      </c>
      <c r="X29" s="204">
        <f>'Calculation - Stage dist'!AA21*X$31</f>
        <v>997.24683905645816</v>
      </c>
      <c r="Y29" s="204">
        <f>'Calculation - Stage dist'!AB21*Y$31</f>
        <v>1017.3440255370103</v>
      </c>
      <c r="Z29" s="204">
        <f>'Calculation - Stage dist'!AC21*Z$31</f>
        <v>892.92262648517317</v>
      </c>
      <c r="AA29" s="205">
        <f>'Calculation - Stage dist'!AD21*AA$31</f>
        <v>926.40333180742357</v>
      </c>
      <c r="AB29" s="204">
        <f>'Calculation - Stage dist'!AE21*AB$31</f>
        <v>929.34301589394113</v>
      </c>
      <c r="AC29" s="204">
        <f>'Calculation - Stage dist'!AF21*AC$31</f>
        <v>939.06983141830779</v>
      </c>
      <c r="AD29" s="204">
        <f>'Calculation - Stage dist'!AG21*AD$31</f>
        <v>953.34566573049824</v>
      </c>
      <c r="AE29" s="204">
        <f>'Calculation - Stage dist'!AH21*AE$31</f>
        <v>972.93359515483655</v>
      </c>
      <c r="AF29" s="204">
        <f>'Calculation - Stage dist'!AI21*AF$31</f>
        <v>999.32793550432962</v>
      </c>
      <c r="AG29" s="204">
        <f>'Calculation - Stage dist'!AJ21*AG$31</f>
        <v>992.93612969097387</v>
      </c>
      <c r="AH29" s="204">
        <f>'Calculation - Stage dist'!AK21*AH$31</f>
        <v>1020.7308850469869</v>
      </c>
      <c r="AI29" s="204">
        <f>'Calculation - Stage dist'!AL21*AI$31</f>
        <v>1052.3974245858603</v>
      </c>
      <c r="AJ29" s="204">
        <f>'Calculation - Stage dist'!AM21*AJ$31</f>
        <v>977.96753797557835</v>
      </c>
      <c r="AK29" s="204">
        <f>'Calculation - Stage dist'!AN21*AK$31</f>
        <v>1012.0623672441729</v>
      </c>
      <c r="AL29" s="204">
        <f>'Calculation - Stage dist'!AO21*AL$31</f>
        <v>940.58479987728924</v>
      </c>
      <c r="AM29" s="205">
        <f>'Calculation - Stage dist'!AP21*AM$31</f>
        <v>970.40537605134693</v>
      </c>
      <c r="AN29" s="204">
        <f>'Calculation - Stage dist'!AQ21*AN$31</f>
        <v>0</v>
      </c>
      <c r="AO29" s="204">
        <f>'Calculation - Stage dist'!AR21*AO$31</f>
        <v>0</v>
      </c>
      <c r="AP29" s="204">
        <f>'Calculation - Stage dist'!AS21*AP$31</f>
        <v>0</v>
      </c>
      <c r="AQ29" s="204">
        <f>'Calculation - Stage dist'!AT21*AQ$31</f>
        <v>0</v>
      </c>
      <c r="AR29" s="204">
        <f>'Calculation - Stage dist'!AU21*AR$31</f>
        <v>0</v>
      </c>
      <c r="AS29" s="204">
        <f>'Calculation - Stage dist'!AV21*AS$31</f>
        <v>0</v>
      </c>
      <c r="AT29" s="204">
        <f>'Calculation - Stage dist'!AW21*AT$31</f>
        <v>0</v>
      </c>
      <c r="AU29" s="204">
        <f>'Calculation - Stage dist'!AX21*AU$31</f>
        <v>0</v>
      </c>
      <c r="AV29" s="204">
        <f>'Calculation - Stage dist'!AY21*AV$31</f>
        <v>0</v>
      </c>
      <c r="AW29" s="204">
        <f>'Calculation - Stage dist'!AZ21*AW$31</f>
        <v>0</v>
      </c>
      <c r="AX29" s="205">
        <f>'Calculation - Stage dist'!BA21*AX$31</f>
        <v>0</v>
      </c>
      <c r="AY29" s="204">
        <f>'Calculation - Stage dist'!BB21*AY$31</f>
        <v>0</v>
      </c>
      <c r="AZ29" s="204">
        <f>'Calculation - Stage dist'!BC21*AZ$31</f>
        <v>0</v>
      </c>
      <c r="BA29" s="204">
        <f>'Calculation - Stage dist'!BD21*BA$31</f>
        <v>0</v>
      </c>
      <c r="BB29" s="204">
        <f>'Calculation - Stage dist'!BE21*BB$31</f>
        <v>0</v>
      </c>
      <c r="BC29" s="204">
        <f>'Calculation - Stage dist'!BF21*BC$31</f>
        <v>0</v>
      </c>
      <c r="BD29" s="204">
        <f>'Calculation - Stage dist'!BG21*BD$31</f>
        <v>0</v>
      </c>
      <c r="BE29" s="204">
        <f>'Calculation - Stage dist'!BH21*BE$31</f>
        <v>0</v>
      </c>
      <c r="BF29" s="204">
        <f>'Calculation - Stage dist'!BI21*BF$31</f>
        <v>0</v>
      </c>
      <c r="BG29" s="204">
        <f>'Calculation - Stage dist'!BJ21*BG$31</f>
        <v>0</v>
      </c>
      <c r="BH29" s="204">
        <f>'Calculation - Stage dist'!BK21*BH$31</f>
        <v>0</v>
      </c>
      <c r="BI29" s="204">
        <f>'Calculation - Stage dist'!BL21*BI$31</f>
        <v>0</v>
      </c>
      <c r="BJ29" s="205">
        <f>'Calculation - Stage dist'!BM21*BJ$31</f>
        <v>0</v>
      </c>
    </row>
    <row r="30" spans="1:62" x14ac:dyDescent="0.35">
      <c r="B30" s="3" t="s">
        <v>53</v>
      </c>
      <c r="C30" s="206">
        <f>'Calculation - Stage dist'!F22*C$31</f>
        <v>630.41324734802379</v>
      </c>
      <c r="D30" s="207">
        <f>'Calculation - Stage dist'!G22*D$31</f>
        <v>681.77937727852236</v>
      </c>
      <c r="E30" s="207">
        <f>'Calculation - Stage dist'!H22*E$31</f>
        <v>724.7004551006238</v>
      </c>
      <c r="F30" s="207">
        <f>'Calculation - Stage dist'!I22*F$31</f>
        <v>769.39874515153076</v>
      </c>
      <c r="G30" s="207">
        <f>'Calculation - Stage dist'!J22*G$31</f>
        <v>815.28814407550476</v>
      </c>
      <c r="H30" s="207">
        <f>'Calculation - Stage dist'!K22*H$31</f>
        <v>863.46690961964418</v>
      </c>
      <c r="I30" s="207">
        <f>'Calculation - Stage dist'!L22*I$31</f>
        <v>836.75747812050417</v>
      </c>
      <c r="J30" s="207">
        <f>'Calculation - Stage dist'!M22*J$31</f>
        <v>892.4527684788153</v>
      </c>
      <c r="K30" s="207">
        <f>'Calculation - Stage dist'!N22*K$31</f>
        <v>952.40411232037525</v>
      </c>
      <c r="L30" s="207">
        <f>'Calculation - Stage dist'!O22*L$31</f>
        <v>883.88828128531611</v>
      </c>
      <c r="M30" s="207">
        <f>'Calculation - Stage dist'!P22*M$31</f>
        <v>943.19441369181573</v>
      </c>
      <c r="N30" s="207">
        <f>'Calculation - Stage dist'!Q22*N$31</f>
        <v>864.7249128742244</v>
      </c>
      <c r="O30" s="208">
        <f>'Calculation - Stage dist'!R22*O$31</f>
        <v>926.69405028400513</v>
      </c>
      <c r="P30" s="207">
        <f>'Calculation - Stage dist'!S22*P$31</f>
        <v>989.12323560771642</v>
      </c>
      <c r="Q30" s="207">
        <f>'Calculation - Stage dist'!T22*Q$31</f>
        <v>1054.4559879885473</v>
      </c>
      <c r="R30" s="207">
        <f>'Calculation - Stage dist'!U22*R$31</f>
        <v>1120.9734032250706</v>
      </c>
      <c r="S30" s="207">
        <f>'Calculation - Stage dist'!V22*S$31</f>
        <v>1191.0396845545879</v>
      </c>
      <c r="T30" s="207">
        <f>'Calculation - Stage dist'!W22*T$31</f>
        <v>1263.8734627343283</v>
      </c>
      <c r="U30" s="207">
        <f>'Calculation - Stage dist'!X22*U$31</f>
        <v>1337.574520492052</v>
      </c>
      <c r="V30" s="207">
        <f>'Calculation - Stage dist'!Y22*V$31</f>
        <v>1319.2917799082893</v>
      </c>
      <c r="W30" s="207">
        <f>'Calculation - Stage dist'!Z22*W$31</f>
        <v>1309.7787884304923</v>
      </c>
      <c r="X30" s="207">
        <f>'Calculation - Stage dist'!AA22*X$31</f>
        <v>1132.3869427272098</v>
      </c>
      <c r="Y30" s="207">
        <f>'Calculation - Stage dist'!AB22*Y$31</f>
        <v>1141.7597681599875</v>
      </c>
      <c r="Z30" s="207">
        <f>'Calculation - Stage dist'!AC22*Z$31</f>
        <v>989.73163922724893</v>
      </c>
      <c r="AA30" s="208">
        <f>'Calculation - Stage dist'!AD22*AA$31</f>
        <v>1013.3307722235322</v>
      </c>
      <c r="AB30" s="207">
        <f>'Calculation - Stage dist'!AE22*AB$31</f>
        <v>1002.2818862619325</v>
      </c>
      <c r="AC30" s="207">
        <f>'Calculation - Stage dist'!AF22*AC$31</f>
        <v>997.58302538237695</v>
      </c>
      <c r="AD30" s="207">
        <f>'Calculation - Stage dist'!AG22*AD$31</f>
        <v>996.4759655686297</v>
      </c>
      <c r="AE30" s="207">
        <f>'Calculation - Stage dist'!AH22*AE$31</f>
        <v>999.39917813476507</v>
      </c>
      <c r="AF30" s="207">
        <f>'Calculation - Stage dist'!AI22*AF$31</f>
        <v>1007.4296008865757</v>
      </c>
      <c r="AG30" s="207">
        <f>'Calculation - Stage dist'!AJ22*AG$31</f>
        <v>980.88324379749008</v>
      </c>
      <c r="AH30" s="207">
        <f>'Calculation - Stage dist'!AK22*AH$31</f>
        <v>994.98294126783173</v>
      </c>
      <c r="AI30" s="207">
        <f>'Calculation - Stage dist'!AL22*AI$31</f>
        <v>1010.9292233896981</v>
      </c>
      <c r="AJ30" s="207">
        <f>'Calculation - Stage dist'!AM22*AJ$31</f>
        <v>924.35832980103442</v>
      </c>
      <c r="AK30" s="207">
        <f>'Calculation - Stage dist'!AN22*AK$31</f>
        <v>939.56440650938043</v>
      </c>
      <c r="AL30" s="207">
        <f>'Calculation - Stage dist'!AO22*AL$31</f>
        <v>855.88026482601299</v>
      </c>
      <c r="AM30" s="208">
        <f>'Calculation - Stage dist'!AP22*AM$31</f>
        <v>863.34837537182182</v>
      </c>
      <c r="AN30" s="207">
        <f>'Calculation - Stage dist'!AQ22*AN$31</f>
        <v>0</v>
      </c>
      <c r="AO30" s="207">
        <f>'Calculation - Stage dist'!AR22*AO$31</f>
        <v>0</v>
      </c>
      <c r="AP30" s="207">
        <f>'Calculation - Stage dist'!AS22*AP$31</f>
        <v>0</v>
      </c>
      <c r="AQ30" s="207">
        <f>'Calculation - Stage dist'!AT22*AQ$31</f>
        <v>0</v>
      </c>
      <c r="AR30" s="207">
        <f>'Calculation - Stage dist'!AU22*AR$31</f>
        <v>0</v>
      </c>
      <c r="AS30" s="207">
        <f>'Calculation - Stage dist'!AV22*AS$31</f>
        <v>0</v>
      </c>
      <c r="AT30" s="207">
        <f>'Calculation - Stage dist'!AW22*AT$31</f>
        <v>0</v>
      </c>
      <c r="AU30" s="207">
        <f>'Calculation - Stage dist'!AX22*AU$31</f>
        <v>0</v>
      </c>
      <c r="AV30" s="207">
        <f>'Calculation - Stage dist'!AY22*AV$31</f>
        <v>0</v>
      </c>
      <c r="AW30" s="207">
        <f>'Calculation - Stage dist'!AZ22*AW$31</f>
        <v>0</v>
      </c>
      <c r="AX30" s="208">
        <f>'Calculation - Stage dist'!BA22*AX$31</f>
        <v>0</v>
      </c>
      <c r="AY30" s="207">
        <f>'Calculation - Stage dist'!BB22*AY$31</f>
        <v>0</v>
      </c>
      <c r="AZ30" s="207">
        <f>'Calculation - Stage dist'!BC22*AZ$31</f>
        <v>0</v>
      </c>
      <c r="BA30" s="207">
        <f>'Calculation - Stage dist'!BD22*BA$31</f>
        <v>0</v>
      </c>
      <c r="BB30" s="207">
        <f>'Calculation - Stage dist'!BE22*BB$31</f>
        <v>0</v>
      </c>
      <c r="BC30" s="207">
        <f>'Calculation - Stage dist'!BF22*BC$31</f>
        <v>0</v>
      </c>
      <c r="BD30" s="207">
        <f>'Calculation - Stage dist'!BG22*BD$31</f>
        <v>0</v>
      </c>
      <c r="BE30" s="207">
        <f>'Calculation - Stage dist'!BH22*BE$31</f>
        <v>0</v>
      </c>
      <c r="BF30" s="207">
        <f>'Calculation - Stage dist'!BI22*BF$31</f>
        <v>0</v>
      </c>
      <c r="BG30" s="207">
        <f>'Calculation - Stage dist'!BJ22*BG$31</f>
        <v>0</v>
      </c>
      <c r="BH30" s="207">
        <f>'Calculation - Stage dist'!BK22*BH$31</f>
        <v>0</v>
      </c>
      <c r="BI30" s="207">
        <f>'Calculation - Stage dist'!BL22*BI$31</f>
        <v>0</v>
      </c>
      <c r="BJ30" s="208">
        <f>'Calculation - Stage dist'!BM22*BJ$31</f>
        <v>0</v>
      </c>
    </row>
    <row r="31" spans="1:62" x14ac:dyDescent="0.35">
      <c r="B31" s="3" t="s">
        <v>140</v>
      </c>
      <c r="C31" s="206">
        <f>'Input - ENR'!C17</f>
        <v>19204.151739359146</v>
      </c>
      <c r="D31" s="207">
        <f>'Input - ENR'!D17</f>
        <v>20089.603841116816</v>
      </c>
      <c r="E31" s="207">
        <f>'Input - ENR'!E17</f>
        <v>20678.004038967825</v>
      </c>
      <c r="F31" s="207">
        <f>'Input - ENR'!F17</f>
        <v>21279.429785606124</v>
      </c>
      <c r="G31" s="207">
        <f>'Input - ENR'!G17</f>
        <v>21876.990005781758</v>
      </c>
      <c r="H31" s="207">
        <f>'Input - ENR'!H17</f>
        <v>22499.637773574093</v>
      </c>
      <c r="I31" s="207">
        <f>'Input - ENR'!I17</f>
        <v>21190.74807073547</v>
      </c>
      <c r="J31" s="207">
        <f>'Input - ENR'!J17</f>
        <v>21699.963470665683</v>
      </c>
      <c r="K31" s="207">
        <f>'Input - ENR'!K17</f>
        <v>22269.642113538059</v>
      </c>
      <c r="L31" s="207">
        <f>'Input - ENR'!L17</f>
        <v>19904.289315869606</v>
      </c>
      <c r="M31" s="207">
        <f>'Input - ENR'!M17</f>
        <v>20483.331194851879</v>
      </c>
      <c r="N31" s="207">
        <f>'Input - ENR'!N17</f>
        <v>18133.375433198205</v>
      </c>
      <c r="O31" s="208">
        <f>'Input - ENR'!O17</f>
        <v>18786.779263864355</v>
      </c>
      <c r="P31" s="207">
        <f>'Input - ENR'!P17</f>
        <v>18997.1510143956</v>
      </c>
      <c r="Q31" s="207">
        <f>'Input - ENR'!Q17</f>
        <v>19239.466353564312</v>
      </c>
      <c r="R31" s="207">
        <f>'Input - ENR'!R17</f>
        <v>19479.292850746329</v>
      </c>
      <c r="S31" s="207">
        <f>'Input - ENR'!S17</f>
        <v>19756.185708359066</v>
      </c>
      <c r="T31" s="207">
        <f>'Input - ENR'!T17</f>
        <v>20052.9133269417</v>
      </c>
      <c r="U31" s="207">
        <f>'Input - ENR'!U17</f>
        <v>20373.131562739232</v>
      </c>
      <c r="V31" s="207">
        <f>'Input - ENR'!V17</f>
        <v>20753.254002126072</v>
      </c>
      <c r="W31" s="207">
        <f>'Input - ENR'!W17</f>
        <v>21301.765466864206</v>
      </c>
      <c r="X31" s="207">
        <f>'Input - ENR'!X17</f>
        <v>19062.670669208772</v>
      </c>
      <c r="Y31" s="207">
        <f>'Input - ENR'!Y17</f>
        <v>19919.088188471454</v>
      </c>
      <c r="Z31" s="207">
        <f>'Input - ENR'!Z17</f>
        <v>17918.109002383266</v>
      </c>
      <c r="AA31" s="208">
        <f>'Input - ENR'!AA17</f>
        <v>19064.450525721099</v>
      </c>
      <c r="AB31" s="207">
        <f>'Input - ENR'!AB17</f>
        <v>19625.877617859427</v>
      </c>
      <c r="AC31" s="207">
        <f>'Input - ENR'!AC17</f>
        <v>20364.692096150891</v>
      </c>
      <c r="AD31" s="207">
        <f>'Input - ENR'!AD17</f>
        <v>21245.725875119268</v>
      </c>
      <c r="AE31" s="207">
        <f>'Input - ENR'!AE17</f>
        <v>22298.596122434672</v>
      </c>
      <c r="AF31" s="207">
        <f>'Input - ENR'!AF17</f>
        <v>23573.635719040012</v>
      </c>
      <c r="AG31" s="207">
        <f>'Input - ENR'!AG17</f>
        <v>24128.815278255872</v>
      </c>
      <c r="AH31" s="207">
        <f>'Input - ENR'!AH17</f>
        <v>25797.845075483609</v>
      </c>
      <c r="AI31" s="207">
        <f>'Input - ENR'!AI17</f>
        <v>27708.108679322497</v>
      </c>
      <c r="AJ31" s="207">
        <f>'Input - ENR'!AJ17</f>
        <v>26869.735539128724</v>
      </c>
      <c r="AK31" s="207">
        <f>'Input - ENR'!AK17</f>
        <v>29072.50226009059</v>
      </c>
      <c r="AL31" s="207">
        <f>'Input - ENR'!AL17</f>
        <v>28308.083336390115</v>
      </c>
      <c r="AM31" s="208">
        <f>'Input - ENR'!AM17</f>
        <v>30668.489788218794</v>
      </c>
      <c r="AN31" s="207">
        <f>'Input - ENR'!AN5</f>
        <v>0</v>
      </c>
      <c r="AO31" s="207">
        <f>'Input - ENR'!AO5</f>
        <v>0</v>
      </c>
      <c r="AP31" s="207">
        <f>'Input - ENR'!AP5</f>
        <v>0</v>
      </c>
      <c r="AQ31" s="207">
        <f>'Input - ENR'!AQ5</f>
        <v>0</v>
      </c>
      <c r="AR31" s="207">
        <f>'Input - ENR'!AR5</f>
        <v>0</v>
      </c>
      <c r="AS31" s="207">
        <f>'Input - ENR'!AS5</f>
        <v>0</v>
      </c>
      <c r="AT31" s="207">
        <f>'Input - ENR'!AT5</f>
        <v>0</v>
      </c>
      <c r="AU31" s="207">
        <f>'Input - ENR'!AU5</f>
        <v>0</v>
      </c>
      <c r="AV31" s="207">
        <f>'Input - ENR'!AV5</f>
        <v>0</v>
      </c>
      <c r="AW31" s="207">
        <f>'Input - ENR'!AW5</f>
        <v>0</v>
      </c>
      <c r="AX31" s="208">
        <f>'Input - ENR'!AX5</f>
        <v>0</v>
      </c>
      <c r="AY31" s="207">
        <f>'Input - ENR'!AY5</f>
        <v>0</v>
      </c>
      <c r="AZ31" s="207">
        <f>'Input - ENR'!AZ5</f>
        <v>0</v>
      </c>
      <c r="BA31" s="207">
        <f>'Input - ENR'!BA5</f>
        <v>0</v>
      </c>
      <c r="BB31" s="207">
        <f>'Input - ENR'!BB5</f>
        <v>0</v>
      </c>
      <c r="BC31" s="207">
        <f>'Input - ENR'!BC5</f>
        <v>0</v>
      </c>
      <c r="BD31" s="207">
        <f>'Input - ENR'!BD5</f>
        <v>0</v>
      </c>
      <c r="BE31" s="207">
        <f>'Input - ENR'!BE5</f>
        <v>0</v>
      </c>
      <c r="BF31" s="207">
        <f>'Input - ENR'!BF5</f>
        <v>0</v>
      </c>
      <c r="BG31" s="207">
        <f>'Input - ENR'!BG5</f>
        <v>0</v>
      </c>
      <c r="BH31" s="207">
        <f>'Input - ENR'!BH5</f>
        <v>0</v>
      </c>
      <c r="BI31" s="207">
        <f>'Input - ENR'!BI5</f>
        <v>0</v>
      </c>
      <c r="BJ31" s="208">
        <f>'Input - ENR'!BJ5</f>
        <v>0</v>
      </c>
    </row>
    <row r="33" spans="1:62" x14ac:dyDescent="0.35">
      <c r="B33" s="1" t="s">
        <v>141</v>
      </c>
      <c r="C33" s="110">
        <f>C3</f>
        <v>45352</v>
      </c>
      <c r="D33" s="111">
        <f>EDATE(C33,1)</f>
        <v>45383</v>
      </c>
      <c r="E33" s="111">
        <f t="shared" ref="E33" si="185">EDATE(D33,1)</f>
        <v>45413</v>
      </c>
      <c r="F33" s="111">
        <f t="shared" ref="F33" si="186">EDATE(E33,1)</f>
        <v>45444</v>
      </c>
      <c r="G33" s="111">
        <f t="shared" ref="G33" si="187">EDATE(F33,1)</f>
        <v>45474</v>
      </c>
      <c r="H33" s="111">
        <f t="shared" ref="H33" si="188">EDATE(G33,1)</f>
        <v>45505</v>
      </c>
      <c r="I33" s="111">
        <f t="shared" ref="I33" si="189">EDATE(H33,1)</f>
        <v>45536</v>
      </c>
      <c r="J33" s="111">
        <f t="shared" ref="J33" si="190">EDATE(I33,1)</f>
        <v>45566</v>
      </c>
      <c r="K33" s="111">
        <f t="shared" ref="K33" si="191">EDATE(J33,1)</f>
        <v>45597</v>
      </c>
      <c r="L33" s="111">
        <f t="shared" ref="L33" si="192">EDATE(K33,1)</f>
        <v>45627</v>
      </c>
      <c r="M33" s="111">
        <f t="shared" ref="M33" si="193">EDATE(L33,1)</f>
        <v>45658</v>
      </c>
      <c r="N33" s="111">
        <f t="shared" ref="N33" si="194">EDATE(M33,1)</f>
        <v>45689</v>
      </c>
      <c r="O33" s="112">
        <f t="shared" ref="O33" si="195">EDATE(N33,1)</f>
        <v>45717</v>
      </c>
      <c r="P33" s="111">
        <f t="shared" ref="P33" si="196">EDATE(O33,1)</f>
        <v>45748</v>
      </c>
      <c r="Q33" s="111">
        <f t="shared" ref="Q33" si="197">EDATE(P33,1)</f>
        <v>45778</v>
      </c>
      <c r="R33" s="111">
        <f t="shared" ref="R33" si="198">EDATE(Q33,1)</f>
        <v>45809</v>
      </c>
      <c r="S33" s="111">
        <f t="shared" ref="S33" si="199">EDATE(R33,1)</f>
        <v>45839</v>
      </c>
      <c r="T33" s="111">
        <f t="shared" ref="T33" si="200">EDATE(S33,1)</f>
        <v>45870</v>
      </c>
      <c r="U33" s="111">
        <f t="shared" ref="U33" si="201">EDATE(T33,1)</f>
        <v>45901</v>
      </c>
      <c r="V33" s="111">
        <f t="shared" ref="V33" si="202">EDATE(U33,1)</f>
        <v>45931</v>
      </c>
      <c r="W33" s="111">
        <f t="shared" ref="W33" si="203">EDATE(V33,1)</f>
        <v>45962</v>
      </c>
      <c r="X33" s="111">
        <f t="shared" ref="X33" si="204">EDATE(W33,1)</f>
        <v>45992</v>
      </c>
      <c r="Y33" s="111">
        <f t="shared" ref="Y33" si="205">EDATE(X33,1)</f>
        <v>46023</v>
      </c>
      <c r="Z33" s="111">
        <f t="shared" ref="Z33" si="206">EDATE(Y33,1)</f>
        <v>46054</v>
      </c>
      <c r="AA33" s="112">
        <f t="shared" ref="AA33" si="207">EDATE(Z33,1)</f>
        <v>46082</v>
      </c>
      <c r="AB33" s="111">
        <f t="shared" ref="AB33" si="208">EDATE(AA33,1)</f>
        <v>46113</v>
      </c>
      <c r="AC33" s="111">
        <f t="shared" ref="AC33" si="209">EDATE(AB33,1)</f>
        <v>46143</v>
      </c>
      <c r="AD33" s="111">
        <f t="shared" ref="AD33" si="210">EDATE(AC33,1)</f>
        <v>46174</v>
      </c>
      <c r="AE33" s="111">
        <f t="shared" ref="AE33" si="211">EDATE(AD33,1)</f>
        <v>46204</v>
      </c>
      <c r="AF33" s="111">
        <f t="shared" ref="AF33" si="212">EDATE(AE33,1)</f>
        <v>46235</v>
      </c>
      <c r="AG33" s="111">
        <f t="shared" ref="AG33" si="213">EDATE(AF33,1)</f>
        <v>46266</v>
      </c>
      <c r="AH33" s="111">
        <f t="shared" ref="AH33" si="214">EDATE(AG33,1)</f>
        <v>46296</v>
      </c>
      <c r="AI33" s="111">
        <f t="shared" ref="AI33" si="215">EDATE(AH33,1)</f>
        <v>46327</v>
      </c>
      <c r="AJ33" s="111">
        <f t="shared" ref="AJ33" si="216">EDATE(AI33,1)</f>
        <v>46357</v>
      </c>
      <c r="AK33" s="111">
        <f t="shared" ref="AK33" si="217">EDATE(AJ33,1)</f>
        <v>46388</v>
      </c>
      <c r="AL33" s="111">
        <f t="shared" ref="AL33" si="218">EDATE(AK33,1)</f>
        <v>46419</v>
      </c>
      <c r="AM33" s="112">
        <f t="shared" ref="AM33" si="219">EDATE(AL33,1)</f>
        <v>46447</v>
      </c>
      <c r="AN33" s="111">
        <f t="shared" ref="AN33" si="220">EDATE(AM33,1)</f>
        <v>46478</v>
      </c>
      <c r="AO33" s="111">
        <f t="shared" ref="AO33" si="221">EDATE(AN33,1)</f>
        <v>46508</v>
      </c>
      <c r="AP33" s="111">
        <f t="shared" ref="AP33" si="222">EDATE(AO33,1)</f>
        <v>46539</v>
      </c>
      <c r="AQ33" s="111">
        <f t="shared" ref="AQ33" si="223">EDATE(AP33,1)</f>
        <v>46569</v>
      </c>
      <c r="AR33" s="111">
        <f t="shared" ref="AR33" si="224">EDATE(AQ33,1)</f>
        <v>46600</v>
      </c>
      <c r="AS33" s="111">
        <f t="shared" ref="AS33" si="225">EDATE(AR33,1)</f>
        <v>46631</v>
      </c>
      <c r="AT33" s="111">
        <f t="shared" ref="AT33" si="226">EDATE(AS33,1)</f>
        <v>46661</v>
      </c>
      <c r="AU33" s="111">
        <f t="shared" ref="AU33" si="227">EDATE(AT33,1)</f>
        <v>46692</v>
      </c>
      <c r="AV33" s="111">
        <f t="shared" ref="AV33" si="228">EDATE(AU33,1)</f>
        <v>46722</v>
      </c>
      <c r="AW33" s="111">
        <f t="shared" ref="AW33" si="229">EDATE(AV33,1)</f>
        <v>46753</v>
      </c>
      <c r="AX33" s="112">
        <f t="shared" ref="AX33" si="230">EDATE(AW33,1)</f>
        <v>46784</v>
      </c>
      <c r="AY33" s="111">
        <f t="shared" ref="AY33" si="231">EDATE(AX33,1)</f>
        <v>46813</v>
      </c>
      <c r="AZ33" s="111">
        <f t="shared" ref="AZ33" si="232">EDATE(AY33,1)</f>
        <v>46844</v>
      </c>
      <c r="BA33" s="111">
        <f t="shared" ref="BA33" si="233">EDATE(AZ33,1)</f>
        <v>46874</v>
      </c>
      <c r="BB33" s="111">
        <f t="shared" ref="BB33" si="234">EDATE(BA33,1)</f>
        <v>46905</v>
      </c>
      <c r="BC33" s="111">
        <f t="shared" ref="BC33" si="235">EDATE(BB33,1)</f>
        <v>46935</v>
      </c>
      <c r="BD33" s="111">
        <f t="shared" ref="BD33" si="236">EDATE(BC33,1)</f>
        <v>46966</v>
      </c>
      <c r="BE33" s="111">
        <f t="shared" ref="BE33" si="237">EDATE(BD33,1)</f>
        <v>46997</v>
      </c>
      <c r="BF33" s="111">
        <f t="shared" ref="BF33" si="238">EDATE(BE33,1)</f>
        <v>47027</v>
      </c>
      <c r="BG33" s="111">
        <f t="shared" ref="BG33" si="239">EDATE(BF33,1)</f>
        <v>47058</v>
      </c>
      <c r="BH33" s="111">
        <f t="shared" ref="BH33" si="240">EDATE(BG33,1)</f>
        <v>47088</v>
      </c>
      <c r="BI33" s="111">
        <f t="shared" ref="BI33" si="241">EDATE(BH33,1)</f>
        <v>47119</v>
      </c>
      <c r="BJ33" s="112">
        <f>EDATE(BI33,1)</f>
        <v>47150</v>
      </c>
    </row>
    <row r="34" spans="1:62" x14ac:dyDescent="0.35">
      <c r="B34" s="1" t="s">
        <v>51</v>
      </c>
      <c r="C34" s="181">
        <v>7.816035982436513E-3</v>
      </c>
      <c r="D34" s="182">
        <v>7.7655450124080854E-3</v>
      </c>
      <c r="E34" s="182">
        <v>7.7076729572053632E-3</v>
      </c>
      <c r="F34" s="182">
        <v>7.9082747960389083E-3</v>
      </c>
      <c r="G34" s="182">
        <v>7.7555547500317646E-3</v>
      </c>
      <c r="H34" s="182">
        <v>7.6254898009352609E-3</v>
      </c>
      <c r="I34" s="182">
        <v>7.7466734610333737E-3</v>
      </c>
      <c r="J34" s="182">
        <v>7.5456071443365516E-3</v>
      </c>
      <c r="K34" s="182">
        <v>7.3853624377820089E-3</v>
      </c>
      <c r="L34" s="182">
        <v>7.5491520230806996E-3</v>
      </c>
      <c r="M34" s="182">
        <v>7.3521362452656207E-3</v>
      </c>
      <c r="N34" s="182">
        <v>7.49710882250828E-3</v>
      </c>
      <c r="O34" s="183">
        <v>6.9612599915361588E-3</v>
      </c>
      <c r="P34" s="182">
        <v>6.9464790026838898E-3</v>
      </c>
      <c r="Q34" s="182">
        <v>6.9241951084669994E-3</v>
      </c>
      <c r="R34" s="182">
        <v>7.072958222434653E-3</v>
      </c>
      <c r="S34" s="182">
        <v>6.9749709493404817E-3</v>
      </c>
      <c r="T34" s="182">
        <v>6.8952516593130085E-3</v>
      </c>
      <c r="U34" s="182">
        <v>6.9901797949835278E-3</v>
      </c>
      <c r="V34" s="182">
        <v>6.8562868012242671E-3</v>
      </c>
      <c r="W34" s="182">
        <v>6.7511916943992431E-3</v>
      </c>
      <c r="X34" s="182">
        <v>6.830788050691608E-3</v>
      </c>
      <c r="Y34" s="182">
        <v>6.7160641097864246E-3</v>
      </c>
      <c r="Z34" s="182">
        <v>6.7896306562240322E-3</v>
      </c>
      <c r="AA34" s="183">
        <v>6.6769802625358012E-3</v>
      </c>
      <c r="AB34" s="182">
        <v>6.6942775699591122E-3</v>
      </c>
      <c r="AC34" s="182">
        <v>6.6982113804692871E-3</v>
      </c>
      <c r="AD34" s="182">
        <v>6.8361802787747974E-3</v>
      </c>
      <c r="AE34" s="182">
        <v>6.7684508318679943E-3</v>
      </c>
      <c r="AF34" s="182">
        <v>6.7140045144594967E-3</v>
      </c>
      <c r="AG34" s="182">
        <v>6.8055533582100395E-3</v>
      </c>
      <c r="AH34" s="182">
        <v>6.6955804205636503E-3</v>
      </c>
      <c r="AI34" s="182">
        <v>6.6118061440912238E-3</v>
      </c>
      <c r="AJ34" s="182">
        <v>6.6631793723110708E-3</v>
      </c>
      <c r="AK34" s="182">
        <v>6.5780379233131275E-3</v>
      </c>
      <c r="AL34" s="182">
        <v>6.6285752090125931E-3</v>
      </c>
      <c r="AM34" s="183">
        <v>6.5467729541137431E-3</v>
      </c>
      <c r="AN34" s="182">
        <v>3.1366550930343455E-2</v>
      </c>
      <c r="AO34" s="182">
        <v>3.1366550930343455E-2</v>
      </c>
      <c r="AP34" s="182">
        <v>3.1366550930343455E-2</v>
      </c>
      <c r="AQ34" s="182">
        <v>3.1366550930343455E-2</v>
      </c>
      <c r="AR34" s="182">
        <v>3.1366550930343455E-2</v>
      </c>
      <c r="AS34" s="182">
        <v>3.1366550930343455E-2</v>
      </c>
      <c r="AT34" s="182">
        <v>3.1366550930343455E-2</v>
      </c>
      <c r="AU34" s="182">
        <v>3.1366550930343455E-2</v>
      </c>
      <c r="AV34" s="182">
        <v>3.1366550930343455E-2</v>
      </c>
      <c r="AW34" s="182">
        <v>3.1366550930343455E-2</v>
      </c>
      <c r="AX34" s="183">
        <v>3.1366550930343455E-2</v>
      </c>
      <c r="AY34" s="182">
        <v>3.1366550930343455E-2</v>
      </c>
      <c r="AZ34" s="182">
        <v>3.1366550930343455E-2</v>
      </c>
      <c r="BA34" s="182">
        <v>3.1366550930343455E-2</v>
      </c>
      <c r="BB34" s="182">
        <v>3.1366550930343455E-2</v>
      </c>
      <c r="BC34" s="182">
        <v>3.1366550930343455E-2</v>
      </c>
      <c r="BD34" s="182">
        <v>3.1366550930343455E-2</v>
      </c>
      <c r="BE34" s="182">
        <v>3.1366550930343455E-2</v>
      </c>
      <c r="BF34" s="182">
        <v>3.1366550930343455E-2</v>
      </c>
      <c r="BG34" s="182">
        <v>3.1366550930343455E-2</v>
      </c>
      <c r="BH34" s="182">
        <v>3.1366550930343455E-2</v>
      </c>
      <c r="BI34" s="182">
        <v>3.1366550930343455E-2</v>
      </c>
      <c r="BJ34" s="183">
        <v>3.1366550930343455E-2</v>
      </c>
    </row>
    <row r="35" spans="1:62" x14ac:dyDescent="0.35">
      <c r="B35" s="2" t="s">
        <v>52</v>
      </c>
      <c r="C35" s="184">
        <v>0.16132764096285721</v>
      </c>
      <c r="D35" s="185">
        <v>0.16148458850406724</v>
      </c>
      <c r="E35" s="185">
        <v>0.16167150328414334</v>
      </c>
      <c r="F35" s="185">
        <v>0.16164760667667966</v>
      </c>
      <c r="G35" s="185">
        <v>0.16161674820878358</v>
      </c>
      <c r="H35" s="185">
        <v>0.16150169460430291</v>
      </c>
      <c r="I35" s="185">
        <v>0.16136415681158983</v>
      </c>
      <c r="J35" s="185">
        <v>0.16121198813955487</v>
      </c>
      <c r="K35" s="185">
        <v>0.16106902410595467</v>
      </c>
      <c r="L35" s="185">
        <v>0.16091475791749749</v>
      </c>
      <c r="M35" s="185">
        <v>0.16073439786304236</v>
      </c>
      <c r="N35" s="185">
        <v>0.16055882839308691</v>
      </c>
      <c r="O35" s="186">
        <v>0.15497634903975685</v>
      </c>
      <c r="P35" s="185">
        <v>0.15449134888207797</v>
      </c>
      <c r="Q35" s="185">
        <v>0.15412786234245163</v>
      </c>
      <c r="R35" s="185">
        <v>0.15378031314701943</v>
      </c>
      <c r="S35" s="185">
        <v>0.15359767794009654</v>
      </c>
      <c r="T35" s="185">
        <v>0.15342702851080597</v>
      </c>
      <c r="U35" s="185">
        <v>0.15326348592464037</v>
      </c>
      <c r="V35" s="185">
        <v>0.15317046531728751</v>
      </c>
      <c r="W35" s="185">
        <v>0.15308422438009878</v>
      </c>
      <c r="X35" s="185">
        <v>0.15299158708801822</v>
      </c>
      <c r="Y35" s="185">
        <v>0.15289267461641834</v>
      </c>
      <c r="Z35" s="185">
        <v>0.15275858260842171</v>
      </c>
      <c r="AA35" s="186">
        <v>0.15258725370612022</v>
      </c>
      <c r="AB35" s="185">
        <v>0.15217489466470113</v>
      </c>
      <c r="AC35" s="185">
        <v>0.15186060002362425</v>
      </c>
      <c r="AD35" s="185">
        <v>0.15157552274612648</v>
      </c>
      <c r="AE35" s="185">
        <v>0.15145361655043663</v>
      </c>
      <c r="AF35" s="185">
        <v>0.1513498159176605</v>
      </c>
      <c r="AG35" s="185">
        <v>0.15125410473701839</v>
      </c>
      <c r="AH35" s="185">
        <v>0.15121971969668013</v>
      </c>
      <c r="AI35" s="185">
        <v>0.15119377392589084</v>
      </c>
      <c r="AJ35" s="185">
        <v>0.1511608650886849</v>
      </c>
      <c r="AK35" s="185">
        <v>0.15111756443449642</v>
      </c>
      <c r="AL35" s="185">
        <v>0.15103348264301539</v>
      </c>
      <c r="AM35" s="186">
        <v>0.15091264357197251</v>
      </c>
      <c r="AN35" s="185">
        <v>0.41828286788706864</v>
      </c>
      <c r="AO35" s="185">
        <v>0.41828286788706864</v>
      </c>
      <c r="AP35" s="185">
        <v>0.41828286788706864</v>
      </c>
      <c r="AQ35" s="185">
        <v>0.41828286788706864</v>
      </c>
      <c r="AR35" s="185">
        <v>0.41828286788706864</v>
      </c>
      <c r="AS35" s="185">
        <v>0.41828286788706864</v>
      </c>
      <c r="AT35" s="185">
        <v>0.41828286788706864</v>
      </c>
      <c r="AU35" s="185">
        <v>0.41828286788706864</v>
      </c>
      <c r="AV35" s="185">
        <v>0.41828286788706864</v>
      </c>
      <c r="AW35" s="185">
        <v>0.41828286788706864</v>
      </c>
      <c r="AX35" s="186">
        <v>0.41828286788706864</v>
      </c>
      <c r="AY35" s="185">
        <v>0.41828286788706864</v>
      </c>
      <c r="AZ35" s="185">
        <v>0.41828286788706864</v>
      </c>
      <c r="BA35" s="185">
        <v>0.41828286788706864</v>
      </c>
      <c r="BB35" s="185">
        <v>0.41828286788706864</v>
      </c>
      <c r="BC35" s="185">
        <v>0.41828286788706864</v>
      </c>
      <c r="BD35" s="185">
        <v>0.41828286788706864</v>
      </c>
      <c r="BE35" s="185">
        <v>0.41828286788706864</v>
      </c>
      <c r="BF35" s="185">
        <v>0.41828286788706864</v>
      </c>
      <c r="BG35" s="185">
        <v>0.41828286788706864</v>
      </c>
      <c r="BH35" s="185">
        <v>0.41828286788706864</v>
      </c>
      <c r="BI35" s="185">
        <v>0.41828286788706864</v>
      </c>
      <c r="BJ35" s="186">
        <v>0.41828286788706864</v>
      </c>
    </row>
    <row r="36" spans="1:62" x14ac:dyDescent="0.35">
      <c r="B36" s="3" t="s">
        <v>53</v>
      </c>
      <c r="C36" s="187">
        <v>0.35944444845563883</v>
      </c>
      <c r="D36" s="188">
        <v>0.35944712692243563</v>
      </c>
      <c r="E36" s="188">
        <v>0.35938680479730739</v>
      </c>
      <c r="F36" s="188">
        <v>0.35929160482239941</v>
      </c>
      <c r="G36" s="188">
        <v>0.35919656959565888</v>
      </c>
      <c r="H36" s="188">
        <v>0.35911775080850233</v>
      </c>
      <c r="I36" s="188">
        <v>0.35897823836803588</v>
      </c>
      <c r="J36" s="188">
        <v>0.35889278031128846</v>
      </c>
      <c r="K36" s="188">
        <v>0.35880832838786164</v>
      </c>
      <c r="L36" s="188">
        <v>0.35859679538541445</v>
      </c>
      <c r="M36" s="188">
        <v>0.35824924927082114</v>
      </c>
      <c r="N36" s="188">
        <v>0.35814548185557843</v>
      </c>
      <c r="O36" s="189">
        <v>0.35804265382315142</v>
      </c>
      <c r="P36" s="188">
        <v>0.35791899285296935</v>
      </c>
      <c r="Q36" s="188">
        <v>0.35777237590264427</v>
      </c>
      <c r="R36" s="188">
        <v>0.35752760929561977</v>
      </c>
      <c r="S36" s="188">
        <v>0.35738735472465949</v>
      </c>
      <c r="T36" s="188">
        <v>0.35723257071842962</v>
      </c>
      <c r="U36" s="188">
        <v>0.35699698372028082</v>
      </c>
      <c r="V36" s="188">
        <v>0.35691222067311607</v>
      </c>
      <c r="W36" s="188">
        <v>0.35681577084094696</v>
      </c>
      <c r="X36" s="188">
        <v>0.35670300540847194</v>
      </c>
      <c r="Y36" s="188">
        <v>0.35657370477224209</v>
      </c>
      <c r="Z36" s="188">
        <v>0.35648497832636633</v>
      </c>
      <c r="AA36" s="189">
        <v>0.35640707486037027</v>
      </c>
      <c r="AB36" s="188">
        <v>0.3562445320883792</v>
      </c>
      <c r="AC36" s="188">
        <v>0.35612974150015603</v>
      </c>
      <c r="AD36" s="188">
        <v>0.356028954017161</v>
      </c>
      <c r="AE36" s="188">
        <v>0.35591817743987952</v>
      </c>
      <c r="AF36" s="188">
        <v>0.35580337195905204</v>
      </c>
      <c r="AG36" s="188">
        <v>0.35570544305997365</v>
      </c>
      <c r="AH36" s="188">
        <v>0.3556177114033911</v>
      </c>
      <c r="AI36" s="188">
        <v>0.35554140632326053</v>
      </c>
      <c r="AJ36" s="188">
        <v>0.35545844984523922</v>
      </c>
      <c r="AK36" s="188">
        <v>0.355369649144267</v>
      </c>
      <c r="AL36" s="188">
        <v>0.35528536270704575</v>
      </c>
      <c r="AM36" s="189">
        <v>0.35520412932077805</v>
      </c>
      <c r="AN36" s="188">
        <v>0.73826884841741014</v>
      </c>
      <c r="AO36" s="188">
        <v>0.73826884841741014</v>
      </c>
      <c r="AP36" s="188">
        <v>0.73826884841741014</v>
      </c>
      <c r="AQ36" s="188">
        <v>0.73826884841741014</v>
      </c>
      <c r="AR36" s="188">
        <v>0.73826884841741014</v>
      </c>
      <c r="AS36" s="188">
        <v>0.73826884841741014</v>
      </c>
      <c r="AT36" s="188">
        <v>0.73826884841741014</v>
      </c>
      <c r="AU36" s="188">
        <v>0.73826884841741014</v>
      </c>
      <c r="AV36" s="188">
        <v>0.73826884841741014</v>
      </c>
      <c r="AW36" s="188">
        <v>0.73826884841741014</v>
      </c>
      <c r="AX36" s="189">
        <v>0.73826884841741014</v>
      </c>
      <c r="AY36" s="188">
        <v>0.73826884841741014</v>
      </c>
      <c r="AZ36" s="188">
        <v>0.73826884841741014</v>
      </c>
      <c r="BA36" s="188">
        <v>0.73826884841741014</v>
      </c>
      <c r="BB36" s="188">
        <v>0.73826884841741014</v>
      </c>
      <c r="BC36" s="188">
        <v>0.73826884841741014</v>
      </c>
      <c r="BD36" s="188">
        <v>0.73826884841741014</v>
      </c>
      <c r="BE36" s="188">
        <v>0.73826884841741014</v>
      </c>
      <c r="BF36" s="188">
        <v>0.73826884841741014</v>
      </c>
      <c r="BG36" s="188">
        <v>0.73826884841741014</v>
      </c>
      <c r="BH36" s="188">
        <v>0.73826884841741014</v>
      </c>
      <c r="BI36" s="188">
        <v>0.73826884841741014</v>
      </c>
      <c r="BJ36" s="189">
        <v>0.73826884841741014</v>
      </c>
    </row>
    <row r="37" spans="1:62" x14ac:dyDescent="0.35">
      <c r="F37" s="155"/>
      <c r="G37" s="155"/>
      <c r="H37" s="155"/>
      <c r="I37" s="155"/>
      <c r="J37" s="155"/>
      <c r="K37" s="155"/>
      <c r="L37" s="155"/>
      <c r="M37" s="155"/>
      <c r="N37" s="155"/>
      <c r="O37" s="155"/>
      <c r="P37" s="155"/>
      <c r="Q37" s="155"/>
      <c r="R37" s="155"/>
      <c r="S37" s="155"/>
      <c r="T37" s="155"/>
      <c r="U37" s="155"/>
      <c r="V37" s="155"/>
      <c r="W37" s="155"/>
    </row>
    <row r="38" spans="1:62" x14ac:dyDescent="0.35">
      <c r="B38" s="1" t="s">
        <v>142</v>
      </c>
      <c r="C38" s="110">
        <f>C3</f>
        <v>45352</v>
      </c>
      <c r="D38" s="111">
        <f>EDATE(C38,1)</f>
        <v>45383</v>
      </c>
      <c r="E38" s="111">
        <f t="shared" ref="E38" si="242">EDATE(D38,1)</f>
        <v>45413</v>
      </c>
      <c r="F38" s="111">
        <f t="shared" ref="F38" si="243">EDATE(E38,1)</f>
        <v>45444</v>
      </c>
      <c r="G38" s="111">
        <f t="shared" ref="G38" si="244">EDATE(F38,1)</f>
        <v>45474</v>
      </c>
      <c r="H38" s="111">
        <f t="shared" ref="H38" si="245">EDATE(G38,1)</f>
        <v>45505</v>
      </c>
      <c r="I38" s="111">
        <f t="shared" ref="I38" si="246">EDATE(H38,1)</f>
        <v>45536</v>
      </c>
      <c r="J38" s="111">
        <f t="shared" ref="J38" si="247">EDATE(I38,1)</f>
        <v>45566</v>
      </c>
      <c r="K38" s="111">
        <f t="shared" ref="K38" si="248">EDATE(J38,1)</f>
        <v>45597</v>
      </c>
      <c r="L38" s="111">
        <f t="shared" ref="L38" si="249">EDATE(K38,1)</f>
        <v>45627</v>
      </c>
      <c r="M38" s="111">
        <f t="shared" ref="M38" si="250">EDATE(L38,1)</f>
        <v>45658</v>
      </c>
      <c r="N38" s="111">
        <f t="shared" ref="N38" si="251">EDATE(M38,1)</f>
        <v>45689</v>
      </c>
      <c r="O38" s="112">
        <f t="shared" ref="O38" si="252">EDATE(N38,1)</f>
        <v>45717</v>
      </c>
      <c r="P38" s="111">
        <f t="shared" ref="P38" si="253">EDATE(O38,1)</f>
        <v>45748</v>
      </c>
      <c r="Q38" s="111">
        <f t="shared" ref="Q38" si="254">EDATE(P38,1)</f>
        <v>45778</v>
      </c>
      <c r="R38" s="111">
        <f t="shared" ref="R38" si="255">EDATE(Q38,1)</f>
        <v>45809</v>
      </c>
      <c r="S38" s="111">
        <f t="shared" ref="S38" si="256">EDATE(R38,1)</f>
        <v>45839</v>
      </c>
      <c r="T38" s="111">
        <f t="shared" ref="T38" si="257">EDATE(S38,1)</f>
        <v>45870</v>
      </c>
      <c r="U38" s="111">
        <f t="shared" ref="U38" si="258">EDATE(T38,1)</f>
        <v>45901</v>
      </c>
      <c r="V38" s="111">
        <f t="shared" ref="V38" si="259">EDATE(U38,1)</f>
        <v>45931</v>
      </c>
      <c r="W38" s="111">
        <f t="shared" ref="W38" si="260">EDATE(V38,1)</f>
        <v>45962</v>
      </c>
      <c r="X38" s="111">
        <f t="shared" ref="X38" si="261">EDATE(W38,1)</f>
        <v>45992</v>
      </c>
      <c r="Y38" s="111">
        <f t="shared" ref="Y38" si="262">EDATE(X38,1)</f>
        <v>46023</v>
      </c>
      <c r="Z38" s="111">
        <f t="shared" ref="Z38" si="263">EDATE(Y38,1)</f>
        <v>46054</v>
      </c>
      <c r="AA38" s="112">
        <f t="shared" ref="AA38" si="264">EDATE(Z38,1)</f>
        <v>46082</v>
      </c>
      <c r="AB38" s="111">
        <f t="shared" ref="AB38" si="265">EDATE(AA38,1)</f>
        <v>46113</v>
      </c>
      <c r="AC38" s="111">
        <f t="shared" ref="AC38" si="266">EDATE(AB38,1)</f>
        <v>46143</v>
      </c>
      <c r="AD38" s="111">
        <f t="shared" ref="AD38" si="267">EDATE(AC38,1)</f>
        <v>46174</v>
      </c>
      <c r="AE38" s="111">
        <f t="shared" ref="AE38" si="268">EDATE(AD38,1)</f>
        <v>46204</v>
      </c>
      <c r="AF38" s="111">
        <f t="shared" ref="AF38" si="269">EDATE(AE38,1)</f>
        <v>46235</v>
      </c>
      <c r="AG38" s="111">
        <f t="shared" ref="AG38" si="270">EDATE(AF38,1)</f>
        <v>46266</v>
      </c>
      <c r="AH38" s="111">
        <f t="shared" ref="AH38" si="271">EDATE(AG38,1)</f>
        <v>46296</v>
      </c>
      <c r="AI38" s="111">
        <f t="shared" ref="AI38" si="272">EDATE(AH38,1)</f>
        <v>46327</v>
      </c>
      <c r="AJ38" s="111">
        <f t="shared" ref="AJ38" si="273">EDATE(AI38,1)</f>
        <v>46357</v>
      </c>
      <c r="AK38" s="111">
        <f t="shared" ref="AK38" si="274">EDATE(AJ38,1)</f>
        <v>46388</v>
      </c>
      <c r="AL38" s="111">
        <f t="shared" ref="AL38" si="275">EDATE(AK38,1)</f>
        <v>46419</v>
      </c>
      <c r="AM38" s="112">
        <f t="shared" ref="AM38" si="276">EDATE(AL38,1)</f>
        <v>46447</v>
      </c>
      <c r="AN38" s="111">
        <f t="shared" ref="AN38" si="277">EDATE(AM38,1)</f>
        <v>46478</v>
      </c>
      <c r="AO38" s="111">
        <f t="shared" ref="AO38" si="278">EDATE(AN38,1)</f>
        <v>46508</v>
      </c>
      <c r="AP38" s="111">
        <f t="shared" ref="AP38" si="279">EDATE(AO38,1)</f>
        <v>46539</v>
      </c>
      <c r="AQ38" s="111">
        <f t="shared" ref="AQ38" si="280">EDATE(AP38,1)</f>
        <v>46569</v>
      </c>
      <c r="AR38" s="111">
        <f t="shared" ref="AR38" si="281">EDATE(AQ38,1)</f>
        <v>46600</v>
      </c>
      <c r="AS38" s="111">
        <f t="shared" ref="AS38" si="282">EDATE(AR38,1)</f>
        <v>46631</v>
      </c>
      <c r="AT38" s="111">
        <f t="shared" ref="AT38" si="283">EDATE(AS38,1)</f>
        <v>46661</v>
      </c>
      <c r="AU38" s="111">
        <f t="shared" ref="AU38" si="284">EDATE(AT38,1)</f>
        <v>46692</v>
      </c>
      <c r="AV38" s="111">
        <f t="shared" ref="AV38" si="285">EDATE(AU38,1)</f>
        <v>46722</v>
      </c>
      <c r="AW38" s="111">
        <f t="shared" ref="AW38" si="286">EDATE(AV38,1)</f>
        <v>46753</v>
      </c>
      <c r="AX38" s="112">
        <f t="shared" ref="AX38" si="287">EDATE(AW38,1)</f>
        <v>46784</v>
      </c>
      <c r="AY38" s="111">
        <f t="shared" ref="AY38" si="288">EDATE(AX38,1)</f>
        <v>46813</v>
      </c>
      <c r="AZ38" s="111">
        <f t="shared" ref="AZ38" si="289">EDATE(AY38,1)</f>
        <v>46844</v>
      </c>
      <c r="BA38" s="111">
        <f t="shared" ref="BA38" si="290">EDATE(AZ38,1)</f>
        <v>46874</v>
      </c>
      <c r="BB38" s="111">
        <f t="shared" ref="BB38" si="291">EDATE(BA38,1)</f>
        <v>46905</v>
      </c>
      <c r="BC38" s="111">
        <f t="shared" ref="BC38" si="292">EDATE(BB38,1)</f>
        <v>46935</v>
      </c>
      <c r="BD38" s="111">
        <f t="shared" ref="BD38" si="293">EDATE(BC38,1)</f>
        <v>46966</v>
      </c>
      <c r="BE38" s="111">
        <f t="shared" ref="BE38" si="294">EDATE(BD38,1)</f>
        <v>46997</v>
      </c>
      <c r="BF38" s="111">
        <f t="shared" ref="BF38" si="295">EDATE(BE38,1)</f>
        <v>47027</v>
      </c>
      <c r="BG38" s="111">
        <f t="shared" ref="BG38" si="296">EDATE(BF38,1)</f>
        <v>47058</v>
      </c>
      <c r="BH38" s="111">
        <f t="shared" ref="BH38" si="297">EDATE(BG38,1)</f>
        <v>47088</v>
      </c>
      <c r="BI38" s="111">
        <f t="shared" ref="BI38" si="298">EDATE(BH38,1)</f>
        <v>47119</v>
      </c>
      <c r="BJ38" s="112">
        <f>EDATE(BI38,1)</f>
        <v>47150</v>
      </c>
    </row>
    <row r="39" spans="1:62" x14ac:dyDescent="0.35">
      <c r="A39" s="168"/>
      <c r="B39" s="1" t="s">
        <v>51</v>
      </c>
      <c r="C39" s="190">
        <f>C34*'Calculation - Stage dist'!F18</f>
        <v>7.816035982436513E-3</v>
      </c>
      <c r="D39" s="191">
        <f>D34</f>
        <v>7.7655450124080854E-3</v>
      </c>
      <c r="E39" s="191">
        <f t="shared" ref="E39:F39" si="299">E34</f>
        <v>7.7076729572053632E-3</v>
      </c>
      <c r="F39" s="199">
        <f t="shared" si="299"/>
        <v>7.9082747960389083E-3</v>
      </c>
      <c r="G39" s="191">
        <f>G34*'Calculation - Stage dist'!J18</f>
        <v>8.0434382622352925E-3</v>
      </c>
      <c r="H39" s="191">
        <f>H34*'Calculation - Stage dist'!K18</f>
        <v>7.9793092337354168E-3</v>
      </c>
      <c r="I39" s="191">
        <f>I34*'Calculation - Stage dist'!L18</f>
        <v>8.1780042237709506E-3</v>
      </c>
      <c r="J39" s="191">
        <f>J34*'Calculation - Stage dist'!M18</f>
        <v>8.0795293351985913E-3</v>
      </c>
      <c r="K39" s="191">
        <f>K34*'Calculation - Stage dist'!N18</f>
        <v>8.0193160475045423E-3</v>
      </c>
      <c r="L39" s="191">
        <f>L34*'Calculation - Stage dist'!O18</f>
        <v>8.3110053526015259E-3</v>
      </c>
      <c r="M39" s="191">
        <f>M34*'Calculation - Stage dist'!P18</f>
        <v>8.2049761100079152E-3</v>
      </c>
      <c r="N39" s="191">
        <f>N34*'Calculation - Stage dist'!Q18</f>
        <v>8.4798206981808455E-3</v>
      </c>
      <c r="O39" s="192">
        <f>O34*'Calculation - Stage dist'!R18</f>
        <v>7.9787082797306581E-3</v>
      </c>
      <c r="P39" s="191">
        <f>P34*'Calculation - Stage dist'!S18</f>
        <v>8.1358162791989909E-3</v>
      </c>
      <c r="Q39" s="191">
        <f>Q34*'Calculation - Stage dist'!T18</f>
        <v>8.283208078752784E-3</v>
      </c>
      <c r="R39" s="191">
        <f>R34*'Calculation - Stage dist'!U18</f>
        <v>8.6383873461678504E-3</v>
      </c>
      <c r="S39" s="191">
        <f>S34*'Calculation - Stage dist'!V18</f>
        <v>8.6934761929036864E-3</v>
      </c>
      <c r="T39" s="191">
        <f>T34*'Calculation - Stage dist'!W18</f>
        <v>8.7668813453506793E-3</v>
      </c>
      <c r="U39" s="191">
        <f>U34*'Calculation - Stage dist'!X18</f>
        <v>9.087233733478587E-3</v>
      </c>
      <c r="V39" s="191">
        <f>V34*'Calculation - Stage dist'!Y18</f>
        <v>8.7158861205130396E-3</v>
      </c>
      <c r="W39" s="191">
        <f>W34*'Calculation - Stage dist'!Z18</f>
        <v>8.3880238940861693E-3</v>
      </c>
      <c r="X39" s="191">
        <f>X34*'Calculation - Stage dist'!AA18</f>
        <v>8.2903654495948553E-3</v>
      </c>
      <c r="Y39" s="191">
        <f>Y34*'Calculation - Stage dist'!AB18</f>
        <v>7.9578758503658642E-3</v>
      </c>
      <c r="Z39" s="191">
        <f>Z34*'Calculation - Stage dist'!AC18</f>
        <v>7.8496762580556774E-3</v>
      </c>
      <c r="AA39" s="192">
        <f>AA34*'Calculation - Stage dist'!AD18</f>
        <v>7.5273108287202658E-3</v>
      </c>
      <c r="AB39" s="191">
        <f>AB34*'Calculation - Stage dist'!AE18</f>
        <v>7.3541860178989388E-3</v>
      </c>
      <c r="AC39" s="191">
        <f>AC34*'Calculation - Stage dist'!AF18</f>
        <v>7.1657694471178156E-3</v>
      </c>
      <c r="AD39" s="191">
        <f>AD34*'Calculation - Stage dist'!AG18</f>
        <v>7.1166608819772789E-3</v>
      </c>
      <c r="AE39" s="191">
        <f>AE34*'Calculation - Stage dist'!AH18</f>
        <v>6.8513932952545386E-3</v>
      </c>
      <c r="AF39" s="191">
        <f>AF34*'Calculation - Stage dist'!AI18</f>
        <v>6.7140045144594967E-3</v>
      </c>
      <c r="AG39" s="191">
        <f>AG34*'Calculation - Stage dist'!AJ18</f>
        <v>6.8055533582100395E-3</v>
      </c>
      <c r="AH39" s="191">
        <f>AG39-($AG$39-$AM$39)/6</f>
        <v>6.7624232908606568E-3</v>
      </c>
      <c r="AI39" s="191">
        <f t="shared" ref="AI39:AL39" si="300">AH39-($AG$39-$AM$39)/6</f>
        <v>6.719293223511274E-3</v>
      </c>
      <c r="AJ39" s="191">
        <f t="shared" si="300"/>
        <v>6.6761631561618913E-3</v>
      </c>
      <c r="AK39" s="191">
        <f t="shared" si="300"/>
        <v>6.6330330888125085E-3</v>
      </c>
      <c r="AL39" s="191">
        <f t="shared" si="300"/>
        <v>6.5899030214631258E-3</v>
      </c>
      <c r="AM39" s="192">
        <f>AM34*'Calculation - Stage dist'!AP18</f>
        <v>6.5467729541137431E-3</v>
      </c>
      <c r="AN39" s="191">
        <f>AN34*'Calculation - Stage dist'!AQ18</f>
        <v>3.1366550930343455E-2</v>
      </c>
      <c r="AO39" s="191">
        <f>AO34*'Calculation - Stage dist'!AR18</f>
        <v>3.1366550930343455E-2</v>
      </c>
      <c r="AP39" s="191">
        <f>AP34*'Calculation - Stage dist'!AS18</f>
        <v>3.1366550930343455E-2</v>
      </c>
      <c r="AQ39" s="191">
        <f>AQ34*'Calculation - Stage dist'!AT18</f>
        <v>3.1366550930343455E-2</v>
      </c>
      <c r="AR39" s="191">
        <f>AR34*'Calculation - Stage dist'!AU18</f>
        <v>3.1366550930343455E-2</v>
      </c>
      <c r="AS39" s="191">
        <f>AS34*'Calculation - Stage dist'!AV18</f>
        <v>3.1366550930343455E-2</v>
      </c>
      <c r="AT39" s="191">
        <f>AT34*'Calculation - Stage dist'!AW18</f>
        <v>3.1366550930343455E-2</v>
      </c>
      <c r="AU39" s="191">
        <f>AU34*'Calculation - Stage dist'!AX18</f>
        <v>3.1366550930343455E-2</v>
      </c>
      <c r="AV39" s="191">
        <f>AV34*'Calculation - Stage dist'!AY18</f>
        <v>3.1366550930343455E-2</v>
      </c>
      <c r="AW39" s="191">
        <f>AW34*'Calculation - Stage dist'!AZ18</f>
        <v>3.1366550930343455E-2</v>
      </c>
      <c r="AX39" s="192">
        <f>AX34*'Calculation - Stage dist'!BA18</f>
        <v>3.1366550930343455E-2</v>
      </c>
      <c r="AY39" s="191">
        <f>AY34*'Calculation - Stage dist'!BB18</f>
        <v>3.1366550930343455E-2</v>
      </c>
      <c r="AZ39" s="191">
        <f>AZ34*'Calculation - Stage dist'!BC18</f>
        <v>3.1366550930343455E-2</v>
      </c>
      <c r="BA39" s="191">
        <f>BA34*'Calculation - Stage dist'!BD18</f>
        <v>3.1366550930343455E-2</v>
      </c>
      <c r="BB39" s="191">
        <f>BB34*'Calculation - Stage dist'!BE18</f>
        <v>3.1366550930343455E-2</v>
      </c>
      <c r="BC39" s="191">
        <f>BC34*'Calculation - Stage dist'!BF18</f>
        <v>3.1366550930343455E-2</v>
      </c>
      <c r="BD39" s="191">
        <f>BD34*'Calculation - Stage dist'!BG18</f>
        <v>3.1366550930343455E-2</v>
      </c>
      <c r="BE39" s="191">
        <f>BE34*'Calculation - Stage dist'!BH18</f>
        <v>3.1366550930343455E-2</v>
      </c>
      <c r="BF39" s="191">
        <f>BF34*'Calculation - Stage dist'!BI18</f>
        <v>3.1366550930343455E-2</v>
      </c>
      <c r="BG39" s="191">
        <f>BG34*'Calculation - Stage dist'!BJ18</f>
        <v>3.1366550930343455E-2</v>
      </c>
      <c r="BH39" s="191">
        <f>BH34*'Calculation - Stage dist'!BK18</f>
        <v>3.1366550930343455E-2</v>
      </c>
      <c r="BI39" s="191">
        <f>BI34*'Calculation - Stage dist'!BL18</f>
        <v>3.1366550930343455E-2</v>
      </c>
      <c r="BJ39" s="192">
        <f>BJ34*'Calculation - Stage dist'!BM18</f>
        <v>3.1366550930343455E-2</v>
      </c>
    </row>
    <row r="40" spans="1:62" x14ac:dyDescent="0.35">
      <c r="B40" s="2" t="s">
        <v>52</v>
      </c>
      <c r="C40" s="193">
        <f>C35</f>
        <v>0.16132764096285721</v>
      </c>
      <c r="D40" s="194">
        <f t="shared" ref="D40:F40" si="301">D35</f>
        <v>0.16148458850406724</v>
      </c>
      <c r="E40" s="194">
        <f t="shared" si="301"/>
        <v>0.16167150328414334</v>
      </c>
      <c r="F40" s="194">
        <f t="shared" si="301"/>
        <v>0.16164760667667966</v>
      </c>
      <c r="G40" s="194">
        <f t="shared" ref="G40:BJ40" si="302">G35</f>
        <v>0.16161674820878358</v>
      </c>
      <c r="H40" s="194">
        <f t="shared" si="302"/>
        <v>0.16150169460430291</v>
      </c>
      <c r="I40" s="194">
        <f t="shared" si="302"/>
        <v>0.16136415681158983</v>
      </c>
      <c r="J40" s="194">
        <f t="shared" si="302"/>
        <v>0.16121198813955487</v>
      </c>
      <c r="K40" s="194">
        <f t="shared" si="302"/>
        <v>0.16106902410595467</v>
      </c>
      <c r="L40" s="194">
        <f t="shared" si="302"/>
        <v>0.16091475791749749</v>
      </c>
      <c r="M40" s="194">
        <f t="shared" si="302"/>
        <v>0.16073439786304236</v>
      </c>
      <c r="N40" s="194">
        <f t="shared" si="302"/>
        <v>0.16055882839308691</v>
      </c>
      <c r="O40" s="195">
        <f t="shared" si="302"/>
        <v>0.15497634903975685</v>
      </c>
      <c r="P40" s="194">
        <f t="shared" si="302"/>
        <v>0.15449134888207797</v>
      </c>
      <c r="Q40" s="194">
        <f t="shared" si="302"/>
        <v>0.15412786234245163</v>
      </c>
      <c r="R40" s="194">
        <f t="shared" si="302"/>
        <v>0.15378031314701943</v>
      </c>
      <c r="S40" s="194">
        <f t="shared" si="302"/>
        <v>0.15359767794009654</v>
      </c>
      <c r="T40" s="194">
        <f t="shared" si="302"/>
        <v>0.15342702851080597</v>
      </c>
      <c r="U40" s="194">
        <f t="shared" si="302"/>
        <v>0.15326348592464037</v>
      </c>
      <c r="V40" s="194">
        <f t="shared" si="302"/>
        <v>0.15317046531728751</v>
      </c>
      <c r="W40" s="194">
        <f t="shared" si="302"/>
        <v>0.15308422438009878</v>
      </c>
      <c r="X40" s="194">
        <f t="shared" si="302"/>
        <v>0.15299158708801822</v>
      </c>
      <c r="Y40" s="194">
        <f t="shared" si="302"/>
        <v>0.15289267461641834</v>
      </c>
      <c r="Z40" s="194">
        <f t="shared" si="302"/>
        <v>0.15275858260842171</v>
      </c>
      <c r="AA40" s="195">
        <f t="shared" si="302"/>
        <v>0.15258725370612022</v>
      </c>
      <c r="AB40" s="194">
        <f t="shared" si="302"/>
        <v>0.15217489466470113</v>
      </c>
      <c r="AC40" s="194">
        <f t="shared" si="302"/>
        <v>0.15186060002362425</v>
      </c>
      <c r="AD40" s="194">
        <f t="shared" si="302"/>
        <v>0.15157552274612648</v>
      </c>
      <c r="AE40" s="194">
        <f t="shared" si="302"/>
        <v>0.15145361655043663</v>
      </c>
      <c r="AF40" s="194">
        <f t="shared" si="302"/>
        <v>0.1513498159176605</v>
      </c>
      <c r="AG40" s="194">
        <f t="shared" si="302"/>
        <v>0.15125410473701839</v>
      </c>
      <c r="AH40" s="194">
        <f t="shared" si="302"/>
        <v>0.15121971969668013</v>
      </c>
      <c r="AI40" s="194">
        <f t="shared" si="302"/>
        <v>0.15119377392589084</v>
      </c>
      <c r="AJ40" s="194">
        <f t="shared" si="302"/>
        <v>0.1511608650886849</v>
      </c>
      <c r="AK40" s="194">
        <f t="shared" si="302"/>
        <v>0.15111756443449642</v>
      </c>
      <c r="AL40" s="194">
        <f t="shared" si="302"/>
        <v>0.15103348264301539</v>
      </c>
      <c r="AM40" s="195">
        <f t="shared" si="302"/>
        <v>0.15091264357197251</v>
      </c>
      <c r="AN40" s="194">
        <f t="shared" si="302"/>
        <v>0.41828286788706864</v>
      </c>
      <c r="AO40" s="194">
        <f t="shared" si="302"/>
        <v>0.41828286788706864</v>
      </c>
      <c r="AP40" s="194">
        <f t="shared" si="302"/>
        <v>0.41828286788706864</v>
      </c>
      <c r="AQ40" s="194">
        <f t="shared" si="302"/>
        <v>0.41828286788706864</v>
      </c>
      <c r="AR40" s="194">
        <f t="shared" si="302"/>
        <v>0.41828286788706864</v>
      </c>
      <c r="AS40" s="194">
        <f t="shared" si="302"/>
        <v>0.41828286788706864</v>
      </c>
      <c r="AT40" s="194">
        <f t="shared" si="302"/>
        <v>0.41828286788706864</v>
      </c>
      <c r="AU40" s="194">
        <f t="shared" si="302"/>
        <v>0.41828286788706864</v>
      </c>
      <c r="AV40" s="194">
        <f t="shared" si="302"/>
        <v>0.41828286788706864</v>
      </c>
      <c r="AW40" s="194">
        <f t="shared" si="302"/>
        <v>0.41828286788706864</v>
      </c>
      <c r="AX40" s="195">
        <f t="shared" si="302"/>
        <v>0.41828286788706864</v>
      </c>
      <c r="AY40" s="194">
        <f t="shared" si="302"/>
        <v>0.41828286788706864</v>
      </c>
      <c r="AZ40" s="194">
        <f t="shared" si="302"/>
        <v>0.41828286788706864</v>
      </c>
      <c r="BA40" s="194">
        <f t="shared" si="302"/>
        <v>0.41828286788706864</v>
      </c>
      <c r="BB40" s="194">
        <f t="shared" si="302"/>
        <v>0.41828286788706864</v>
      </c>
      <c r="BC40" s="194">
        <f t="shared" si="302"/>
        <v>0.41828286788706864</v>
      </c>
      <c r="BD40" s="194">
        <f t="shared" si="302"/>
        <v>0.41828286788706864</v>
      </c>
      <c r="BE40" s="194">
        <f t="shared" si="302"/>
        <v>0.41828286788706864</v>
      </c>
      <c r="BF40" s="194">
        <f t="shared" si="302"/>
        <v>0.41828286788706864</v>
      </c>
      <c r="BG40" s="194">
        <f t="shared" si="302"/>
        <v>0.41828286788706864</v>
      </c>
      <c r="BH40" s="194">
        <f t="shared" si="302"/>
        <v>0.41828286788706864</v>
      </c>
      <c r="BI40" s="194">
        <f t="shared" si="302"/>
        <v>0.41828286788706864</v>
      </c>
      <c r="BJ40" s="195">
        <f t="shared" si="302"/>
        <v>0.41828286788706864</v>
      </c>
    </row>
    <row r="41" spans="1:62" x14ac:dyDescent="0.35">
      <c r="B41" s="3" t="s">
        <v>53</v>
      </c>
      <c r="C41" s="196">
        <f t="shared" ref="C41:BJ41" si="303">C36</f>
        <v>0.35944444845563883</v>
      </c>
      <c r="D41" s="197">
        <f t="shared" si="303"/>
        <v>0.35944712692243563</v>
      </c>
      <c r="E41" s="197">
        <f t="shared" si="303"/>
        <v>0.35938680479730739</v>
      </c>
      <c r="F41" s="197">
        <f t="shared" si="303"/>
        <v>0.35929160482239941</v>
      </c>
      <c r="G41" s="197">
        <f t="shared" si="303"/>
        <v>0.35919656959565888</v>
      </c>
      <c r="H41" s="197">
        <f t="shared" si="303"/>
        <v>0.35911775080850233</v>
      </c>
      <c r="I41" s="197">
        <f t="shared" si="303"/>
        <v>0.35897823836803588</v>
      </c>
      <c r="J41" s="197">
        <f t="shared" si="303"/>
        <v>0.35889278031128846</v>
      </c>
      <c r="K41" s="197">
        <f t="shared" si="303"/>
        <v>0.35880832838786164</v>
      </c>
      <c r="L41" s="197">
        <f t="shared" si="303"/>
        <v>0.35859679538541445</v>
      </c>
      <c r="M41" s="197">
        <f t="shared" si="303"/>
        <v>0.35824924927082114</v>
      </c>
      <c r="N41" s="197">
        <f t="shared" si="303"/>
        <v>0.35814548185557843</v>
      </c>
      <c r="O41" s="198">
        <f t="shared" si="303"/>
        <v>0.35804265382315142</v>
      </c>
      <c r="P41" s="197">
        <f t="shared" si="303"/>
        <v>0.35791899285296935</v>
      </c>
      <c r="Q41" s="197">
        <f t="shared" si="303"/>
        <v>0.35777237590264427</v>
      </c>
      <c r="R41" s="197">
        <f t="shared" si="303"/>
        <v>0.35752760929561977</v>
      </c>
      <c r="S41" s="197">
        <f t="shared" si="303"/>
        <v>0.35738735472465949</v>
      </c>
      <c r="T41" s="197">
        <f t="shared" si="303"/>
        <v>0.35723257071842962</v>
      </c>
      <c r="U41" s="197">
        <f t="shared" si="303"/>
        <v>0.35699698372028082</v>
      </c>
      <c r="V41" s="197">
        <f t="shared" si="303"/>
        <v>0.35691222067311607</v>
      </c>
      <c r="W41" s="197">
        <f t="shared" si="303"/>
        <v>0.35681577084094696</v>
      </c>
      <c r="X41" s="197">
        <f t="shared" si="303"/>
        <v>0.35670300540847194</v>
      </c>
      <c r="Y41" s="197">
        <f t="shared" si="303"/>
        <v>0.35657370477224209</v>
      </c>
      <c r="Z41" s="197">
        <f t="shared" si="303"/>
        <v>0.35648497832636633</v>
      </c>
      <c r="AA41" s="198">
        <f t="shared" si="303"/>
        <v>0.35640707486037027</v>
      </c>
      <c r="AB41" s="197">
        <f t="shared" si="303"/>
        <v>0.3562445320883792</v>
      </c>
      <c r="AC41" s="197">
        <f t="shared" si="303"/>
        <v>0.35612974150015603</v>
      </c>
      <c r="AD41" s="197">
        <f t="shared" si="303"/>
        <v>0.356028954017161</v>
      </c>
      <c r="AE41" s="197">
        <f t="shared" si="303"/>
        <v>0.35591817743987952</v>
      </c>
      <c r="AF41" s="197">
        <f t="shared" si="303"/>
        <v>0.35580337195905204</v>
      </c>
      <c r="AG41" s="197">
        <f t="shared" si="303"/>
        <v>0.35570544305997365</v>
      </c>
      <c r="AH41" s="197">
        <f t="shared" si="303"/>
        <v>0.3556177114033911</v>
      </c>
      <c r="AI41" s="197">
        <f t="shared" si="303"/>
        <v>0.35554140632326053</v>
      </c>
      <c r="AJ41" s="197">
        <f t="shared" si="303"/>
        <v>0.35545844984523922</v>
      </c>
      <c r="AK41" s="197">
        <f t="shared" si="303"/>
        <v>0.355369649144267</v>
      </c>
      <c r="AL41" s="197">
        <f t="shared" si="303"/>
        <v>0.35528536270704575</v>
      </c>
      <c r="AM41" s="198">
        <f t="shared" si="303"/>
        <v>0.35520412932077805</v>
      </c>
      <c r="AN41" s="197">
        <f t="shared" si="303"/>
        <v>0.73826884841741014</v>
      </c>
      <c r="AO41" s="197">
        <f t="shared" si="303"/>
        <v>0.73826884841741014</v>
      </c>
      <c r="AP41" s="197">
        <f t="shared" si="303"/>
        <v>0.73826884841741014</v>
      </c>
      <c r="AQ41" s="197">
        <f t="shared" si="303"/>
        <v>0.73826884841741014</v>
      </c>
      <c r="AR41" s="197">
        <f t="shared" si="303"/>
        <v>0.73826884841741014</v>
      </c>
      <c r="AS41" s="197">
        <f t="shared" si="303"/>
        <v>0.73826884841741014</v>
      </c>
      <c r="AT41" s="197">
        <f t="shared" si="303"/>
        <v>0.73826884841741014</v>
      </c>
      <c r="AU41" s="197">
        <f t="shared" si="303"/>
        <v>0.73826884841741014</v>
      </c>
      <c r="AV41" s="197">
        <f t="shared" si="303"/>
        <v>0.73826884841741014</v>
      </c>
      <c r="AW41" s="197">
        <f t="shared" si="303"/>
        <v>0.73826884841741014</v>
      </c>
      <c r="AX41" s="198">
        <f t="shared" si="303"/>
        <v>0.73826884841741014</v>
      </c>
      <c r="AY41" s="197">
        <f t="shared" si="303"/>
        <v>0.73826884841741014</v>
      </c>
      <c r="AZ41" s="197">
        <f t="shared" si="303"/>
        <v>0.73826884841741014</v>
      </c>
      <c r="BA41" s="197">
        <f t="shared" si="303"/>
        <v>0.73826884841741014</v>
      </c>
      <c r="BB41" s="197">
        <f t="shared" si="303"/>
        <v>0.73826884841741014</v>
      </c>
      <c r="BC41" s="197">
        <f t="shared" si="303"/>
        <v>0.73826884841741014</v>
      </c>
      <c r="BD41" s="197">
        <f t="shared" si="303"/>
        <v>0.73826884841741014</v>
      </c>
      <c r="BE41" s="197">
        <f t="shared" si="303"/>
        <v>0.73826884841741014</v>
      </c>
      <c r="BF41" s="197">
        <f t="shared" si="303"/>
        <v>0.73826884841741014</v>
      </c>
      <c r="BG41" s="197">
        <f t="shared" si="303"/>
        <v>0.73826884841741014</v>
      </c>
      <c r="BH41" s="197">
        <f t="shared" si="303"/>
        <v>0.73826884841741014</v>
      </c>
      <c r="BI41" s="197">
        <f t="shared" si="303"/>
        <v>0.73826884841741014</v>
      </c>
      <c r="BJ41" s="198">
        <f t="shared" si="303"/>
        <v>0.73826884841741014</v>
      </c>
    </row>
    <row r="42" spans="1:62" x14ac:dyDescent="0.35">
      <c r="F42" s="179"/>
      <c r="G42" s="179"/>
      <c r="H42" s="179"/>
      <c r="I42" s="179"/>
      <c r="J42" s="179"/>
      <c r="K42" s="179"/>
      <c r="L42" s="179"/>
      <c r="M42" s="179"/>
      <c r="N42" s="179"/>
      <c r="O42" s="179"/>
      <c r="P42" s="179"/>
      <c r="Q42" s="179"/>
      <c r="R42" s="179"/>
      <c r="S42" s="179"/>
      <c r="T42" s="179"/>
      <c r="U42" s="179"/>
      <c r="V42" s="179"/>
      <c r="W42" s="179"/>
      <c r="X42" s="179"/>
    </row>
    <row r="43" spans="1:62" x14ac:dyDescent="0.35">
      <c r="B43" s="1" t="s">
        <v>145</v>
      </c>
      <c r="C43" s="110">
        <f>$C$3</f>
        <v>45352</v>
      </c>
      <c r="D43" s="111">
        <f>EDATE(C43,1)</f>
        <v>45383</v>
      </c>
      <c r="E43" s="111">
        <f t="shared" ref="E43" si="304">EDATE(D43,1)</f>
        <v>45413</v>
      </c>
      <c r="F43" s="111">
        <f t="shared" ref="F43" si="305">EDATE(E43,1)</f>
        <v>45444</v>
      </c>
      <c r="G43" s="111">
        <f t="shared" ref="G43" si="306">EDATE(F43,1)</f>
        <v>45474</v>
      </c>
      <c r="H43" s="111">
        <f t="shared" ref="H43" si="307">EDATE(G43,1)</f>
        <v>45505</v>
      </c>
      <c r="I43" s="111">
        <f t="shared" ref="I43" si="308">EDATE(H43,1)</f>
        <v>45536</v>
      </c>
      <c r="J43" s="111">
        <f t="shared" ref="J43" si="309">EDATE(I43,1)</f>
        <v>45566</v>
      </c>
      <c r="K43" s="111">
        <f t="shared" ref="K43" si="310">EDATE(J43,1)</f>
        <v>45597</v>
      </c>
      <c r="L43" s="111">
        <f t="shared" ref="L43" si="311">EDATE(K43,1)</f>
        <v>45627</v>
      </c>
      <c r="M43" s="111">
        <f t="shared" ref="M43" si="312">EDATE(L43,1)</f>
        <v>45658</v>
      </c>
      <c r="N43" s="111">
        <f t="shared" ref="N43" si="313">EDATE(M43,1)</f>
        <v>45689</v>
      </c>
      <c r="O43" s="112">
        <f t="shared" ref="O43" si="314">EDATE(N43,1)</f>
        <v>45717</v>
      </c>
      <c r="P43" s="111">
        <f t="shared" ref="P43" si="315">EDATE(O43,1)</f>
        <v>45748</v>
      </c>
      <c r="Q43" s="111">
        <f t="shared" ref="Q43" si="316">EDATE(P43,1)</f>
        <v>45778</v>
      </c>
      <c r="R43" s="111">
        <f t="shared" ref="R43" si="317">EDATE(Q43,1)</f>
        <v>45809</v>
      </c>
      <c r="S43" s="111">
        <f t="shared" ref="S43" si="318">EDATE(R43,1)</f>
        <v>45839</v>
      </c>
      <c r="T43" s="111">
        <f t="shared" ref="T43" si="319">EDATE(S43,1)</f>
        <v>45870</v>
      </c>
      <c r="U43" s="111">
        <f t="shared" ref="U43" si="320">EDATE(T43,1)</f>
        <v>45901</v>
      </c>
      <c r="V43" s="111">
        <f t="shared" ref="V43" si="321">EDATE(U43,1)</f>
        <v>45931</v>
      </c>
      <c r="W43" s="111">
        <f t="shared" ref="W43" si="322">EDATE(V43,1)</f>
        <v>45962</v>
      </c>
      <c r="X43" s="111">
        <f t="shared" ref="X43" si="323">EDATE(W43,1)</f>
        <v>45992</v>
      </c>
      <c r="Y43" s="111">
        <f t="shared" ref="Y43" si="324">EDATE(X43,1)</f>
        <v>46023</v>
      </c>
      <c r="Z43" s="111">
        <f t="shared" ref="Z43" si="325">EDATE(Y43,1)</f>
        <v>46054</v>
      </c>
      <c r="AA43" s="112">
        <f t="shared" ref="AA43" si="326">EDATE(Z43,1)</f>
        <v>46082</v>
      </c>
      <c r="AB43" s="111">
        <f t="shared" ref="AB43" si="327">EDATE(AA43,1)</f>
        <v>46113</v>
      </c>
      <c r="AC43" s="111">
        <f t="shared" ref="AC43" si="328">EDATE(AB43,1)</f>
        <v>46143</v>
      </c>
      <c r="AD43" s="111">
        <f t="shared" ref="AD43" si="329">EDATE(AC43,1)</f>
        <v>46174</v>
      </c>
      <c r="AE43" s="111">
        <f t="shared" ref="AE43" si="330">EDATE(AD43,1)</f>
        <v>46204</v>
      </c>
      <c r="AF43" s="111">
        <f t="shared" ref="AF43" si="331">EDATE(AE43,1)</f>
        <v>46235</v>
      </c>
      <c r="AG43" s="111">
        <f t="shared" ref="AG43" si="332">EDATE(AF43,1)</f>
        <v>46266</v>
      </c>
      <c r="AH43" s="111">
        <f t="shared" ref="AH43" si="333">EDATE(AG43,1)</f>
        <v>46296</v>
      </c>
      <c r="AI43" s="111">
        <f t="shared" ref="AI43" si="334">EDATE(AH43,1)</f>
        <v>46327</v>
      </c>
      <c r="AJ43" s="111">
        <f t="shared" ref="AJ43" si="335">EDATE(AI43,1)</f>
        <v>46357</v>
      </c>
      <c r="AK43" s="111">
        <f t="shared" ref="AK43" si="336">EDATE(AJ43,1)</f>
        <v>46388</v>
      </c>
      <c r="AL43" s="111">
        <f t="shared" ref="AL43" si="337">EDATE(AK43,1)</f>
        <v>46419</v>
      </c>
      <c r="AM43" s="112">
        <f t="shared" ref="AM43" si="338">EDATE(AL43,1)</f>
        <v>46447</v>
      </c>
      <c r="AN43" s="111">
        <f t="shared" ref="AN43" si="339">EDATE(AM43,1)</f>
        <v>46478</v>
      </c>
      <c r="AO43" s="111">
        <f t="shared" ref="AO43" si="340">EDATE(AN43,1)</f>
        <v>46508</v>
      </c>
      <c r="AP43" s="111">
        <f t="shared" ref="AP43" si="341">EDATE(AO43,1)</f>
        <v>46539</v>
      </c>
      <c r="AQ43" s="111">
        <f t="shared" ref="AQ43" si="342">EDATE(AP43,1)</f>
        <v>46569</v>
      </c>
      <c r="AR43" s="111">
        <f t="shared" ref="AR43" si="343">EDATE(AQ43,1)</f>
        <v>46600</v>
      </c>
      <c r="AS43" s="111">
        <f t="shared" ref="AS43" si="344">EDATE(AR43,1)</f>
        <v>46631</v>
      </c>
      <c r="AT43" s="111">
        <f t="shared" ref="AT43" si="345">EDATE(AS43,1)</f>
        <v>46661</v>
      </c>
      <c r="AU43" s="111">
        <f t="shared" ref="AU43" si="346">EDATE(AT43,1)</f>
        <v>46692</v>
      </c>
      <c r="AV43" s="111">
        <f t="shared" ref="AV43" si="347">EDATE(AU43,1)</f>
        <v>46722</v>
      </c>
      <c r="AW43" s="111">
        <f t="shared" ref="AW43" si="348">EDATE(AV43,1)</f>
        <v>46753</v>
      </c>
      <c r="AX43" s="112">
        <f t="shared" ref="AX43" si="349">EDATE(AW43,1)</f>
        <v>46784</v>
      </c>
      <c r="AY43" s="111">
        <f t="shared" ref="AY43" si="350">EDATE(AX43,1)</f>
        <v>46813</v>
      </c>
      <c r="AZ43" s="111">
        <f t="shared" ref="AZ43" si="351">EDATE(AY43,1)</f>
        <v>46844</v>
      </c>
      <c r="BA43" s="111">
        <f t="shared" ref="BA43" si="352">EDATE(AZ43,1)</f>
        <v>46874</v>
      </c>
      <c r="BB43" s="111">
        <f t="shared" ref="BB43" si="353">EDATE(BA43,1)</f>
        <v>46905</v>
      </c>
      <c r="BC43" s="111">
        <f t="shared" ref="BC43" si="354">EDATE(BB43,1)</f>
        <v>46935</v>
      </c>
      <c r="BD43" s="111">
        <f t="shared" ref="BD43" si="355">EDATE(BC43,1)</f>
        <v>46966</v>
      </c>
      <c r="BE43" s="111">
        <f t="shared" ref="BE43" si="356">EDATE(BD43,1)</f>
        <v>46997</v>
      </c>
      <c r="BF43" s="111">
        <f t="shared" ref="BF43" si="357">EDATE(BE43,1)</f>
        <v>47027</v>
      </c>
      <c r="BG43" s="111">
        <f t="shared" ref="BG43" si="358">EDATE(BF43,1)</f>
        <v>47058</v>
      </c>
      <c r="BH43" s="111">
        <f t="shared" ref="BH43" si="359">EDATE(BG43,1)</f>
        <v>47088</v>
      </c>
      <c r="BI43" s="111">
        <f t="shared" ref="BI43" si="360">EDATE(BH43,1)</f>
        <v>47119</v>
      </c>
      <c r="BJ43" s="112">
        <f>EDATE(BI43,1)</f>
        <v>47150</v>
      </c>
    </row>
    <row r="44" spans="1:62" x14ac:dyDescent="0.35">
      <c r="B44" s="1" t="s">
        <v>51</v>
      </c>
      <c r="C44" s="200">
        <f>C39*C28</f>
        <v>138.70310586465837</v>
      </c>
      <c r="D44" s="201">
        <f t="shared" ref="D44:BJ44" si="361">D39*D28</f>
        <v>143.92544146346128</v>
      </c>
      <c r="E44" s="201">
        <f t="shared" si="361"/>
        <v>146.79617395804959</v>
      </c>
      <c r="F44" s="201">
        <f t="shared" si="361"/>
        <v>154.74335120955587</v>
      </c>
      <c r="G44" s="201">
        <f t="shared" si="361"/>
        <v>161.54213126436338</v>
      </c>
      <c r="H44" s="201">
        <f t="shared" si="361"/>
        <v>164.54413314871982</v>
      </c>
      <c r="I44" s="201">
        <f t="shared" si="361"/>
        <v>158.56929367746798</v>
      </c>
      <c r="J44" s="201">
        <f t="shared" si="361"/>
        <v>160.02294675557215</v>
      </c>
      <c r="K44" s="201">
        <f t="shared" si="361"/>
        <v>162.59109574572938</v>
      </c>
      <c r="L44" s="201">
        <f t="shared" si="361"/>
        <v>150.22861811353357</v>
      </c>
      <c r="M44" s="201">
        <f t="shared" si="361"/>
        <v>152.24177030546682</v>
      </c>
      <c r="N44" s="201">
        <f t="shared" si="361"/>
        <v>138.93828927313481</v>
      </c>
      <c r="O44" s="202">
        <f t="shared" si="361"/>
        <v>135.09505771950896</v>
      </c>
      <c r="P44" s="201">
        <f t="shared" si="361"/>
        <v>138.70735653893172</v>
      </c>
      <c r="Q44" s="201">
        <f t="shared" si="361"/>
        <v>142.41277750813165</v>
      </c>
      <c r="R44" s="201">
        <f t="shared" si="361"/>
        <v>149.72791085795316</v>
      </c>
      <c r="S44" s="201">
        <f t="shared" si="361"/>
        <v>152.16858756857599</v>
      </c>
      <c r="T44" s="201">
        <f t="shared" si="361"/>
        <v>155.08668347980398</v>
      </c>
      <c r="U44" s="201">
        <f t="shared" si="361"/>
        <v>162.53224128183629</v>
      </c>
      <c r="V44" s="201">
        <f t="shared" si="361"/>
        <v>159.47277022703318</v>
      </c>
      <c r="W44" s="201">
        <f t="shared" si="361"/>
        <v>158.12417423982853</v>
      </c>
      <c r="X44" s="201">
        <f t="shared" si="361"/>
        <v>140.38106396822428</v>
      </c>
      <c r="Y44" s="201">
        <f t="shared" si="361"/>
        <v>141.33175091805026</v>
      </c>
      <c r="Z44" s="201">
        <f t="shared" si="361"/>
        <v>125.87312833357156</v>
      </c>
      <c r="AA44" s="202">
        <f t="shared" si="361"/>
        <v>128.90306335975197</v>
      </c>
      <c r="AB44" s="201">
        <f t="shared" si="361"/>
        <v>130.12682591899741</v>
      </c>
      <c r="AC44" s="201">
        <f t="shared" si="361"/>
        <v>132.05108055162393</v>
      </c>
      <c r="AD44" s="201">
        <f t="shared" si="361"/>
        <v>137.32240691437411</v>
      </c>
      <c r="AE44" s="201">
        <f t="shared" si="361"/>
        <v>139.26322442791061</v>
      </c>
      <c r="AF44" s="201">
        <f t="shared" si="361"/>
        <v>144.80011748110414</v>
      </c>
      <c r="AG44" s="201">
        <f t="shared" si="361"/>
        <v>150.77700678081948</v>
      </c>
      <c r="AH44" s="201">
        <f t="shared" si="361"/>
        <v>160.82483826568406</v>
      </c>
      <c r="AI44" s="201">
        <f t="shared" si="361"/>
        <v>172.31481012165318</v>
      </c>
      <c r="AJ44" s="201">
        <f t="shared" si="361"/>
        <v>166.68650055268103</v>
      </c>
      <c r="AK44" s="201">
        <f t="shared" si="361"/>
        <v>179.8936644984376</v>
      </c>
      <c r="AL44" s="201">
        <f t="shared" si="361"/>
        <v>174.70899335246594</v>
      </c>
      <c r="AM44" s="202">
        <f t="shared" si="361"/>
        <v>188.77447002470248</v>
      </c>
      <c r="AN44" s="201">
        <f t="shared" si="361"/>
        <v>0</v>
      </c>
      <c r="AO44" s="201">
        <f t="shared" si="361"/>
        <v>0</v>
      </c>
      <c r="AP44" s="201">
        <f t="shared" si="361"/>
        <v>0</v>
      </c>
      <c r="AQ44" s="201">
        <f t="shared" si="361"/>
        <v>0</v>
      </c>
      <c r="AR44" s="201">
        <f t="shared" si="361"/>
        <v>0</v>
      </c>
      <c r="AS44" s="201">
        <f t="shared" si="361"/>
        <v>0</v>
      </c>
      <c r="AT44" s="201">
        <f t="shared" si="361"/>
        <v>0</v>
      </c>
      <c r="AU44" s="201">
        <f t="shared" si="361"/>
        <v>0</v>
      </c>
      <c r="AV44" s="201">
        <f t="shared" si="361"/>
        <v>0</v>
      </c>
      <c r="AW44" s="201">
        <f t="shared" si="361"/>
        <v>0</v>
      </c>
      <c r="AX44" s="202">
        <f t="shared" si="361"/>
        <v>0</v>
      </c>
      <c r="AY44" s="201">
        <f t="shared" si="361"/>
        <v>0</v>
      </c>
      <c r="AZ44" s="201">
        <f t="shared" si="361"/>
        <v>0</v>
      </c>
      <c r="BA44" s="201">
        <f t="shared" si="361"/>
        <v>0</v>
      </c>
      <c r="BB44" s="201">
        <f t="shared" si="361"/>
        <v>0</v>
      </c>
      <c r="BC44" s="201">
        <f t="shared" si="361"/>
        <v>0</v>
      </c>
      <c r="BD44" s="201">
        <f t="shared" si="361"/>
        <v>0</v>
      </c>
      <c r="BE44" s="201">
        <f t="shared" si="361"/>
        <v>0</v>
      </c>
      <c r="BF44" s="201">
        <f t="shared" si="361"/>
        <v>0</v>
      </c>
      <c r="BG44" s="201">
        <f t="shared" si="361"/>
        <v>0</v>
      </c>
      <c r="BH44" s="201">
        <f t="shared" si="361"/>
        <v>0</v>
      </c>
      <c r="BI44" s="201">
        <f t="shared" si="361"/>
        <v>0</v>
      </c>
      <c r="BJ44" s="202">
        <f t="shared" si="361"/>
        <v>0</v>
      </c>
    </row>
    <row r="45" spans="1:62" x14ac:dyDescent="0.35">
      <c r="B45" s="2" t="s">
        <v>52</v>
      </c>
      <c r="C45" s="203">
        <f t="shared" ref="C45:BJ45" si="362">C40*C29</f>
        <v>133.54264395861952</v>
      </c>
      <c r="D45" s="204">
        <f t="shared" si="362"/>
        <v>141.13350989818937</v>
      </c>
      <c r="E45" s="204">
        <f t="shared" si="362"/>
        <v>146.77250074707069</v>
      </c>
      <c r="F45" s="204">
        <f t="shared" si="362"/>
        <v>152.39500369304139</v>
      </c>
      <c r="G45" s="204">
        <f t="shared" si="362"/>
        <v>158.05886377780104</v>
      </c>
      <c r="H45" s="204">
        <f t="shared" si="362"/>
        <v>163.89519449197678</v>
      </c>
      <c r="I45" s="204">
        <f t="shared" si="362"/>
        <v>155.59710063711876</v>
      </c>
      <c r="J45" s="204">
        <f t="shared" si="362"/>
        <v>161.45974669070321</v>
      </c>
      <c r="K45" s="204">
        <f t="shared" si="362"/>
        <v>167.88304581684184</v>
      </c>
      <c r="L45" s="204">
        <f t="shared" si="362"/>
        <v>151.98964512596419</v>
      </c>
      <c r="M45" s="204">
        <f t="shared" si="362"/>
        <v>158.37595526033857</v>
      </c>
      <c r="N45" s="204">
        <f t="shared" si="362"/>
        <v>141.94554170950468</v>
      </c>
      <c r="O45" s="205">
        <f t="shared" si="362"/>
        <v>143.83962716113396</v>
      </c>
      <c r="P45" s="204">
        <f t="shared" si="362"/>
        <v>148.1648221377551</v>
      </c>
      <c r="Q45" s="204">
        <f t="shared" si="362"/>
        <v>152.9042333239332</v>
      </c>
      <c r="R45" s="204">
        <f t="shared" si="362"/>
        <v>157.69632302647554</v>
      </c>
      <c r="S45" s="204">
        <f t="shared" si="362"/>
        <v>163.02524979497551</v>
      </c>
      <c r="T45" s="204">
        <f t="shared" si="362"/>
        <v>168.61275175438479</v>
      </c>
      <c r="U45" s="204">
        <f t="shared" si="362"/>
        <v>174.96690091638308</v>
      </c>
      <c r="V45" s="204">
        <f t="shared" si="362"/>
        <v>174.18063226670586</v>
      </c>
      <c r="W45" s="204">
        <f t="shared" si="362"/>
        <v>174.63903160903681</v>
      </c>
      <c r="X45" s="204">
        <f t="shared" si="362"/>
        <v>152.57037662575701</v>
      </c>
      <c r="Y45" s="204">
        <f t="shared" si="362"/>
        <v>155.5444490693873</v>
      </c>
      <c r="Z45" s="204">
        <f t="shared" si="362"/>
        <v>136.40159480086422</v>
      </c>
      <c r="AA45" s="205">
        <f t="shared" si="362"/>
        <v>141.35734022469441</v>
      </c>
      <c r="AB45" s="204">
        <f t="shared" si="362"/>
        <v>141.42267555103615</v>
      </c>
      <c r="AC45" s="204">
        <f t="shared" si="362"/>
        <v>142.60770806326789</v>
      </c>
      <c r="AD45" s="204">
        <f t="shared" si="362"/>
        <v>144.50386764085422</v>
      </c>
      <c r="AE45" s="204">
        <f t="shared" si="362"/>
        <v>147.35431164961835</v>
      </c>
      <c r="AF45" s="204">
        <f t="shared" si="362"/>
        <v>151.24809907995601</v>
      </c>
      <c r="AG45" s="204">
        <f t="shared" si="362"/>
        <v>150.18566535744824</v>
      </c>
      <c r="AH45" s="204">
        <f t="shared" si="362"/>
        <v>154.35463832254959</v>
      </c>
      <c r="AI45" s="204">
        <f t="shared" si="362"/>
        <v>159.11593829302433</v>
      </c>
      <c r="AJ45" s="204">
        <f t="shared" si="362"/>
        <v>147.83041906903972</v>
      </c>
      <c r="AK45" s="204">
        <f t="shared" si="362"/>
        <v>152.94039999375028</v>
      </c>
      <c r="AL45" s="204">
        <f t="shared" si="362"/>
        <v>142.05979804655067</v>
      </c>
      <c r="AM45" s="205">
        <f t="shared" si="362"/>
        <v>146.44644063636287</v>
      </c>
      <c r="AN45" s="204">
        <f t="shared" si="362"/>
        <v>0</v>
      </c>
      <c r="AO45" s="204">
        <f t="shared" si="362"/>
        <v>0</v>
      </c>
      <c r="AP45" s="204">
        <f t="shared" si="362"/>
        <v>0</v>
      </c>
      <c r="AQ45" s="204">
        <f t="shared" si="362"/>
        <v>0</v>
      </c>
      <c r="AR45" s="204">
        <f t="shared" si="362"/>
        <v>0</v>
      </c>
      <c r="AS45" s="204">
        <f t="shared" si="362"/>
        <v>0</v>
      </c>
      <c r="AT45" s="204">
        <f t="shared" si="362"/>
        <v>0</v>
      </c>
      <c r="AU45" s="204">
        <f t="shared" si="362"/>
        <v>0</v>
      </c>
      <c r="AV45" s="204">
        <f t="shared" si="362"/>
        <v>0</v>
      </c>
      <c r="AW45" s="204">
        <f t="shared" si="362"/>
        <v>0</v>
      </c>
      <c r="AX45" s="205">
        <f t="shared" si="362"/>
        <v>0</v>
      </c>
      <c r="AY45" s="204">
        <f t="shared" si="362"/>
        <v>0</v>
      </c>
      <c r="AZ45" s="204">
        <f t="shared" si="362"/>
        <v>0</v>
      </c>
      <c r="BA45" s="204">
        <f t="shared" si="362"/>
        <v>0</v>
      </c>
      <c r="BB45" s="204">
        <f t="shared" si="362"/>
        <v>0</v>
      </c>
      <c r="BC45" s="204">
        <f t="shared" si="362"/>
        <v>0</v>
      </c>
      <c r="BD45" s="204">
        <f t="shared" si="362"/>
        <v>0</v>
      </c>
      <c r="BE45" s="204">
        <f t="shared" si="362"/>
        <v>0</v>
      </c>
      <c r="BF45" s="204">
        <f t="shared" si="362"/>
        <v>0</v>
      </c>
      <c r="BG45" s="204">
        <f t="shared" si="362"/>
        <v>0</v>
      </c>
      <c r="BH45" s="204">
        <f t="shared" si="362"/>
        <v>0</v>
      </c>
      <c r="BI45" s="204">
        <f t="shared" si="362"/>
        <v>0</v>
      </c>
      <c r="BJ45" s="205">
        <f t="shared" si="362"/>
        <v>0</v>
      </c>
    </row>
    <row r="46" spans="1:62" x14ac:dyDescent="0.35">
      <c r="B46" s="3" t="s">
        <v>53</v>
      </c>
      <c r="C46" s="206">
        <f t="shared" ref="C46:BJ46" si="363">C41*C30</f>
        <v>226.59854199213862</v>
      </c>
      <c r="D46" s="207">
        <f t="shared" si="363"/>
        <v>245.06363835773215</v>
      </c>
      <c r="E46" s="207">
        <f t="shared" si="363"/>
        <v>260.44778099376771</v>
      </c>
      <c r="F46" s="207">
        <f t="shared" si="363"/>
        <v>276.43850989383378</v>
      </c>
      <c r="G46" s="207">
        <f t="shared" si="363"/>
        <v>292.8487045839326</v>
      </c>
      <c r="H46" s="207">
        <f t="shared" si="363"/>
        <v>310.08629448017501</v>
      </c>
      <c r="I46" s="207">
        <f t="shared" si="363"/>
        <v>300.37772543697889</v>
      </c>
      <c r="J46" s="207">
        <f t="shared" si="363"/>
        <v>320.29485537586862</v>
      </c>
      <c r="K46" s="207">
        <f t="shared" si="363"/>
        <v>341.73052749139907</v>
      </c>
      <c r="L46" s="207">
        <f t="shared" si="363"/>
        <v>316.95950514763615</v>
      </c>
      <c r="M46" s="207">
        <f t="shared" si="363"/>
        <v>337.8986906215253</v>
      </c>
      <c r="N46" s="207">
        <f t="shared" si="363"/>
        <v>309.69732059386217</v>
      </c>
      <c r="O46" s="208">
        <f t="shared" si="363"/>
        <v>331.79599704581011</v>
      </c>
      <c r="P46" s="207">
        <f t="shared" si="363"/>
        <v>354.0259922961842</v>
      </c>
      <c r="Q46" s="207">
        <f t="shared" si="363"/>
        <v>377.2552241074327</v>
      </c>
      <c r="R46" s="207">
        <f t="shared" si="363"/>
        <v>400.77894093903427</v>
      </c>
      <c r="S46" s="207">
        <f t="shared" si="363"/>
        <v>425.66252223505705</v>
      </c>
      <c r="T46" s="207">
        <f t="shared" si="363"/>
        <v>451.49676615538749</v>
      </c>
      <c r="U46" s="207">
        <f t="shared" si="363"/>
        <v>477.51006931676352</v>
      </c>
      <c r="V46" s="207">
        <f t="shared" si="363"/>
        <v>470.87135888285542</v>
      </c>
      <c r="W46" s="207">
        <f t="shared" si="363"/>
        <v>467.34972802494769</v>
      </c>
      <c r="X46" s="207">
        <f t="shared" si="363"/>
        <v>403.92582575610692</v>
      </c>
      <c r="Y46" s="207">
        <f t="shared" si="363"/>
        <v>407.12151049270295</v>
      </c>
      <c r="Z46" s="207">
        <f t="shared" si="363"/>
        <v>352.82446195884484</v>
      </c>
      <c r="AA46" s="208">
        <f t="shared" si="363"/>
        <v>361.15825639418927</v>
      </c>
      <c r="AB46" s="207">
        <f t="shared" si="363"/>
        <v>357.05744159204028</v>
      </c>
      <c r="AC46" s="207">
        <f t="shared" si="363"/>
        <v>355.2689849543695</v>
      </c>
      <c r="AD46" s="207">
        <f t="shared" si="363"/>
        <v>354.77429572463979</v>
      </c>
      <c r="AE46" s="207">
        <f t="shared" si="363"/>
        <v>355.70433401663905</v>
      </c>
      <c r="AF46" s="207">
        <f t="shared" si="363"/>
        <v>358.44684900680562</v>
      </c>
      <c r="AG46" s="207">
        <f t="shared" si="363"/>
        <v>348.90550882509035</v>
      </c>
      <c r="AH46" s="207">
        <f t="shared" si="363"/>
        <v>353.83355645908102</v>
      </c>
      <c r="AI46" s="207">
        <f t="shared" si="363"/>
        <v>359.42719777725489</v>
      </c>
      <c r="AJ46" s="207">
        <f t="shared" si="363"/>
        <v>328.57097901261011</v>
      </c>
      <c r="AK46" s="207">
        <f t="shared" si="363"/>
        <v>333.89267348967996</v>
      </c>
      <c r="AL46" s="207">
        <f t="shared" si="363"/>
        <v>304.08173032251239</v>
      </c>
      <c r="AM46" s="208">
        <f t="shared" si="363"/>
        <v>306.66490797445624</v>
      </c>
      <c r="AN46" s="207">
        <f t="shared" si="363"/>
        <v>0</v>
      </c>
      <c r="AO46" s="207">
        <f t="shared" si="363"/>
        <v>0</v>
      </c>
      <c r="AP46" s="207">
        <f t="shared" si="363"/>
        <v>0</v>
      </c>
      <c r="AQ46" s="207">
        <f t="shared" si="363"/>
        <v>0</v>
      </c>
      <c r="AR46" s="207">
        <f t="shared" si="363"/>
        <v>0</v>
      </c>
      <c r="AS46" s="207">
        <f t="shared" si="363"/>
        <v>0</v>
      </c>
      <c r="AT46" s="207">
        <f t="shared" si="363"/>
        <v>0</v>
      </c>
      <c r="AU46" s="207">
        <f t="shared" si="363"/>
        <v>0</v>
      </c>
      <c r="AV46" s="207">
        <f t="shared" si="363"/>
        <v>0</v>
      </c>
      <c r="AW46" s="207">
        <f t="shared" si="363"/>
        <v>0</v>
      </c>
      <c r="AX46" s="208">
        <f t="shared" si="363"/>
        <v>0</v>
      </c>
      <c r="AY46" s="207">
        <f t="shared" si="363"/>
        <v>0</v>
      </c>
      <c r="AZ46" s="207">
        <f t="shared" si="363"/>
        <v>0</v>
      </c>
      <c r="BA46" s="207">
        <f t="shared" si="363"/>
        <v>0</v>
      </c>
      <c r="BB46" s="207">
        <f t="shared" si="363"/>
        <v>0</v>
      </c>
      <c r="BC46" s="207">
        <f t="shared" si="363"/>
        <v>0</v>
      </c>
      <c r="BD46" s="207">
        <f t="shared" si="363"/>
        <v>0</v>
      </c>
      <c r="BE46" s="207">
        <f t="shared" si="363"/>
        <v>0</v>
      </c>
      <c r="BF46" s="207">
        <f t="shared" si="363"/>
        <v>0</v>
      </c>
      <c r="BG46" s="207">
        <f t="shared" si="363"/>
        <v>0</v>
      </c>
      <c r="BH46" s="207">
        <f t="shared" si="363"/>
        <v>0</v>
      </c>
      <c r="BI46" s="207">
        <f t="shared" si="363"/>
        <v>0</v>
      </c>
      <c r="BJ46" s="208">
        <f t="shared" si="363"/>
        <v>0</v>
      </c>
    </row>
    <row r="47" spans="1:62" x14ac:dyDescent="0.35">
      <c r="B47" s="3" t="s">
        <v>140</v>
      </c>
      <c r="C47" s="206">
        <f>SUM(C44:C46)</f>
        <v>498.84429181541651</v>
      </c>
      <c r="D47" s="207">
        <f t="shared" ref="D47:BJ47" si="364">SUM(D44:D46)</f>
        <v>530.12258971938286</v>
      </c>
      <c r="E47" s="207">
        <f t="shared" si="364"/>
        <v>554.01645569888797</v>
      </c>
      <c r="F47" s="207">
        <f t="shared" si="364"/>
        <v>583.57686479643098</v>
      </c>
      <c r="G47" s="207">
        <f t="shared" si="364"/>
        <v>612.44969962609707</v>
      </c>
      <c r="H47" s="207">
        <f t="shared" si="364"/>
        <v>638.52562212087162</v>
      </c>
      <c r="I47" s="207">
        <f t="shared" si="364"/>
        <v>614.54411975156563</v>
      </c>
      <c r="J47" s="207">
        <f t="shared" si="364"/>
        <v>641.7775488221439</v>
      </c>
      <c r="K47" s="207">
        <f t="shared" si="364"/>
        <v>672.20466905397029</v>
      </c>
      <c r="L47" s="207">
        <f t="shared" si="364"/>
        <v>619.17776838713394</v>
      </c>
      <c r="M47" s="207">
        <f t="shared" si="364"/>
        <v>648.51641618733061</v>
      </c>
      <c r="N47" s="207">
        <f t="shared" si="364"/>
        <v>590.58115157650172</v>
      </c>
      <c r="O47" s="208">
        <f t="shared" si="364"/>
        <v>610.73068192645303</v>
      </c>
      <c r="P47" s="207">
        <f t="shared" si="364"/>
        <v>640.89817097287096</v>
      </c>
      <c r="Q47" s="207">
        <f t="shared" si="364"/>
        <v>672.57223493949755</v>
      </c>
      <c r="R47" s="207">
        <f t="shared" si="364"/>
        <v>708.20317482346297</v>
      </c>
      <c r="S47" s="207">
        <f t="shared" si="364"/>
        <v>740.85635959860861</v>
      </c>
      <c r="T47" s="207">
        <f t="shared" si="364"/>
        <v>775.19620138957623</v>
      </c>
      <c r="U47" s="207">
        <f t="shared" si="364"/>
        <v>815.00921151498289</v>
      </c>
      <c r="V47" s="207">
        <f t="shared" si="364"/>
        <v>804.52476137659437</v>
      </c>
      <c r="W47" s="207">
        <f t="shared" si="364"/>
        <v>800.11293387381306</v>
      </c>
      <c r="X47" s="207">
        <f t="shared" si="364"/>
        <v>696.87726635008812</v>
      </c>
      <c r="Y47" s="207">
        <f t="shared" si="364"/>
        <v>703.99771048014054</v>
      </c>
      <c r="Z47" s="207">
        <f t="shared" si="364"/>
        <v>615.09918509328054</v>
      </c>
      <c r="AA47" s="208">
        <f t="shared" si="364"/>
        <v>631.41865997863567</v>
      </c>
      <c r="AB47" s="207">
        <f t="shared" si="364"/>
        <v>628.60694306207381</v>
      </c>
      <c r="AC47" s="207">
        <f t="shared" si="364"/>
        <v>629.92777356926126</v>
      </c>
      <c r="AD47" s="207">
        <f t="shared" si="364"/>
        <v>636.60057027986818</v>
      </c>
      <c r="AE47" s="207">
        <f t="shared" si="364"/>
        <v>642.32187009416793</v>
      </c>
      <c r="AF47" s="207">
        <f t="shared" si="364"/>
        <v>654.49506556786582</v>
      </c>
      <c r="AG47" s="207">
        <f t="shared" si="364"/>
        <v>649.8681809633581</v>
      </c>
      <c r="AH47" s="207">
        <f t="shared" si="364"/>
        <v>669.01303304731471</v>
      </c>
      <c r="AI47" s="207">
        <f t="shared" si="364"/>
        <v>690.85794619193234</v>
      </c>
      <c r="AJ47" s="207">
        <f t="shared" si="364"/>
        <v>643.08789863433083</v>
      </c>
      <c r="AK47" s="207">
        <f t="shared" si="364"/>
        <v>666.72673798186781</v>
      </c>
      <c r="AL47" s="207">
        <f t="shared" si="364"/>
        <v>620.85052172152905</v>
      </c>
      <c r="AM47" s="208">
        <f t="shared" si="364"/>
        <v>641.88581863552156</v>
      </c>
      <c r="AN47" s="207">
        <f t="shared" si="364"/>
        <v>0</v>
      </c>
      <c r="AO47" s="207">
        <f t="shared" si="364"/>
        <v>0</v>
      </c>
      <c r="AP47" s="207">
        <f t="shared" si="364"/>
        <v>0</v>
      </c>
      <c r="AQ47" s="207">
        <f t="shared" si="364"/>
        <v>0</v>
      </c>
      <c r="AR47" s="207">
        <f t="shared" si="364"/>
        <v>0</v>
      </c>
      <c r="AS47" s="207">
        <f t="shared" si="364"/>
        <v>0</v>
      </c>
      <c r="AT47" s="207">
        <f t="shared" si="364"/>
        <v>0</v>
      </c>
      <c r="AU47" s="207">
        <f t="shared" si="364"/>
        <v>0</v>
      </c>
      <c r="AV47" s="207">
        <f t="shared" si="364"/>
        <v>0</v>
      </c>
      <c r="AW47" s="207">
        <f t="shared" si="364"/>
        <v>0</v>
      </c>
      <c r="AX47" s="208">
        <f t="shared" si="364"/>
        <v>0</v>
      </c>
      <c r="AY47" s="207">
        <f t="shared" si="364"/>
        <v>0</v>
      </c>
      <c r="AZ47" s="207">
        <f t="shared" si="364"/>
        <v>0</v>
      </c>
      <c r="BA47" s="207">
        <f t="shared" si="364"/>
        <v>0</v>
      </c>
      <c r="BB47" s="207">
        <f t="shared" si="364"/>
        <v>0</v>
      </c>
      <c r="BC47" s="207">
        <f t="shared" si="364"/>
        <v>0</v>
      </c>
      <c r="BD47" s="207">
        <f t="shared" si="364"/>
        <v>0</v>
      </c>
      <c r="BE47" s="207">
        <f t="shared" si="364"/>
        <v>0</v>
      </c>
      <c r="BF47" s="207">
        <f t="shared" si="364"/>
        <v>0</v>
      </c>
      <c r="BG47" s="207">
        <f t="shared" si="364"/>
        <v>0</v>
      </c>
      <c r="BH47" s="207">
        <f t="shared" si="364"/>
        <v>0</v>
      </c>
      <c r="BI47" s="207">
        <f t="shared" si="364"/>
        <v>0</v>
      </c>
      <c r="BJ47" s="208">
        <f t="shared" si="364"/>
        <v>0</v>
      </c>
    </row>
    <row r="48" spans="1:62" x14ac:dyDescent="0.35">
      <c r="B48" s="3" t="s">
        <v>146</v>
      </c>
      <c r="C48" s="206"/>
      <c r="D48" s="207">
        <f>D47-C47</f>
        <v>31.278297903966347</v>
      </c>
      <c r="E48" s="207">
        <f t="shared" ref="E48:F48" si="365">E47-D47</f>
        <v>23.893865979505108</v>
      </c>
      <c r="F48" s="207">
        <f t="shared" si="365"/>
        <v>29.560409097543015</v>
      </c>
      <c r="G48" s="207">
        <f t="shared" ref="G48" si="366">G47-F47</f>
        <v>28.87283482966609</v>
      </c>
      <c r="H48" s="207">
        <f t="shared" ref="H48" si="367">H47-G47</f>
        <v>26.075922494774545</v>
      </c>
      <c r="I48" s="207">
        <f t="shared" ref="I48" si="368">I47-H47</f>
        <v>-23.981502369305986</v>
      </c>
      <c r="J48" s="207">
        <f t="shared" ref="J48" si="369">J47-I47</f>
        <v>27.233429070578268</v>
      </c>
      <c r="K48" s="207">
        <f t="shared" ref="K48" si="370">K47-J47</f>
        <v>30.427120231826393</v>
      </c>
      <c r="L48" s="207">
        <f t="shared" ref="L48" si="371">L47-K47</f>
        <v>-53.026900666836355</v>
      </c>
      <c r="M48" s="207">
        <f t="shared" ref="M48" si="372">M47-L47</f>
        <v>29.338647800196668</v>
      </c>
      <c r="N48" s="207">
        <f t="shared" ref="N48" si="373">N47-M47</f>
        <v>-57.935264610828881</v>
      </c>
      <c r="O48" s="208">
        <f t="shared" ref="O48" si="374">O47-N47</f>
        <v>20.149530349951306</v>
      </c>
      <c r="P48" s="207">
        <f t="shared" ref="P48" si="375">P47-O47</f>
        <v>30.167489046417927</v>
      </c>
      <c r="Q48" s="207">
        <f t="shared" ref="Q48" si="376">Q47-P47</f>
        <v>31.674063966626591</v>
      </c>
      <c r="R48" s="207">
        <f t="shared" ref="R48" si="377">R47-Q47</f>
        <v>35.630939883965425</v>
      </c>
      <c r="S48" s="207">
        <f t="shared" ref="S48" si="378">S47-R47</f>
        <v>32.653184775145633</v>
      </c>
      <c r="T48" s="207">
        <f t="shared" ref="T48" si="379">T47-S47</f>
        <v>34.339841790967625</v>
      </c>
      <c r="U48" s="207">
        <f t="shared" ref="U48" si="380">U47-T47</f>
        <v>39.813010125406663</v>
      </c>
      <c r="V48" s="207">
        <f t="shared" ref="V48" si="381">V47-U47</f>
        <v>-10.484450138388524</v>
      </c>
      <c r="W48" s="207">
        <f t="shared" ref="W48" si="382">W47-V47</f>
        <v>-4.411827502781307</v>
      </c>
      <c r="X48" s="207">
        <f t="shared" ref="X48" si="383">X47-W47</f>
        <v>-103.23566752372494</v>
      </c>
      <c r="Y48" s="207">
        <f t="shared" ref="Y48" si="384">Y47-X47</f>
        <v>7.1204441300524195</v>
      </c>
      <c r="Z48" s="207">
        <f t="shared" ref="Z48" si="385">Z47-Y47</f>
        <v>-88.898525386860001</v>
      </c>
      <c r="AA48" s="208">
        <f t="shared" ref="AA48" si="386">AA47-Z47</f>
        <v>16.319474885355135</v>
      </c>
      <c r="AB48" s="207">
        <f t="shared" ref="AB48" si="387">AB47-AA47</f>
        <v>-2.8117169165618634</v>
      </c>
      <c r="AC48" s="207">
        <f t="shared" ref="AC48" si="388">AC47-AB47</f>
        <v>1.320830507187452</v>
      </c>
      <c r="AD48" s="207">
        <f t="shared" ref="AD48" si="389">AD47-AC47</f>
        <v>6.6727967106069173</v>
      </c>
      <c r="AE48" s="207">
        <f t="shared" ref="AE48" si="390">AE47-AD47</f>
        <v>5.7212998142997549</v>
      </c>
      <c r="AF48" s="207">
        <f t="shared" ref="AF48" si="391">AF47-AE47</f>
        <v>12.173195473697888</v>
      </c>
      <c r="AG48" s="207">
        <f t="shared" ref="AG48" si="392">AG47-AF47</f>
        <v>-4.6268846045077225</v>
      </c>
      <c r="AH48" s="207">
        <f t="shared" ref="AH48" si="393">AH47-AG47</f>
        <v>19.144852083956607</v>
      </c>
      <c r="AI48" s="207">
        <f t="shared" ref="AI48" si="394">AI47-AH47</f>
        <v>21.844913144617635</v>
      </c>
      <c r="AJ48" s="207">
        <f t="shared" ref="AJ48" si="395">AJ47-AI47</f>
        <v>-47.770047557601515</v>
      </c>
      <c r="AK48" s="207">
        <f t="shared" ref="AK48" si="396">AK47-AJ47</f>
        <v>23.638839347536987</v>
      </c>
      <c r="AL48" s="207">
        <f t="shared" ref="AL48" si="397">AL47-AK47</f>
        <v>-45.876216260338765</v>
      </c>
      <c r="AM48" s="208">
        <f t="shared" ref="AM48" si="398">AM47-AL47</f>
        <v>21.035296913992511</v>
      </c>
      <c r="AN48" s="207">
        <f t="shared" ref="AN48" si="399">AN47-AM47</f>
        <v>-641.88581863552156</v>
      </c>
      <c r="AO48" s="207">
        <f t="shared" ref="AO48" si="400">AO47-AN47</f>
        <v>0</v>
      </c>
      <c r="AP48" s="207">
        <f t="shared" ref="AP48" si="401">AP47-AO47</f>
        <v>0</v>
      </c>
      <c r="AQ48" s="207">
        <f t="shared" ref="AQ48" si="402">AQ47-AP47</f>
        <v>0</v>
      </c>
      <c r="AR48" s="207">
        <f t="shared" ref="AR48" si="403">AR47-AQ47</f>
        <v>0</v>
      </c>
      <c r="AS48" s="207">
        <f t="shared" ref="AS48" si="404">AS47-AR47</f>
        <v>0</v>
      </c>
      <c r="AT48" s="207">
        <f t="shared" ref="AT48" si="405">AT47-AS47</f>
        <v>0</v>
      </c>
      <c r="AU48" s="207">
        <f t="shared" ref="AU48" si="406">AU47-AT47</f>
        <v>0</v>
      </c>
      <c r="AV48" s="207">
        <f t="shared" ref="AV48" si="407">AV47-AU47</f>
        <v>0</v>
      </c>
      <c r="AW48" s="207">
        <f t="shared" ref="AW48" si="408">AW47-AV47</f>
        <v>0</v>
      </c>
      <c r="AX48" s="208">
        <f t="shared" ref="AX48" si="409">AX47-AW47</f>
        <v>0</v>
      </c>
      <c r="AY48" s="207">
        <f t="shared" ref="AY48" si="410">AY47-AX47</f>
        <v>0</v>
      </c>
      <c r="AZ48" s="207">
        <f t="shared" ref="AZ48" si="411">AZ47-AY47</f>
        <v>0</v>
      </c>
      <c r="BA48" s="207">
        <f t="shared" ref="BA48" si="412">BA47-AZ47</f>
        <v>0</v>
      </c>
      <c r="BB48" s="207">
        <f t="shared" ref="BB48" si="413">BB47-BA47</f>
        <v>0</v>
      </c>
      <c r="BC48" s="207">
        <f t="shared" ref="BC48" si="414">BC47-BB47</f>
        <v>0</v>
      </c>
      <c r="BD48" s="207">
        <f t="shared" ref="BD48" si="415">BD47-BC47</f>
        <v>0</v>
      </c>
      <c r="BE48" s="207">
        <f t="shared" ref="BE48" si="416">BE47-BD47</f>
        <v>0</v>
      </c>
      <c r="BF48" s="207">
        <f t="shared" ref="BF48" si="417">BF47-BE47</f>
        <v>0</v>
      </c>
      <c r="BG48" s="207">
        <f t="shared" ref="BG48" si="418">BG47-BF47</f>
        <v>0</v>
      </c>
      <c r="BH48" s="207">
        <f t="shared" ref="BH48" si="419">BH47-BG47</f>
        <v>0</v>
      </c>
      <c r="BI48" s="207">
        <f t="shared" ref="BI48" si="420">BI47-BH47</f>
        <v>0</v>
      </c>
      <c r="BJ48" s="208">
        <f t="shared" ref="BJ48" si="421">BJ47-BI47</f>
        <v>0</v>
      </c>
    </row>
    <row r="49" spans="1:62" x14ac:dyDescent="0.35">
      <c r="B49" s="3" t="s">
        <v>143</v>
      </c>
      <c r="C49" s="196">
        <f>C47/C31</f>
        <v>2.5975856605685372E-2</v>
      </c>
      <c r="D49" s="197">
        <f t="shared" ref="D49:BJ49" si="422">D47/D31</f>
        <v>2.638790659646539E-2</v>
      </c>
      <c r="E49" s="197">
        <f t="shared" si="422"/>
        <v>2.6792549931552414E-2</v>
      </c>
      <c r="F49" s="197">
        <f t="shared" si="422"/>
        <v>2.7424459709497258E-2</v>
      </c>
      <c r="G49" s="197">
        <f t="shared" si="422"/>
        <v>2.7995153787803345E-2</v>
      </c>
      <c r="H49" s="197">
        <f t="shared" si="422"/>
        <v>2.8379373416883284E-2</v>
      </c>
      <c r="I49" s="197">
        <f t="shared" si="422"/>
        <v>2.9000586373836144E-2</v>
      </c>
      <c r="J49" s="197">
        <f t="shared" si="422"/>
        <v>2.9575052035903555E-2</v>
      </c>
      <c r="K49" s="197">
        <f t="shared" si="422"/>
        <v>3.018479891265638E-2</v>
      </c>
      <c r="L49" s="197">
        <f t="shared" si="422"/>
        <v>3.1107755648098728E-2</v>
      </c>
      <c r="M49" s="197">
        <f t="shared" si="422"/>
        <v>3.1660690832862368E-2</v>
      </c>
      <c r="N49" s="197">
        <f t="shared" si="422"/>
        <v>3.2568737891748391E-2</v>
      </c>
      <c r="O49" s="198">
        <f t="shared" si="422"/>
        <v>3.2508535569008887E-2</v>
      </c>
      <c r="P49" s="197">
        <f t="shared" si="422"/>
        <v>3.3736541362818728E-2</v>
      </c>
      <c r="Q49" s="197">
        <f t="shared" si="422"/>
        <v>3.495794647209103E-2</v>
      </c>
      <c r="R49" s="197">
        <f t="shared" si="422"/>
        <v>3.6356718914276651E-2</v>
      </c>
      <c r="S49" s="197">
        <f t="shared" si="422"/>
        <v>3.7499969403767243E-2</v>
      </c>
      <c r="T49" s="197">
        <f t="shared" si="422"/>
        <v>3.8657535129724842E-2</v>
      </c>
      <c r="U49" s="197">
        <f t="shared" si="422"/>
        <v>4.0004120574451456E-2</v>
      </c>
      <c r="V49" s="197">
        <f t="shared" si="422"/>
        <v>3.8766198365527381E-2</v>
      </c>
      <c r="W49" s="197">
        <f t="shared" si="422"/>
        <v>3.7560874243894121E-2</v>
      </c>
      <c r="X49" s="197">
        <f t="shared" si="422"/>
        <v>3.6557168638271041E-2</v>
      </c>
      <c r="Y49" s="197">
        <f t="shared" si="422"/>
        <v>3.5342868298941135E-2</v>
      </c>
      <c r="Z49" s="197">
        <f t="shared" si="422"/>
        <v>3.4328353790652071E-2</v>
      </c>
      <c r="AA49" s="198">
        <f t="shared" si="422"/>
        <v>3.3120212886636698E-2</v>
      </c>
      <c r="AB49" s="197">
        <f t="shared" si="422"/>
        <v>3.202949469582167E-2</v>
      </c>
      <c r="AC49" s="197">
        <f t="shared" si="422"/>
        <v>3.0932349509390483E-2</v>
      </c>
      <c r="AD49" s="197">
        <f t="shared" si="422"/>
        <v>2.9963700653098748E-2</v>
      </c>
      <c r="AE49" s="197">
        <f t="shared" si="422"/>
        <v>2.880548472950395E-2</v>
      </c>
      <c r="AF49" s="197">
        <f t="shared" si="422"/>
        <v>2.7763857614854108E-2</v>
      </c>
      <c r="AG49" s="197">
        <f t="shared" si="422"/>
        <v>2.6933281782342576E-2</v>
      </c>
      <c r="AH49" s="197">
        <f t="shared" si="422"/>
        <v>2.5932903740207972E-2</v>
      </c>
      <c r="AI49" s="197">
        <f t="shared" si="422"/>
        <v>2.493342126622642E-2</v>
      </c>
      <c r="AJ49" s="197">
        <f t="shared" si="422"/>
        <v>2.3933540309611232E-2</v>
      </c>
      <c r="AK49" s="197">
        <f t="shared" si="422"/>
        <v>2.293324227880859E-2</v>
      </c>
      <c r="AL49" s="197">
        <f t="shared" si="422"/>
        <v>2.1931916560504968E-2</v>
      </c>
      <c r="AM49" s="198">
        <f t="shared" si="422"/>
        <v>2.0929815033869065E-2</v>
      </c>
      <c r="AN49" s="197" t="e">
        <f t="shared" si="422"/>
        <v>#DIV/0!</v>
      </c>
      <c r="AO49" s="197" t="e">
        <f t="shared" si="422"/>
        <v>#DIV/0!</v>
      </c>
      <c r="AP49" s="197" t="e">
        <f t="shared" si="422"/>
        <v>#DIV/0!</v>
      </c>
      <c r="AQ49" s="197" t="e">
        <f t="shared" si="422"/>
        <v>#DIV/0!</v>
      </c>
      <c r="AR49" s="197" t="e">
        <f t="shared" si="422"/>
        <v>#DIV/0!</v>
      </c>
      <c r="AS49" s="197" t="e">
        <f t="shared" si="422"/>
        <v>#DIV/0!</v>
      </c>
      <c r="AT49" s="197" t="e">
        <f t="shared" si="422"/>
        <v>#DIV/0!</v>
      </c>
      <c r="AU49" s="197" t="e">
        <f t="shared" si="422"/>
        <v>#DIV/0!</v>
      </c>
      <c r="AV49" s="197" t="e">
        <f t="shared" si="422"/>
        <v>#DIV/0!</v>
      </c>
      <c r="AW49" s="197" t="e">
        <f t="shared" si="422"/>
        <v>#DIV/0!</v>
      </c>
      <c r="AX49" s="198" t="e">
        <f t="shared" si="422"/>
        <v>#DIV/0!</v>
      </c>
      <c r="AY49" s="197" t="e">
        <f t="shared" si="422"/>
        <v>#DIV/0!</v>
      </c>
      <c r="AZ49" s="197" t="e">
        <f t="shared" si="422"/>
        <v>#DIV/0!</v>
      </c>
      <c r="BA49" s="197" t="e">
        <f t="shared" si="422"/>
        <v>#DIV/0!</v>
      </c>
      <c r="BB49" s="197" t="e">
        <f t="shared" si="422"/>
        <v>#DIV/0!</v>
      </c>
      <c r="BC49" s="197" t="e">
        <f t="shared" si="422"/>
        <v>#DIV/0!</v>
      </c>
      <c r="BD49" s="197" t="e">
        <f t="shared" si="422"/>
        <v>#DIV/0!</v>
      </c>
      <c r="BE49" s="197" t="e">
        <f t="shared" si="422"/>
        <v>#DIV/0!</v>
      </c>
      <c r="BF49" s="197" t="e">
        <f t="shared" si="422"/>
        <v>#DIV/0!</v>
      </c>
      <c r="BG49" s="197" t="e">
        <f t="shared" si="422"/>
        <v>#DIV/0!</v>
      </c>
      <c r="BH49" s="197" t="e">
        <f t="shared" si="422"/>
        <v>#DIV/0!</v>
      </c>
      <c r="BI49" s="197" t="e">
        <f t="shared" si="422"/>
        <v>#DIV/0!</v>
      </c>
      <c r="BJ49" s="198" t="e">
        <f t="shared" si="422"/>
        <v>#DIV/0!</v>
      </c>
    </row>
    <row r="51" spans="1:62" x14ac:dyDescent="0.35">
      <c r="A51" s="15" t="s">
        <v>159</v>
      </c>
      <c r="B51" s="1" t="s">
        <v>144</v>
      </c>
      <c r="C51" s="110">
        <f>$C$3</f>
        <v>45352</v>
      </c>
      <c r="D51" s="111">
        <f>EDATE(C51,1)</f>
        <v>45383</v>
      </c>
      <c r="E51" s="111">
        <f t="shared" ref="E51" si="423">EDATE(D51,1)</f>
        <v>45413</v>
      </c>
      <c r="F51" s="111">
        <f t="shared" ref="F51" si="424">EDATE(E51,1)</f>
        <v>45444</v>
      </c>
      <c r="G51" s="111">
        <f t="shared" ref="G51" si="425">EDATE(F51,1)</f>
        <v>45474</v>
      </c>
      <c r="H51" s="111">
        <f t="shared" ref="H51" si="426">EDATE(G51,1)</f>
        <v>45505</v>
      </c>
      <c r="I51" s="111">
        <f t="shared" ref="I51" si="427">EDATE(H51,1)</f>
        <v>45536</v>
      </c>
      <c r="J51" s="111">
        <f t="shared" ref="J51" si="428">EDATE(I51,1)</f>
        <v>45566</v>
      </c>
      <c r="K51" s="111">
        <f t="shared" ref="K51" si="429">EDATE(J51,1)</f>
        <v>45597</v>
      </c>
      <c r="L51" s="111">
        <f t="shared" ref="L51" si="430">EDATE(K51,1)</f>
        <v>45627</v>
      </c>
      <c r="M51" s="111">
        <f t="shared" ref="M51" si="431">EDATE(L51,1)</f>
        <v>45658</v>
      </c>
      <c r="N51" s="111">
        <f t="shared" ref="N51" si="432">EDATE(M51,1)</f>
        <v>45689</v>
      </c>
      <c r="O51" s="112">
        <f t="shared" ref="O51" si="433">EDATE(N51,1)</f>
        <v>45717</v>
      </c>
      <c r="P51" s="111">
        <f t="shared" ref="P51" si="434">EDATE(O51,1)</f>
        <v>45748</v>
      </c>
      <c r="Q51" s="111">
        <f t="shared" ref="Q51" si="435">EDATE(P51,1)</f>
        <v>45778</v>
      </c>
      <c r="R51" s="111">
        <f t="shared" ref="R51" si="436">EDATE(Q51,1)</f>
        <v>45809</v>
      </c>
      <c r="S51" s="111">
        <f t="shared" ref="S51" si="437">EDATE(R51,1)</f>
        <v>45839</v>
      </c>
      <c r="T51" s="111">
        <f t="shared" ref="T51" si="438">EDATE(S51,1)</f>
        <v>45870</v>
      </c>
      <c r="U51" s="111">
        <f t="shared" ref="U51" si="439">EDATE(T51,1)</f>
        <v>45901</v>
      </c>
      <c r="V51" s="111">
        <f t="shared" ref="V51" si="440">EDATE(U51,1)</f>
        <v>45931</v>
      </c>
      <c r="W51" s="111">
        <f t="shared" ref="W51" si="441">EDATE(V51,1)</f>
        <v>45962</v>
      </c>
      <c r="X51" s="111">
        <f t="shared" ref="X51" si="442">EDATE(W51,1)</f>
        <v>45992</v>
      </c>
      <c r="Y51" s="111">
        <f t="shared" ref="Y51" si="443">EDATE(X51,1)</f>
        <v>46023</v>
      </c>
      <c r="Z51" s="111">
        <f t="shared" ref="Z51" si="444">EDATE(Y51,1)</f>
        <v>46054</v>
      </c>
      <c r="AA51" s="112">
        <f t="shared" ref="AA51" si="445">EDATE(Z51,1)</f>
        <v>46082</v>
      </c>
      <c r="AB51" s="111">
        <f t="shared" ref="AB51" si="446">EDATE(AA51,1)</f>
        <v>46113</v>
      </c>
      <c r="AC51" s="111">
        <f t="shared" ref="AC51" si="447">EDATE(AB51,1)</f>
        <v>46143</v>
      </c>
      <c r="AD51" s="111">
        <f t="shared" ref="AD51" si="448">EDATE(AC51,1)</f>
        <v>46174</v>
      </c>
      <c r="AE51" s="111">
        <f t="shared" ref="AE51" si="449">EDATE(AD51,1)</f>
        <v>46204</v>
      </c>
      <c r="AF51" s="111">
        <f t="shared" ref="AF51" si="450">EDATE(AE51,1)</f>
        <v>46235</v>
      </c>
      <c r="AG51" s="111">
        <f t="shared" ref="AG51" si="451">EDATE(AF51,1)</f>
        <v>46266</v>
      </c>
      <c r="AH51" s="111">
        <f t="shared" ref="AH51" si="452">EDATE(AG51,1)</f>
        <v>46296</v>
      </c>
      <c r="AI51" s="111">
        <f t="shared" ref="AI51" si="453">EDATE(AH51,1)</f>
        <v>46327</v>
      </c>
      <c r="AJ51" s="111">
        <f t="shared" ref="AJ51" si="454">EDATE(AI51,1)</f>
        <v>46357</v>
      </c>
      <c r="AK51" s="111">
        <f t="shared" ref="AK51" si="455">EDATE(AJ51,1)</f>
        <v>46388</v>
      </c>
      <c r="AL51" s="111">
        <f t="shared" ref="AL51" si="456">EDATE(AK51,1)</f>
        <v>46419</v>
      </c>
      <c r="AM51" s="112">
        <f t="shared" ref="AM51" si="457">EDATE(AL51,1)</f>
        <v>46447</v>
      </c>
      <c r="AN51" s="111">
        <f t="shared" ref="AN51" si="458">EDATE(AM51,1)</f>
        <v>46478</v>
      </c>
      <c r="AO51" s="111">
        <f t="shared" ref="AO51" si="459">EDATE(AN51,1)</f>
        <v>46508</v>
      </c>
      <c r="AP51" s="111">
        <f t="shared" ref="AP51" si="460">EDATE(AO51,1)</f>
        <v>46539</v>
      </c>
      <c r="AQ51" s="111">
        <f t="shared" ref="AQ51" si="461">EDATE(AP51,1)</f>
        <v>46569</v>
      </c>
      <c r="AR51" s="111">
        <f t="shared" ref="AR51" si="462">EDATE(AQ51,1)</f>
        <v>46600</v>
      </c>
      <c r="AS51" s="111">
        <f t="shared" ref="AS51" si="463">EDATE(AR51,1)</f>
        <v>46631</v>
      </c>
      <c r="AT51" s="111">
        <f t="shared" ref="AT51" si="464">EDATE(AS51,1)</f>
        <v>46661</v>
      </c>
      <c r="AU51" s="111">
        <f t="shared" ref="AU51" si="465">EDATE(AT51,1)</f>
        <v>46692</v>
      </c>
      <c r="AV51" s="111">
        <f t="shared" ref="AV51" si="466">EDATE(AU51,1)</f>
        <v>46722</v>
      </c>
      <c r="AW51" s="111">
        <f t="shared" ref="AW51" si="467">EDATE(AV51,1)</f>
        <v>46753</v>
      </c>
      <c r="AX51" s="112">
        <f t="shared" ref="AX51" si="468">EDATE(AW51,1)</f>
        <v>46784</v>
      </c>
      <c r="AY51" s="111">
        <f t="shared" ref="AY51" si="469">EDATE(AX51,1)</f>
        <v>46813</v>
      </c>
      <c r="AZ51" s="111">
        <f t="shared" ref="AZ51" si="470">EDATE(AY51,1)</f>
        <v>46844</v>
      </c>
      <c r="BA51" s="111">
        <f t="shared" ref="BA51" si="471">EDATE(AZ51,1)</f>
        <v>46874</v>
      </c>
      <c r="BB51" s="111">
        <f t="shared" ref="BB51" si="472">EDATE(BA51,1)</f>
        <v>46905</v>
      </c>
      <c r="BC51" s="111">
        <f t="shared" ref="BC51" si="473">EDATE(BB51,1)</f>
        <v>46935</v>
      </c>
      <c r="BD51" s="111">
        <f t="shared" ref="BD51" si="474">EDATE(BC51,1)</f>
        <v>46966</v>
      </c>
      <c r="BE51" s="111">
        <f t="shared" ref="BE51" si="475">EDATE(BD51,1)</f>
        <v>46997</v>
      </c>
      <c r="BF51" s="111">
        <f t="shared" ref="BF51" si="476">EDATE(BE51,1)</f>
        <v>47027</v>
      </c>
      <c r="BG51" s="111">
        <f t="shared" ref="BG51" si="477">EDATE(BF51,1)</f>
        <v>47058</v>
      </c>
      <c r="BH51" s="111">
        <f t="shared" ref="BH51" si="478">EDATE(BG51,1)</f>
        <v>47088</v>
      </c>
      <c r="BI51" s="111">
        <f t="shared" ref="BI51" si="479">EDATE(BH51,1)</f>
        <v>47119</v>
      </c>
      <c r="BJ51" s="112">
        <f>EDATE(BI51,1)</f>
        <v>47150</v>
      </c>
    </row>
    <row r="52" spans="1:62" x14ac:dyDescent="0.35">
      <c r="B52" s="1" t="s">
        <v>51</v>
      </c>
      <c r="C52" s="200">
        <f>'Calculation - Stage dist'!F30*C$55</f>
        <v>7538.3707656349416</v>
      </c>
      <c r="D52" s="201">
        <f>'Calculation - Stage dist'!G30*D$55</f>
        <v>7490.5663207395955</v>
      </c>
      <c r="E52" s="201">
        <f>'Calculation - Stage dist'!H30*E$55</f>
        <v>7234.2946496987388</v>
      </c>
      <c r="F52" s="201">
        <f>'Calculation - Stage dist'!I30*F$55</f>
        <v>7000.5251457807235</v>
      </c>
      <c r="G52" s="201">
        <f>'Calculation - Stage dist'!J30*G$55</f>
        <v>6794.5729013319042</v>
      </c>
      <c r="H52" s="201">
        <f>'Calculation - Stage dist'!K30*H$55</f>
        <v>6610.1446936125094</v>
      </c>
      <c r="I52" s="201">
        <f>'Calculation - Stage dist'!L30*I$55</f>
        <v>6438.7080161157846</v>
      </c>
      <c r="J52" s="201">
        <f>'Calculation - Stage dist'!M30*J$55</f>
        <v>6265.1871368965894</v>
      </c>
      <c r="K52" s="201">
        <f>'Calculation - Stage dist'!N30*K$55</f>
        <v>6076.4128465258664</v>
      </c>
      <c r="L52" s="201">
        <f>'Calculation - Stage dist'!O30*L$55</f>
        <v>5907.1662783708198</v>
      </c>
      <c r="M52" s="201">
        <f>'Calculation - Stage dist'!P30*M$55</f>
        <v>5734.8099573071431</v>
      </c>
      <c r="N52" s="201">
        <f>'Calculation - Stage dist'!Q30*N$55</f>
        <v>5565.3957149416692</v>
      </c>
      <c r="O52" s="202">
        <f>'Calculation - Stage dist'!R30*O$55</f>
        <v>5438.0439506321491</v>
      </c>
      <c r="P52" s="201">
        <f>'Calculation - Stage dist'!S30*P$55</f>
        <v>5185.8076953461086</v>
      </c>
      <c r="Q52" s="201">
        <f>'Calculation - Stage dist'!T30*Q$55</f>
        <v>4951.8385314764209</v>
      </c>
      <c r="R52" s="201">
        <f>'Calculation - Stage dist'!U30*R$55</f>
        <v>4733.2120557349499</v>
      </c>
      <c r="S52" s="201">
        <f>'Calculation - Stage dist'!V30*S$55</f>
        <v>4531.2823400732977</v>
      </c>
      <c r="T52" s="201">
        <f>'Calculation - Stage dist'!W30*T$55</f>
        <v>4346.428514165329</v>
      </c>
      <c r="U52" s="201">
        <f>'Calculation - Stage dist'!X30*U$55</f>
        <v>4172.2928751037562</v>
      </c>
      <c r="V52" s="201">
        <f>'Calculation - Stage dist'!Y30*V$55</f>
        <v>4053.6469740004468</v>
      </c>
      <c r="W52" s="201">
        <f>'Calculation - Stage dist'!Z30*W$55</f>
        <v>3979.9162799678111</v>
      </c>
      <c r="X52" s="201">
        <f>'Calculation - Stage dist'!AA30*X$55</f>
        <v>3962.2246885315794</v>
      </c>
      <c r="Y52" s="201">
        <f>'Calculation - Stage dist'!AB30*Y$55</f>
        <v>4001.6379670135702</v>
      </c>
      <c r="Z52" s="201">
        <f>'Calculation - Stage dist'!AC30*Z$55</f>
        <v>4089.8205122992354</v>
      </c>
      <c r="AA52" s="202">
        <f>'Calculation - Stage dist'!AD30*AA$55</f>
        <v>4309.9723837624861</v>
      </c>
      <c r="AB52" s="201">
        <f>'Calculation - Stage dist'!AE30*AB$55</f>
        <v>4295.7616288867857</v>
      </c>
      <c r="AC52" s="201">
        <f>'Calculation - Stage dist'!AF30*AC$55</f>
        <v>4332.9763906569442</v>
      </c>
      <c r="AD52" s="201">
        <f>'Calculation - Stage dist'!AG30*AD$55</f>
        <v>4439.4328712503211</v>
      </c>
      <c r="AE52" s="201">
        <f>'Calculation - Stage dist'!AH30*AE$55</f>
        <v>4637.3422904489207</v>
      </c>
      <c r="AF52" s="201">
        <f>'Calculation - Stage dist'!AI30*AF$55</f>
        <v>4931.8274618303667</v>
      </c>
      <c r="AG52" s="201">
        <f>'Calculation - Stage dist'!AJ30*AG$55</f>
        <v>5319.6797970099024</v>
      </c>
      <c r="AH52" s="201">
        <f>'Calculation - Stage dist'!AK30*AH$55</f>
        <v>6044.072648239533</v>
      </c>
      <c r="AI52" s="201">
        <f>'Calculation - Stage dist'!AL30*AI$55</f>
        <v>6721.9613849563348</v>
      </c>
      <c r="AJ52" s="201">
        <f>'Calculation - Stage dist'!AM30*AJ$55</f>
        <v>7422.977141780294</v>
      </c>
      <c r="AK52" s="201">
        <f>'Calculation - Stage dist'!AN30*AK$55</f>
        <v>8145.6384267040366</v>
      </c>
      <c r="AL52" s="201">
        <f>'Calculation - Stage dist'!AO30*AL$55</f>
        <v>8855.2323690743415</v>
      </c>
      <c r="AM52" s="202">
        <f>'Calculation - Stage dist'!AP30*AM$55</f>
        <v>9819.2113512013311</v>
      </c>
      <c r="AN52" s="201">
        <f>'Calculation - Stage dist'!AQ30*AN$55</f>
        <v>0</v>
      </c>
      <c r="AO52" s="201">
        <f>'Calculation - Stage dist'!AR30*AO$55</f>
        <v>0</v>
      </c>
      <c r="AP52" s="201">
        <f>'Calculation - Stage dist'!AS30*AP$55</f>
        <v>0</v>
      </c>
      <c r="AQ52" s="201">
        <f>'Calculation - Stage dist'!AT30*AQ$55</f>
        <v>0</v>
      </c>
      <c r="AR52" s="201">
        <f>'Calculation - Stage dist'!AU30*AR$55</f>
        <v>0</v>
      </c>
      <c r="AS52" s="201">
        <f>'Calculation - Stage dist'!AV30*AS$55</f>
        <v>0</v>
      </c>
      <c r="AT52" s="201">
        <f>'Calculation - Stage dist'!AW30*AT$55</f>
        <v>0</v>
      </c>
      <c r="AU52" s="201">
        <f>'Calculation - Stage dist'!AX30*AU$55</f>
        <v>0</v>
      </c>
      <c r="AV52" s="201">
        <f>'Calculation - Stage dist'!AY30*AV$55</f>
        <v>0</v>
      </c>
      <c r="AW52" s="201">
        <f>'Calculation - Stage dist'!AZ30*AW$55</f>
        <v>0</v>
      </c>
      <c r="AX52" s="202">
        <f>'Calculation - Stage dist'!BA30*AX$55</f>
        <v>0</v>
      </c>
      <c r="AY52" s="201">
        <f>'Calculation - Stage dist'!BB30*AY$55</f>
        <v>0</v>
      </c>
      <c r="AZ52" s="201">
        <f>'Calculation - Stage dist'!BC30*AZ$55</f>
        <v>0</v>
      </c>
      <c r="BA52" s="201">
        <f>'Calculation - Stage dist'!BD30*BA$55</f>
        <v>0</v>
      </c>
      <c r="BB52" s="201">
        <f>'Calculation - Stage dist'!BE30*BB$55</f>
        <v>0</v>
      </c>
      <c r="BC52" s="201">
        <f>'Calculation - Stage dist'!BF30*BC$55</f>
        <v>0</v>
      </c>
      <c r="BD52" s="201">
        <f>'Calculation - Stage dist'!BG30*BD$55</f>
        <v>0</v>
      </c>
      <c r="BE52" s="201">
        <f>'Calculation - Stage dist'!BH30*BE$55</f>
        <v>0</v>
      </c>
      <c r="BF52" s="201">
        <f>'Calculation - Stage dist'!BI30*BF$55</f>
        <v>0</v>
      </c>
      <c r="BG52" s="201">
        <f>'Calculation - Stage dist'!BJ30*BG$55</f>
        <v>0</v>
      </c>
      <c r="BH52" s="201">
        <f>'Calculation - Stage dist'!BK30*BH$55</f>
        <v>0</v>
      </c>
      <c r="BI52" s="201">
        <f>'Calculation - Stage dist'!BL30*BI$55</f>
        <v>0</v>
      </c>
      <c r="BJ52" s="202">
        <f>'Calculation - Stage dist'!BM30*BJ$55</f>
        <v>0</v>
      </c>
    </row>
    <row r="53" spans="1:62" x14ac:dyDescent="0.35">
      <c r="B53" s="2" t="s">
        <v>52</v>
      </c>
      <c r="C53" s="203">
        <f>'Calculation - Stage dist'!F31*C$55</f>
        <v>0</v>
      </c>
      <c r="D53" s="204">
        <f>'Calculation - Stage dist'!G31*D$55</f>
        <v>0</v>
      </c>
      <c r="E53" s="204">
        <f>'Calculation - Stage dist'!H31*E$55</f>
        <v>0</v>
      </c>
      <c r="F53" s="204">
        <f>'Calculation - Stage dist'!I31*F$55</f>
        <v>0</v>
      </c>
      <c r="G53" s="204">
        <f>'Calculation - Stage dist'!J31*G$55</f>
        <v>0</v>
      </c>
      <c r="H53" s="204">
        <f>'Calculation - Stage dist'!K31*H$55</f>
        <v>0</v>
      </c>
      <c r="I53" s="204">
        <f>'Calculation - Stage dist'!L31*I$55</f>
        <v>0</v>
      </c>
      <c r="J53" s="204">
        <f>'Calculation - Stage dist'!M31*J$55</f>
        <v>0</v>
      </c>
      <c r="K53" s="204">
        <f>'Calculation - Stage dist'!N31*K$55</f>
        <v>0</v>
      </c>
      <c r="L53" s="204">
        <f>'Calculation - Stage dist'!O31*L$55</f>
        <v>0</v>
      </c>
      <c r="M53" s="204">
        <f>'Calculation - Stage dist'!P31*M$55</f>
        <v>0</v>
      </c>
      <c r="N53" s="204">
        <f>'Calculation - Stage dist'!Q31*N$55</f>
        <v>0</v>
      </c>
      <c r="O53" s="205">
        <f>'Calculation - Stage dist'!R31*O$55</f>
        <v>0</v>
      </c>
      <c r="P53" s="204">
        <f>'Calculation - Stage dist'!S31*P$55</f>
        <v>0</v>
      </c>
      <c r="Q53" s="204">
        <f>'Calculation - Stage dist'!T31*Q$55</f>
        <v>0</v>
      </c>
      <c r="R53" s="204">
        <f>'Calculation - Stage dist'!U31*R$55</f>
        <v>0</v>
      </c>
      <c r="S53" s="204">
        <f>'Calculation - Stage dist'!V31*S$55</f>
        <v>0</v>
      </c>
      <c r="T53" s="204">
        <f>'Calculation - Stage dist'!W31*T$55</f>
        <v>0</v>
      </c>
      <c r="U53" s="204">
        <f>'Calculation - Stage dist'!X31*U$55</f>
        <v>0</v>
      </c>
      <c r="V53" s="204">
        <f>'Calculation - Stage dist'!Y31*V$55</f>
        <v>0</v>
      </c>
      <c r="W53" s="204">
        <f>'Calculation - Stage dist'!Z31*W$55</f>
        <v>0</v>
      </c>
      <c r="X53" s="204">
        <f>'Calculation - Stage dist'!AA31*X$55</f>
        <v>0</v>
      </c>
      <c r="Y53" s="204">
        <f>'Calculation - Stage dist'!AB31*Y$55</f>
        <v>0</v>
      </c>
      <c r="Z53" s="204">
        <f>'Calculation - Stage dist'!AC31*Z$55</f>
        <v>0</v>
      </c>
      <c r="AA53" s="205">
        <f>'Calculation - Stage dist'!AD31*AA$55</f>
        <v>0</v>
      </c>
      <c r="AB53" s="204">
        <f>'Calculation - Stage dist'!AE31*AB$55</f>
        <v>0</v>
      </c>
      <c r="AC53" s="204">
        <f>'Calculation - Stage dist'!AF31*AC$55</f>
        <v>0</v>
      </c>
      <c r="AD53" s="204">
        <f>'Calculation - Stage dist'!AG31*AD$55</f>
        <v>0</v>
      </c>
      <c r="AE53" s="204">
        <f>'Calculation - Stage dist'!AH31*AE$55</f>
        <v>0</v>
      </c>
      <c r="AF53" s="204">
        <f>'Calculation - Stage dist'!AI31*AF$55</f>
        <v>0</v>
      </c>
      <c r="AG53" s="204">
        <f>'Calculation - Stage dist'!AJ31*AG$55</f>
        <v>0</v>
      </c>
      <c r="AH53" s="204">
        <f>'Calculation - Stage dist'!AK31*AH$55</f>
        <v>0</v>
      </c>
      <c r="AI53" s="204">
        <f>'Calculation - Stage dist'!AL31*AI$55</f>
        <v>0</v>
      </c>
      <c r="AJ53" s="204">
        <f>'Calculation - Stage dist'!AM31*AJ$55</f>
        <v>0</v>
      </c>
      <c r="AK53" s="204">
        <f>'Calculation - Stage dist'!AN31*AK$55</f>
        <v>0</v>
      </c>
      <c r="AL53" s="204">
        <f>'Calculation - Stage dist'!AO31*AL$55</f>
        <v>0</v>
      </c>
      <c r="AM53" s="205">
        <f>'Calculation - Stage dist'!AP31*AM$55</f>
        <v>0</v>
      </c>
      <c r="AN53" s="204">
        <f>'Calculation - Stage dist'!AQ31*AN$55</f>
        <v>0</v>
      </c>
      <c r="AO53" s="204">
        <f>'Calculation - Stage dist'!AR31*AO$55</f>
        <v>0</v>
      </c>
      <c r="AP53" s="204">
        <f>'Calculation - Stage dist'!AS31*AP$55</f>
        <v>0</v>
      </c>
      <c r="AQ53" s="204">
        <f>'Calculation - Stage dist'!AT31*AQ$55</f>
        <v>0</v>
      </c>
      <c r="AR53" s="204">
        <f>'Calculation - Stage dist'!AU31*AR$55</f>
        <v>0</v>
      </c>
      <c r="AS53" s="204">
        <f>'Calculation - Stage dist'!AV31*AS$55</f>
        <v>0</v>
      </c>
      <c r="AT53" s="204">
        <f>'Calculation - Stage dist'!AW31*AT$55</f>
        <v>0</v>
      </c>
      <c r="AU53" s="204">
        <f>'Calculation - Stage dist'!AX31*AU$55</f>
        <v>0</v>
      </c>
      <c r="AV53" s="204">
        <f>'Calculation - Stage dist'!AY31*AV$55</f>
        <v>0</v>
      </c>
      <c r="AW53" s="204">
        <f>'Calculation - Stage dist'!AZ31*AW$55</f>
        <v>0</v>
      </c>
      <c r="AX53" s="205">
        <f>'Calculation - Stage dist'!BA31*AX$55</f>
        <v>0</v>
      </c>
      <c r="AY53" s="204">
        <f>'Calculation - Stage dist'!BB31*AY$55</f>
        <v>0</v>
      </c>
      <c r="AZ53" s="204">
        <f>'Calculation - Stage dist'!BC31*AZ$55</f>
        <v>0</v>
      </c>
      <c r="BA53" s="204">
        <f>'Calculation - Stage dist'!BD31*BA$55</f>
        <v>0</v>
      </c>
      <c r="BB53" s="204">
        <f>'Calculation - Stage dist'!BE31*BB$55</f>
        <v>0</v>
      </c>
      <c r="BC53" s="204">
        <f>'Calculation - Stage dist'!BF31*BC$55</f>
        <v>0</v>
      </c>
      <c r="BD53" s="204">
        <f>'Calculation - Stage dist'!BG31*BD$55</f>
        <v>0</v>
      </c>
      <c r="BE53" s="204">
        <f>'Calculation - Stage dist'!BH31*BE$55</f>
        <v>0</v>
      </c>
      <c r="BF53" s="204">
        <f>'Calculation - Stage dist'!BI31*BF$55</f>
        <v>0</v>
      </c>
      <c r="BG53" s="204">
        <f>'Calculation - Stage dist'!BJ31*BG$55</f>
        <v>0</v>
      </c>
      <c r="BH53" s="204">
        <f>'Calculation - Stage dist'!BK31*BH$55</f>
        <v>0</v>
      </c>
      <c r="BI53" s="204">
        <f>'Calculation - Stage dist'!BL31*BI$55</f>
        <v>0</v>
      </c>
      <c r="BJ53" s="205">
        <f>'Calculation - Stage dist'!BM31*BJ$55</f>
        <v>0</v>
      </c>
    </row>
    <row r="54" spans="1:62" x14ac:dyDescent="0.35">
      <c r="B54" s="3" t="s">
        <v>53</v>
      </c>
      <c r="C54" s="206">
        <f>'Calculation - Stage dist'!F32*C$55</f>
        <v>8.6839972899999989</v>
      </c>
      <c r="D54" s="207">
        <f>'Calculation - Stage dist'!G32*D$55</f>
        <v>8.6687838072224004</v>
      </c>
      <c r="E54" s="207">
        <f>'Calculation - Stage dist'!H32*E$55</f>
        <v>8.3526477932660779</v>
      </c>
      <c r="F54" s="207">
        <f>'Calculation - Stage dist'!I32*F$55</f>
        <v>8.0119663863977042</v>
      </c>
      <c r="G54" s="207">
        <f>'Calculation - Stage dist'!J32*G$55</f>
        <v>7.6381735518386256</v>
      </c>
      <c r="H54" s="207">
        <f>'Calculation - Stage dist'!K32*H$55</f>
        <v>7.2402424706164874</v>
      </c>
      <c r="I54" s="207">
        <f>'Calculation - Stage dist'!L32*I$55</f>
        <v>6.8449936437972854</v>
      </c>
      <c r="J54" s="207">
        <f>'Calculation - Stage dist'!M32*J$55</f>
        <v>6.4436933404910404</v>
      </c>
      <c r="K54" s="207">
        <f>'Calculation - Stage dist'!N32*K$55</f>
        <v>6.06478340682804</v>
      </c>
      <c r="L54" s="207">
        <f>'Calculation - Stage dist'!O32*L$55</f>
        <v>5.7052400821538463</v>
      </c>
      <c r="M54" s="207">
        <f>'Calculation - Stage dist'!P32*M$55</f>
        <v>5.3472585175335769</v>
      </c>
      <c r="N54" s="207">
        <f>'Calculation - Stage dist'!Q32*N$55</f>
        <v>5.0136097240403519</v>
      </c>
      <c r="O54" s="208">
        <f>'Calculation - Stage dist'!R32*O$55</f>
        <v>4.6433965698926469</v>
      </c>
      <c r="P54" s="207">
        <f>'Calculation - Stage dist'!S32*P$55</f>
        <v>4.4847571622984743</v>
      </c>
      <c r="Q54" s="207">
        <f>'Calculation - Stage dist'!T32*Q$55</f>
        <v>4.3090532114661331</v>
      </c>
      <c r="R54" s="207">
        <f>'Calculation - Stage dist'!U32*R$55</f>
        <v>4.1187030900061981</v>
      </c>
      <c r="S54" s="207">
        <f>'Calculation - Stage dist'!V32*S$55</f>
        <v>3.9086280423036288</v>
      </c>
      <c r="T54" s="207">
        <f>'Calculation - Stage dist'!W32*T$55</f>
        <v>3.6870615987643709</v>
      </c>
      <c r="U54" s="207">
        <f>'Calculation - Stage dist'!X32*U$55</f>
        <v>3.4658607478194026</v>
      </c>
      <c r="V54" s="207">
        <f>'Calculation - Stage dist'!Y32*V$55</f>
        <v>3.2851476226812171</v>
      </c>
      <c r="W54" s="207">
        <f>'Calculation - Stage dist'!Z32*W$55</f>
        <v>3.1533988081159743</v>
      </c>
      <c r="X54" s="207">
        <f>'Calculation - Stage dist'!AA32*X$55</f>
        <v>3.0591980659943534</v>
      </c>
      <c r="Y54" s="207">
        <f>'Calculation - Stage dist'!AB32*Y$55</f>
        <v>3.0022999782522883</v>
      </c>
      <c r="Z54" s="207">
        <f>'Calculation - Stage dist'!AC32*Z$55</f>
        <v>2.9820702704314552</v>
      </c>
      <c r="AA54" s="208">
        <f>'Calculation - Stage dist'!AD32*AA$55</f>
        <v>2.997550814460622</v>
      </c>
      <c r="AB54" s="207">
        <f>'Calculation - Stage dist'!AE32*AB$55</f>
        <v>3.0368941088769064</v>
      </c>
      <c r="AC54" s="207">
        <f>'Calculation - Stage dist'!AF32*AC$55</f>
        <v>3.0941174413824037</v>
      </c>
      <c r="AD54" s="207">
        <f>'Calculation - Stage dist'!AG32*AD$55</f>
        <v>3.1827467000694827</v>
      </c>
      <c r="AE54" s="207">
        <f>'Calculation - Stage dist'!AH32*AE$55</f>
        <v>3.3096294430277813</v>
      </c>
      <c r="AF54" s="207">
        <f>'Calculation - Stage dist'!AI32*AF$55</f>
        <v>3.4765472081414277</v>
      </c>
      <c r="AG54" s="207">
        <f>'Calculation - Stage dist'!AJ32*AG$55</f>
        <v>3.6875909296580169</v>
      </c>
      <c r="AH54" s="207">
        <f>'Calculation - Stage dist'!AK32*AH$55</f>
        <v>4.1040314791461237</v>
      </c>
      <c r="AI54" s="207">
        <f>'Calculation - Stage dist'!AL32*AI$55</f>
        <v>4.4785971845989456</v>
      </c>
      <c r="AJ54" s="207">
        <f>'Calculation - Stage dist'!AM32*AJ$55</f>
        <v>4.8359223983399007</v>
      </c>
      <c r="AK54" s="207">
        <f>'Calculation - Stage dist'!AN32*AK$55</f>
        <v>5.1734293617795446</v>
      </c>
      <c r="AL54" s="207">
        <f>'Calculation - Stage dist'!AO32*AL$55</f>
        <v>5.4818900024393891</v>
      </c>
      <c r="AM54" s="208">
        <f>'Calculation - Stage dist'!AP32*AM$55</f>
        <v>5.8166159431516649</v>
      </c>
      <c r="AN54" s="207">
        <f>'Calculation - Stage dist'!AQ32*AN$55</f>
        <v>0</v>
      </c>
      <c r="AO54" s="207">
        <f>'Calculation - Stage dist'!AR32*AO$55</f>
        <v>0</v>
      </c>
      <c r="AP54" s="207">
        <f>'Calculation - Stage dist'!AS32*AP$55</f>
        <v>0</v>
      </c>
      <c r="AQ54" s="207">
        <f>'Calculation - Stage dist'!AT32*AQ$55</f>
        <v>0</v>
      </c>
      <c r="AR54" s="207">
        <f>'Calculation - Stage dist'!AU32*AR$55</f>
        <v>0</v>
      </c>
      <c r="AS54" s="207">
        <f>'Calculation - Stage dist'!AV32*AS$55</f>
        <v>0</v>
      </c>
      <c r="AT54" s="207">
        <f>'Calculation - Stage dist'!AW32*AT$55</f>
        <v>0</v>
      </c>
      <c r="AU54" s="207">
        <f>'Calculation - Stage dist'!AX32*AU$55</f>
        <v>0</v>
      </c>
      <c r="AV54" s="207">
        <f>'Calculation - Stage dist'!AY32*AV$55</f>
        <v>0</v>
      </c>
      <c r="AW54" s="207">
        <f>'Calculation - Stage dist'!AZ32*AW$55</f>
        <v>0</v>
      </c>
      <c r="AX54" s="208">
        <f>'Calculation - Stage dist'!BA32*AX$55</f>
        <v>0</v>
      </c>
      <c r="AY54" s="207">
        <f>'Calculation - Stage dist'!BB32*AY$55</f>
        <v>0</v>
      </c>
      <c r="AZ54" s="207">
        <f>'Calculation - Stage dist'!BC32*AZ$55</f>
        <v>0</v>
      </c>
      <c r="BA54" s="207">
        <f>'Calculation - Stage dist'!BD32*BA$55</f>
        <v>0</v>
      </c>
      <c r="BB54" s="207">
        <f>'Calculation - Stage dist'!BE32*BB$55</f>
        <v>0</v>
      </c>
      <c r="BC54" s="207">
        <f>'Calculation - Stage dist'!BF32*BC$55</f>
        <v>0</v>
      </c>
      <c r="BD54" s="207">
        <f>'Calculation - Stage dist'!BG32*BD$55</f>
        <v>0</v>
      </c>
      <c r="BE54" s="207">
        <f>'Calculation - Stage dist'!BH32*BE$55</f>
        <v>0</v>
      </c>
      <c r="BF54" s="207">
        <f>'Calculation - Stage dist'!BI32*BF$55</f>
        <v>0</v>
      </c>
      <c r="BG54" s="207">
        <f>'Calculation - Stage dist'!BJ32*BG$55</f>
        <v>0</v>
      </c>
      <c r="BH54" s="207">
        <f>'Calculation - Stage dist'!BK32*BH$55</f>
        <v>0</v>
      </c>
      <c r="BI54" s="207">
        <f>'Calculation - Stage dist'!BL32*BI$55</f>
        <v>0</v>
      </c>
      <c r="BJ54" s="208">
        <f>'Calculation - Stage dist'!BM32*BJ$55</f>
        <v>0</v>
      </c>
    </row>
    <row r="55" spans="1:62" x14ac:dyDescent="0.35">
      <c r="B55" s="3" t="s">
        <v>140</v>
      </c>
      <c r="C55" s="206">
        <f>'Input - ENR'!C18</f>
        <v>7547.0547629249413</v>
      </c>
      <c r="D55" s="207">
        <f>'Input - ENR'!D18</f>
        <v>7499.2351045468185</v>
      </c>
      <c r="E55" s="207">
        <f>'Input - ENR'!E18</f>
        <v>7242.6472974920052</v>
      </c>
      <c r="F55" s="207">
        <f>'Input - ENR'!F18</f>
        <v>7008.5371121671214</v>
      </c>
      <c r="G55" s="207">
        <f>'Input - ENR'!G18</f>
        <v>6802.2110748837422</v>
      </c>
      <c r="H55" s="207">
        <f>'Input - ENR'!H18</f>
        <v>6617.3849360831255</v>
      </c>
      <c r="I55" s="207">
        <f>'Input - ENR'!I18</f>
        <v>6445.553009759582</v>
      </c>
      <c r="J55" s="207">
        <f>'Input - ENR'!J18</f>
        <v>6271.6308302370808</v>
      </c>
      <c r="K55" s="207">
        <f>'Input - ENR'!K18</f>
        <v>6082.4776299326941</v>
      </c>
      <c r="L55" s="207">
        <f>'Input - ENR'!L18</f>
        <v>5912.8715184529738</v>
      </c>
      <c r="M55" s="207">
        <f>'Input - ENR'!M18</f>
        <v>5740.1572158246772</v>
      </c>
      <c r="N55" s="207">
        <f>'Input - ENR'!N18</f>
        <v>5570.4093246657094</v>
      </c>
      <c r="O55" s="208">
        <f>'Input - ENR'!O18</f>
        <v>5442.6873472020416</v>
      </c>
      <c r="P55" s="207">
        <f>'Input - ENR'!P18</f>
        <v>5190.2924525084072</v>
      </c>
      <c r="Q55" s="207">
        <f>'Input - ENR'!Q18</f>
        <v>4956.1475846878875</v>
      </c>
      <c r="R55" s="207">
        <f>'Input - ENR'!R18</f>
        <v>4737.3307588249563</v>
      </c>
      <c r="S55" s="207">
        <f>'Input - ENR'!S18</f>
        <v>4535.1909681156012</v>
      </c>
      <c r="T55" s="207">
        <f>'Input - ENR'!T18</f>
        <v>4350.1155757640936</v>
      </c>
      <c r="U55" s="207">
        <f>'Input - ENR'!U18</f>
        <v>4175.7587358515757</v>
      </c>
      <c r="V55" s="207">
        <f>'Input - ENR'!V18</f>
        <v>4056.9321216231278</v>
      </c>
      <c r="W55" s="207">
        <f>'Input - ENR'!W18</f>
        <v>3983.0696787759271</v>
      </c>
      <c r="X55" s="207">
        <f>'Input - ENR'!X18</f>
        <v>3965.2838865975741</v>
      </c>
      <c r="Y55" s="207">
        <f>'Input - ENR'!Y18</f>
        <v>4004.6402669918225</v>
      </c>
      <c r="Z55" s="207">
        <f>'Input - ENR'!Z18</f>
        <v>4092.8025825696668</v>
      </c>
      <c r="AA55" s="208">
        <f>'Input - ENR'!AA18</f>
        <v>4312.9699345769468</v>
      </c>
      <c r="AB55" s="207">
        <f>'Input - ENR'!AB18</f>
        <v>4298.7985229956621</v>
      </c>
      <c r="AC55" s="207">
        <f>'Input - ENR'!AC18</f>
        <v>4336.0705080983262</v>
      </c>
      <c r="AD55" s="207">
        <f>'Input - ENR'!AD18</f>
        <v>4442.6156179503905</v>
      </c>
      <c r="AE55" s="207">
        <f>'Input - ENR'!AE18</f>
        <v>4640.6519198919486</v>
      </c>
      <c r="AF55" s="207">
        <f>'Input - ENR'!AF18</f>
        <v>4935.3040090385084</v>
      </c>
      <c r="AG55" s="207">
        <f>'Input - ENR'!AG18</f>
        <v>5323.3673879395601</v>
      </c>
      <c r="AH55" s="207">
        <f>'Input - ENR'!AH18</f>
        <v>6048.1766797186792</v>
      </c>
      <c r="AI55" s="207">
        <f>'Input - ENR'!AI18</f>
        <v>6726.4399821409334</v>
      </c>
      <c r="AJ55" s="207">
        <f>'Input - ENR'!AJ18</f>
        <v>7427.8130641786338</v>
      </c>
      <c r="AK55" s="207">
        <f>'Input - ENR'!AK18</f>
        <v>8150.8118560658158</v>
      </c>
      <c r="AL55" s="207">
        <f>'Input - ENR'!AL18</f>
        <v>8860.7142590767799</v>
      </c>
      <c r="AM55" s="208">
        <f>'Input - ENR'!AM18</f>
        <v>9825.0279671444823</v>
      </c>
      <c r="AN55" s="207">
        <f>'Input - ENR'!AN18</f>
        <v>0</v>
      </c>
      <c r="AO55" s="207">
        <f>'Input - ENR'!AO18</f>
        <v>0</v>
      </c>
      <c r="AP55" s="207">
        <f>'Input - ENR'!AP18</f>
        <v>0</v>
      </c>
      <c r="AQ55" s="207">
        <f>'Input - ENR'!AQ18</f>
        <v>0</v>
      </c>
      <c r="AR55" s="207">
        <f>'Input - ENR'!AR18</f>
        <v>0</v>
      </c>
      <c r="AS55" s="207">
        <f>'Input - ENR'!AS18</f>
        <v>0</v>
      </c>
      <c r="AT55" s="207">
        <f>'Input - ENR'!AT18</f>
        <v>0</v>
      </c>
      <c r="AU55" s="207">
        <f>'Input - ENR'!AU18</f>
        <v>0</v>
      </c>
      <c r="AV55" s="207">
        <f>'Input - ENR'!AV18</f>
        <v>0</v>
      </c>
      <c r="AW55" s="207">
        <f>'Input - ENR'!AW18</f>
        <v>0</v>
      </c>
      <c r="AX55" s="208">
        <f>'Input - ENR'!AX18</f>
        <v>0</v>
      </c>
      <c r="AY55" s="207">
        <f>'Input - ENR'!AY18</f>
        <v>0</v>
      </c>
      <c r="AZ55" s="207">
        <f>'Input - ENR'!AZ18</f>
        <v>0</v>
      </c>
      <c r="BA55" s="207">
        <f>'Input - ENR'!BA18</f>
        <v>0</v>
      </c>
      <c r="BB55" s="207">
        <f>'Input - ENR'!BB18</f>
        <v>0</v>
      </c>
      <c r="BC55" s="207">
        <f>'Input - ENR'!BC18</f>
        <v>0</v>
      </c>
      <c r="BD55" s="207">
        <f>'Input - ENR'!BD18</f>
        <v>0</v>
      </c>
      <c r="BE55" s="207">
        <f>'Input - ENR'!BE18</f>
        <v>0</v>
      </c>
      <c r="BF55" s="207">
        <f>'Input - ENR'!BF18</f>
        <v>0</v>
      </c>
      <c r="BG55" s="207">
        <f>'Input - ENR'!BG18</f>
        <v>0</v>
      </c>
      <c r="BH55" s="207">
        <f>'Input - ENR'!BH18</f>
        <v>0</v>
      </c>
      <c r="BI55" s="207">
        <f>'Input - ENR'!BI18</f>
        <v>0</v>
      </c>
      <c r="BJ55" s="208">
        <f>'Input - ENR'!BJ18</f>
        <v>0</v>
      </c>
    </row>
    <row r="57" spans="1:62" x14ac:dyDescent="0.35">
      <c r="B57" s="1" t="s">
        <v>141</v>
      </c>
      <c r="C57" s="110">
        <f>$C$3</f>
        <v>45352</v>
      </c>
      <c r="D57" s="111">
        <f>EDATE(C57,1)</f>
        <v>45383</v>
      </c>
      <c r="E57" s="111">
        <f t="shared" ref="E57" si="480">EDATE(D57,1)</f>
        <v>45413</v>
      </c>
      <c r="F57" s="111">
        <f t="shared" ref="F57" si="481">EDATE(E57,1)</f>
        <v>45444</v>
      </c>
      <c r="G57" s="111">
        <f t="shared" ref="G57" si="482">EDATE(F57,1)</f>
        <v>45474</v>
      </c>
      <c r="H57" s="111">
        <f t="shared" ref="H57" si="483">EDATE(G57,1)</f>
        <v>45505</v>
      </c>
      <c r="I57" s="111">
        <f t="shared" ref="I57" si="484">EDATE(H57,1)</f>
        <v>45536</v>
      </c>
      <c r="J57" s="111">
        <f t="shared" ref="J57" si="485">EDATE(I57,1)</f>
        <v>45566</v>
      </c>
      <c r="K57" s="111">
        <f t="shared" ref="K57" si="486">EDATE(J57,1)</f>
        <v>45597</v>
      </c>
      <c r="L57" s="111">
        <f t="shared" ref="L57" si="487">EDATE(K57,1)</f>
        <v>45627</v>
      </c>
      <c r="M57" s="111">
        <f t="shared" ref="M57" si="488">EDATE(L57,1)</f>
        <v>45658</v>
      </c>
      <c r="N57" s="111">
        <f t="shared" ref="N57" si="489">EDATE(M57,1)</f>
        <v>45689</v>
      </c>
      <c r="O57" s="112">
        <f t="shared" ref="O57" si="490">EDATE(N57,1)</f>
        <v>45717</v>
      </c>
      <c r="P57" s="111">
        <f t="shared" ref="P57" si="491">EDATE(O57,1)</f>
        <v>45748</v>
      </c>
      <c r="Q57" s="111">
        <f t="shared" ref="Q57" si="492">EDATE(P57,1)</f>
        <v>45778</v>
      </c>
      <c r="R57" s="111">
        <f t="shared" ref="R57" si="493">EDATE(Q57,1)</f>
        <v>45809</v>
      </c>
      <c r="S57" s="111">
        <f t="shared" ref="S57" si="494">EDATE(R57,1)</f>
        <v>45839</v>
      </c>
      <c r="T57" s="111">
        <f t="shared" ref="T57" si="495">EDATE(S57,1)</f>
        <v>45870</v>
      </c>
      <c r="U57" s="111">
        <f t="shared" ref="U57" si="496">EDATE(T57,1)</f>
        <v>45901</v>
      </c>
      <c r="V57" s="111">
        <f t="shared" ref="V57" si="497">EDATE(U57,1)</f>
        <v>45931</v>
      </c>
      <c r="W57" s="111">
        <f t="shared" ref="W57" si="498">EDATE(V57,1)</f>
        <v>45962</v>
      </c>
      <c r="X57" s="111">
        <f t="shared" ref="X57" si="499">EDATE(W57,1)</f>
        <v>45992</v>
      </c>
      <c r="Y57" s="111">
        <f t="shared" ref="Y57" si="500">EDATE(X57,1)</f>
        <v>46023</v>
      </c>
      <c r="Z57" s="111">
        <f t="shared" ref="Z57" si="501">EDATE(Y57,1)</f>
        <v>46054</v>
      </c>
      <c r="AA57" s="112">
        <f t="shared" ref="AA57" si="502">EDATE(Z57,1)</f>
        <v>46082</v>
      </c>
      <c r="AB57" s="111">
        <f t="shared" ref="AB57" si="503">EDATE(AA57,1)</f>
        <v>46113</v>
      </c>
      <c r="AC57" s="111">
        <f t="shared" ref="AC57" si="504">EDATE(AB57,1)</f>
        <v>46143</v>
      </c>
      <c r="AD57" s="111">
        <f t="shared" ref="AD57" si="505">EDATE(AC57,1)</f>
        <v>46174</v>
      </c>
      <c r="AE57" s="111">
        <f t="shared" ref="AE57" si="506">EDATE(AD57,1)</f>
        <v>46204</v>
      </c>
      <c r="AF57" s="111">
        <f t="shared" ref="AF57" si="507">EDATE(AE57,1)</f>
        <v>46235</v>
      </c>
      <c r="AG57" s="111">
        <f t="shared" ref="AG57" si="508">EDATE(AF57,1)</f>
        <v>46266</v>
      </c>
      <c r="AH57" s="111">
        <f t="shared" ref="AH57" si="509">EDATE(AG57,1)</f>
        <v>46296</v>
      </c>
      <c r="AI57" s="111">
        <f t="shared" ref="AI57" si="510">EDATE(AH57,1)</f>
        <v>46327</v>
      </c>
      <c r="AJ57" s="111">
        <f t="shared" ref="AJ57" si="511">EDATE(AI57,1)</f>
        <v>46357</v>
      </c>
      <c r="AK57" s="111">
        <f t="shared" ref="AK57" si="512">EDATE(AJ57,1)</f>
        <v>46388</v>
      </c>
      <c r="AL57" s="111">
        <f t="shared" ref="AL57" si="513">EDATE(AK57,1)</f>
        <v>46419</v>
      </c>
      <c r="AM57" s="112">
        <f t="shared" ref="AM57" si="514">EDATE(AL57,1)</f>
        <v>46447</v>
      </c>
      <c r="AN57" s="111">
        <f t="shared" ref="AN57" si="515">EDATE(AM57,1)</f>
        <v>46478</v>
      </c>
      <c r="AO57" s="111">
        <f t="shared" ref="AO57" si="516">EDATE(AN57,1)</f>
        <v>46508</v>
      </c>
      <c r="AP57" s="111">
        <f t="shared" ref="AP57" si="517">EDATE(AO57,1)</f>
        <v>46539</v>
      </c>
      <c r="AQ57" s="111">
        <f t="shared" ref="AQ57" si="518">EDATE(AP57,1)</f>
        <v>46569</v>
      </c>
      <c r="AR57" s="111">
        <f t="shared" ref="AR57" si="519">EDATE(AQ57,1)</f>
        <v>46600</v>
      </c>
      <c r="AS57" s="111">
        <f t="shared" ref="AS57" si="520">EDATE(AR57,1)</f>
        <v>46631</v>
      </c>
      <c r="AT57" s="111">
        <f t="shared" ref="AT57" si="521">EDATE(AS57,1)</f>
        <v>46661</v>
      </c>
      <c r="AU57" s="111">
        <f t="shared" ref="AU57" si="522">EDATE(AT57,1)</f>
        <v>46692</v>
      </c>
      <c r="AV57" s="111">
        <f t="shared" ref="AV57" si="523">EDATE(AU57,1)</f>
        <v>46722</v>
      </c>
      <c r="AW57" s="111">
        <f t="shared" ref="AW57" si="524">EDATE(AV57,1)</f>
        <v>46753</v>
      </c>
      <c r="AX57" s="112">
        <f t="shared" ref="AX57" si="525">EDATE(AW57,1)</f>
        <v>46784</v>
      </c>
      <c r="AY57" s="111">
        <f t="shared" ref="AY57" si="526">EDATE(AX57,1)</f>
        <v>46813</v>
      </c>
      <c r="AZ57" s="111">
        <f t="shared" ref="AZ57" si="527">EDATE(AY57,1)</f>
        <v>46844</v>
      </c>
      <c r="BA57" s="111">
        <f t="shared" ref="BA57" si="528">EDATE(AZ57,1)</f>
        <v>46874</v>
      </c>
      <c r="BB57" s="111">
        <f t="shared" ref="BB57" si="529">EDATE(BA57,1)</f>
        <v>46905</v>
      </c>
      <c r="BC57" s="111">
        <f t="shared" ref="BC57" si="530">EDATE(BB57,1)</f>
        <v>46935</v>
      </c>
      <c r="BD57" s="111">
        <f t="shared" ref="BD57" si="531">EDATE(BC57,1)</f>
        <v>46966</v>
      </c>
      <c r="BE57" s="111">
        <f t="shared" ref="BE57" si="532">EDATE(BD57,1)</f>
        <v>46997</v>
      </c>
      <c r="BF57" s="111">
        <f t="shared" ref="BF57" si="533">EDATE(BE57,1)</f>
        <v>47027</v>
      </c>
      <c r="BG57" s="111">
        <f t="shared" ref="BG57" si="534">EDATE(BF57,1)</f>
        <v>47058</v>
      </c>
      <c r="BH57" s="111">
        <f t="shared" ref="BH57" si="535">EDATE(BG57,1)</f>
        <v>47088</v>
      </c>
      <c r="BI57" s="111">
        <f t="shared" ref="BI57" si="536">EDATE(BH57,1)</f>
        <v>47119</v>
      </c>
      <c r="BJ57" s="112">
        <f>EDATE(BI57,1)</f>
        <v>47150</v>
      </c>
    </row>
    <row r="58" spans="1:62" x14ac:dyDescent="0.35">
      <c r="B58" s="1" t="s">
        <v>51</v>
      </c>
      <c r="C58" s="181">
        <v>1.0277054655386794E-2</v>
      </c>
      <c r="D58" s="182">
        <v>1.0277944545703955E-2</v>
      </c>
      <c r="E58" s="182">
        <v>1.027749247324153E-2</v>
      </c>
      <c r="F58" s="182">
        <v>1.0275801653296451E-2</v>
      </c>
      <c r="G58" s="182">
        <v>1.0272402734582955E-2</v>
      </c>
      <c r="H58" s="182">
        <v>1.0267580141154345E-2</v>
      </c>
      <c r="I58" s="182">
        <v>1.0262191051580641E-2</v>
      </c>
      <c r="J58" s="182">
        <v>1.0256402847612799E-2</v>
      </c>
      <c r="K58" s="182">
        <v>1.0251317600070557E-2</v>
      </c>
      <c r="L58" s="182">
        <v>1.0245920643037941E-2</v>
      </c>
      <c r="M58" s="182">
        <v>1.0240335345239165E-2</v>
      </c>
      <c r="N58" s="182">
        <v>1.0235055845946578E-2</v>
      </c>
      <c r="O58" s="183">
        <v>1.022719832407043E-2</v>
      </c>
      <c r="P58" s="182">
        <v>1.0229028182117326E-2</v>
      </c>
      <c r="Q58" s="182">
        <v>1.0229927797656154E-2</v>
      </c>
      <c r="R58" s="182">
        <v>1.0229924158823765E-2</v>
      </c>
      <c r="S58" s="182">
        <v>1.0228655889006401E-2</v>
      </c>
      <c r="T58" s="182">
        <v>1.0226265801106768E-2</v>
      </c>
      <c r="U58" s="182">
        <v>1.0223320259539689E-2</v>
      </c>
      <c r="V58" s="182">
        <v>1.0219930645260163E-2</v>
      </c>
      <c r="W58" s="182">
        <v>1.021690517082339E-2</v>
      </c>
      <c r="X58" s="182">
        <v>1.0213520609040823E-2</v>
      </c>
      <c r="Y58" s="182">
        <v>1.0209870738260497E-2</v>
      </c>
      <c r="Z58" s="182">
        <v>1.0206337942444009E-2</v>
      </c>
      <c r="AA58" s="183">
        <v>1.0200709640064342E-2</v>
      </c>
      <c r="AB58" s="182">
        <v>1.0202626185990072E-2</v>
      </c>
      <c r="AC58" s="182">
        <v>1.0203819435846785E-2</v>
      </c>
      <c r="AD58" s="182">
        <v>1.0204294499835334E-2</v>
      </c>
      <c r="AE58" s="182">
        <v>1.0203753385846236E-2</v>
      </c>
      <c r="AF58" s="182">
        <v>1.0202286578580782E-2</v>
      </c>
      <c r="AG58" s="182">
        <v>1.020032598029302E-2</v>
      </c>
      <c r="AH58" s="182">
        <v>1.0197954360335803E-2</v>
      </c>
      <c r="AI58" s="182">
        <v>1.0195821274128459E-2</v>
      </c>
      <c r="AJ58" s="182">
        <v>1.0193348815593804E-2</v>
      </c>
      <c r="AK58" s="182">
        <v>1.0190612042128511E-2</v>
      </c>
      <c r="AL58" s="182">
        <v>1.0187926072485818E-2</v>
      </c>
      <c r="AM58" s="183">
        <v>1.0183462986733147E-2</v>
      </c>
      <c r="AN58" s="182">
        <v>3.1366550930343455E-2</v>
      </c>
      <c r="AO58" s="182">
        <v>3.1366550930343455E-2</v>
      </c>
      <c r="AP58" s="182">
        <v>3.1366550930343455E-2</v>
      </c>
      <c r="AQ58" s="182">
        <v>3.1366550930343455E-2</v>
      </c>
      <c r="AR58" s="182">
        <v>3.1366550930343455E-2</v>
      </c>
      <c r="AS58" s="182">
        <v>3.1366550930343455E-2</v>
      </c>
      <c r="AT58" s="182">
        <v>3.1366550930343455E-2</v>
      </c>
      <c r="AU58" s="182">
        <v>3.1366550930343455E-2</v>
      </c>
      <c r="AV58" s="182">
        <v>3.1366550930343455E-2</v>
      </c>
      <c r="AW58" s="182">
        <v>3.1366550930343455E-2</v>
      </c>
      <c r="AX58" s="183">
        <v>3.1366550930343455E-2</v>
      </c>
      <c r="AY58" s="182">
        <v>3.1366550930343455E-2</v>
      </c>
      <c r="AZ58" s="182">
        <v>3.1366550930343455E-2</v>
      </c>
      <c r="BA58" s="182">
        <v>3.1366550930343455E-2</v>
      </c>
      <c r="BB58" s="182">
        <v>3.1366550930343455E-2</v>
      </c>
      <c r="BC58" s="182">
        <v>3.1366550930343455E-2</v>
      </c>
      <c r="BD58" s="182">
        <v>3.1366550930343455E-2</v>
      </c>
      <c r="BE58" s="182">
        <v>3.1366550930343455E-2</v>
      </c>
      <c r="BF58" s="182">
        <v>3.1366550930343455E-2</v>
      </c>
      <c r="BG58" s="182">
        <v>3.1366550930343455E-2</v>
      </c>
      <c r="BH58" s="182">
        <v>3.1366550930343455E-2</v>
      </c>
      <c r="BI58" s="182">
        <v>3.1366550930343455E-2</v>
      </c>
      <c r="BJ58" s="183">
        <v>3.1366550930343455E-2</v>
      </c>
    </row>
    <row r="59" spans="1:62" x14ac:dyDescent="0.35">
      <c r="B59" s="2" t="s">
        <v>52</v>
      </c>
      <c r="C59" s="184">
        <v>0</v>
      </c>
      <c r="D59" s="185">
        <v>0</v>
      </c>
      <c r="E59" s="185">
        <v>0</v>
      </c>
      <c r="F59" s="185">
        <v>0</v>
      </c>
      <c r="G59" s="185">
        <v>0</v>
      </c>
      <c r="H59" s="185">
        <v>0</v>
      </c>
      <c r="I59" s="185">
        <v>0</v>
      </c>
      <c r="J59" s="185">
        <v>0</v>
      </c>
      <c r="K59" s="185">
        <v>0</v>
      </c>
      <c r="L59" s="185">
        <v>0</v>
      </c>
      <c r="M59" s="185">
        <v>0</v>
      </c>
      <c r="N59" s="185">
        <v>0</v>
      </c>
      <c r="O59" s="186">
        <v>0</v>
      </c>
      <c r="P59" s="185">
        <v>0</v>
      </c>
      <c r="Q59" s="185">
        <v>0</v>
      </c>
      <c r="R59" s="185">
        <v>0</v>
      </c>
      <c r="S59" s="185">
        <v>0</v>
      </c>
      <c r="T59" s="185">
        <v>0</v>
      </c>
      <c r="U59" s="185">
        <v>0</v>
      </c>
      <c r="V59" s="185">
        <v>0</v>
      </c>
      <c r="W59" s="185">
        <v>0</v>
      </c>
      <c r="X59" s="185">
        <v>0</v>
      </c>
      <c r="Y59" s="185">
        <v>0</v>
      </c>
      <c r="Z59" s="185">
        <v>0</v>
      </c>
      <c r="AA59" s="186">
        <v>0</v>
      </c>
      <c r="AB59" s="185">
        <v>0</v>
      </c>
      <c r="AC59" s="185">
        <v>0</v>
      </c>
      <c r="AD59" s="185">
        <v>0</v>
      </c>
      <c r="AE59" s="185">
        <v>0</v>
      </c>
      <c r="AF59" s="185">
        <v>0</v>
      </c>
      <c r="AG59" s="185">
        <v>0</v>
      </c>
      <c r="AH59" s="185">
        <v>0</v>
      </c>
      <c r="AI59" s="185">
        <v>0</v>
      </c>
      <c r="AJ59" s="185">
        <v>0</v>
      </c>
      <c r="AK59" s="185">
        <v>0</v>
      </c>
      <c r="AL59" s="185">
        <v>0</v>
      </c>
      <c r="AM59" s="186">
        <v>0</v>
      </c>
      <c r="AN59" s="185">
        <v>0.41828286788706864</v>
      </c>
      <c r="AO59" s="185">
        <v>0.41828286788706864</v>
      </c>
      <c r="AP59" s="185">
        <v>0.41828286788706864</v>
      </c>
      <c r="AQ59" s="185">
        <v>0.41828286788706864</v>
      </c>
      <c r="AR59" s="185">
        <v>0.41828286788706864</v>
      </c>
      <c r="AS59" s="185">
        <v>0.41828286788706864</v>
      </c>
      <c r="AT59" s="185">
        <v>0.41828286788706864</v>
      </c>
      <c r="AU59" s="185">
        <v>0.41828286788706864</v>
      </c>
      <c r="AV59" s="185">
        <v>0.41828286788706864</v>
      </c>
      <c r="AW59" s="185">
        <v>0.41828286788706864</v>
      </c>
      <c r="AX59" s="186">
        <v>0.41828286788706864</v>
      </c>
      <c r="AY59" s="185">
        <v>0.41828286788706864</v>
      </c>
      <c r="AZ59" s="185">
        <v>0.41828286788706864</v>
      </c>
      <c r="BA59" s="185">
        <v>0.41828286788706864</v>
      </c>
      <c r="BB59" s="185">
        <v>0.41828286788706864</v>
      </c>
      <c r="BC59" s="185">
        <v>0.41828286788706864</v>
      </c>
      <c r="BD59" s="185">
        <v>0.41828286788706864</v>
      </c>
      <c r="BE59" s="185">
        <v>0.41828286788706864</v>
      </c>
      <c r="BF59" s="185">
        <v>0.41828286788706864</v>
      </c>
      <c r="BG59" s="185">
        <v>0.41828286788706864</v>
      </c>
      <c r="BH59" s="185">
        <v>0.41828286788706864</v>
      </c>
      <c r="BI59" s="185">
        <v>0.41828286788706864</v>
      </c>
      <c r="BJ59" s="186">
        <v>0.41828286788706864</v>
      </c>
    </row>
    <row r="60" spans="1:62" x14ac:dyDescent="0.35">
      <c r="B60" s="3" t="s">
        <v>53</v>
      </c>
      <c r="C60" s="187">
        <v>0.45009300000000002</v>
      </c>
      <c r="D60" s="188">
        <v>0.45009300000000002</v>
      </c>
      <c r="E60" s="188">
        <v>0.45009300000000002</v>
      </c>
      <c r="F60" s="188">
        <v>0.45009300000000002</v>
      </c>
      <c r="G60" s="188">
        <v>0.45009300000000002</v>
      </c>
      <c r="H60" s="188">
        <v>0.45009300000000002</v>
      </c>
      <c r="I60" s="188">
        <v>0.45009300000000002</v>
      </c>
      <c r="J60" s="188">
        <v>0.45009300000000002</v>
      </c>
      <c r="K60" s="188">
        <v>0.45009300000000002</v>
      </c>
      <c r="L60" s="188">
        <v>0.45009300000000002</v>
      </c>
      <c r="M60" s="188">
        <v>0.45009300000000002</v>
      </c>
      <c r="N60" s="188">
        <v>0.45009300000000002</v>
      </c>
      <c r="O60" s="189">
        <v>0.45009300000000002</v>
      </c>
      <c r="P60" s="188">
        <v>0.45009300000000002</v>
      </c>
      <c r="Q60" s="188">
        <v>0.45009300000000002</v>
      </c>
      <c r="R60" s="188">
        <v>0.45009300000000002</v>
      </c>
      <c r="S60" s="188">
        <v>0.45009300000000002</v>
      </c>
      <c r="T60" s="188">
        <v>0.45009300000000002</v>
      </c>
      <c r="U60" s="188">
        <v>0.45009300000000002</v>
      </c>
      <c r="V60" s="188">
        <v>0.45009300000000002</v>
      </c>
      <c r="W60" s="188">
        <v>0.45009300000000002</v>
      </c>
      <c r="X60" s="188">
        <v>0.45009300000000002</v>
      </c>
      <c r="Y60" s="188">
        <v>0.45009300000000002</v>
      </c>
      <c r="Z60" s="188">
        <v>0.45009300000000002</v>
      </c>
      <c r="AA60" s="189">
        <v>0.45009300000000002</v>
      </c>
      <c r="AB60" s="188">
        <v>0.45009300000000002</v>
      </c>
      <c r="AC60" s="188">
        <v>0.45009300000000002</v>
      </c>
      <c r="AD60" s="188">
        <v>0.45009300000000002</v>
      </c>
      <c r="AE60" s="188">
        <v>0.45009300000000002</v>
      </c>
      <c r="AF60" s="188">
        <v>0.45009300000000002</v>
      </c>
      <c r="AG60" s="188">
        <v>0.45009300000000002</v>
      </c>
      <c r="AH60" s="188">
        <v>0.45009300000000002</v>
      </c>
      <c r="AI60" s="188">
        <v>0.45009300000000002</v>
      </c>
      <c r="AJ60" s="188">
        <v>0.45009300000000002</v>
      </c>
      <c r="AK60" s="188">
        <v>0.45009300000000002</v>
      </c>
      <c r="AL60" s="188">
        <v>0.45009300000000002</v>
      </c>
      <c r="AM60" s="189">
        <v>0.45009300000000002</v>
      </c>
      <c r="AN60" s="188">
        <v>0.73826884841741014</v>
      </c>
      <c r="AO60" s="188">
        <v>0.73826884841741014</v>
      </c>
      <c r="AP60" s="188">
        <v>0.73826884841741014</v>
      </c>
      <c r="AQ60" s="188">
        <v>0.73826884841741014</v>
      </c>
      <c r="AR60" s="188">
        <v>0.73826884841741014</v>
      </c>
      <c r="AS60" s="188">
        <v>0.73826884841741014</v>
      </c>
      <c r="AT60" s="188">
        <v>0.73826884841741014</v>
      </c>
      <c r="AU60" s="188">
        <v>0.73826884841741014</v>
      </c>
      <c r="AV60" s="188">
        <v>0.73826884841741014</v>
      </c>
      <c r="AW60" s="188">
        <v>0.73826884841741014</v>
      </c>
      <c r="AX60" s="189">
        <v>0.73826884841741014</v>
      </c>
      <c r="AY60" s="188">
        <v>0.73826884841741014</v>
      </c>
      <c r="AZ60" s="188">
        <v>0.73826884841741014</v>
      </c>
      <c r="BA60" s="188">
        <v>0.73826884841741014</v>
      </c>
      <c r="BB60" s="188">
        <v>0.73826884841741014</v>
      </c>
      <c r="BC60" s="188">
        <v>0.73826884841741014</v>
      </c>
      <c r="BD60" s="188">
        <v>0.73826884841741014</v>
      </c>
      <c r="BE60" s="188">
        <v>0.73826884841741014</v>
      </c>
      <c r="BF60" s="188">
        <v>0.73826884841741014</v>
      </c>
      <c r="BG60" s="188">
        <v>0.73826884841741014</v>
      </c>
      <c r="BH60" s="188">
        <v>0.73826884841741014</v>
      </c>
      <c r="BI60" s="188">
        <v>0.73826884841741014</v>
      </c>
      <c r="BJ60" s="189">
        <v>0.73826884841741014</v>
      </c>
    </row>
    <row r="61" spans="1:62" x14ac:dyDescent="0.35">
      <c r="F61" s="155"/>
      <c r="G61" s="155"/>
      <c r="H61" s="155"/>
      <c r="I61" s="155"/>
      <c r="J61" s="155"/>
      <c r="K61" s="155"/>
      <c r="L61" s="155"/>
      <c r="M61" s="155"/>
      <c r="N61" s="155"/>
      <c r="O61" s="155"/>
      <c r="P61" s="155"/>
      <c r="Q61" s="155"/>
      <c r="R61" s="155"/>
      <c r="S61" s="155"/>
      <c r="T61" s="155"/>
      <c r="U61" s="155"/>
      <c r="V61" s="155"/>
      <c r="W61" s="155"/>
    </row>
    <row r="62" spans="1:62" x14ac:dyDescent="0.35">
      <c r="B62" s="1" t="s">
        <v>142</v>
      </c>
      <c r="C62" s="110">
        <f>$C$3</f>
        <v>45352</v>
      </c>
      <c r="D62" s="111">
        <f>EDATE(C62,1)</f>
        <v>45383</v>
      </c>
      <c r="E62" s="111">
        <f t="shared" ref="E62" si="537">EDATE(D62,1)</f>
        <v>45413</v>
      </c>
      <c r="F62" s="111">
        <f t="shared" ref="F62" si="538">EDATE(E62,1)</f>
        <v>45444</v>
      </c>
      <c r="G62" s="111">
        <f t="shared" ref="G62" si="539">EDATE(F62,1)</f>
        <v>45474</v>
      </c>
      <c r="H62" s="111">
        <f t="shared" ref="H62" si="540">EDATE(G62,1)</f>
        <v>45505</v>
      </c>
      <c r="I62" s="111">
        <f t="shared" ref="I62" si="541">EDATE(H62,1)</f>
        <v>45536</v>
      </c>
      <c r="J62" s="111">
        <f t="shared" ref="J62" si="542">EDATE(I62,1)</f>
        <v>45566</v>
      </c>
      <c r="K62" s="111">
        <f t="shared" ref="K62" si="543">EDATE(J62,1)</f>
        <v>45597</v>
      </c>
      <c r="L62" s="111">
        <f t="shared" ref="L62" si="544">EDATE(K62,1)</f>
        <v>45627</v>
      </c>
      <c r="M62" s="111">
        <f t="shared" ref="M62" si="545">EDATE(L62,1)</f>
        <v>45658</v>
      </c>
      <c r="N62" s="111">
        <f t="shared" ref="N62" si="546">EDATE(M62,1)</f>
        <v>45689</v>
      </c>
      <c r="O62" s="112">
        <f t="shared" ref="O62" si="547">EDATE(N62,1)</f>
        <v>45717</v>
      </c>
      <c r="P62" s="111">
        <f t="shared" ref="P62" si="548">EDATE(O62,1)</f>
        <v>45748</v>
      </c>
      <c r="Q62" s="111">
        <f t="shared" ref="Q62" si="549">EDATE(P62,1)</f>
        <v>45778</v>
      </c>
      <c r="R62" s="111">
        <f t="shared" ref="R62" si="550">EDATE(Q62,1)</f>
        <v>45809</v>
      </c>
      <c r="S62" s="111">
        <f t="shared" ref="S62" si="551">EDATE(R62,1)</f>
        <v>45839</v>
      </c>
      <c r="T62" s="111">
        <f t="shared" ref="T62" si="552">EDATE(S62,1)</f>
        <v>45870</v>
      </c>
      <c r="U62" s="111">
        <f t="shared" ref="U62" si="553">EDATE(T62,1)</f>
        <v>45901</v>
      </c>
      <c r="V62" s="111">
        <f t="shared" ref="V62" si="554">EDATE(U62,1)</f>
        <v>45931</v>
      </c>
      <c r="W62" s="111">
        <f t="shared" ref="W62" si="555">EDATE(V62,1)</f>
        <v>45962</v>
      </c>
      <c r="X62" s="111">
        <f t="shared" ref="X62" si="556">EDATE(W62,1)</f>
        <v>45992</v>
      </c>
      <c r="Y62" s="111">
        <f t="shared" ref="Y62" si="557">EDATE(X62,1)</f>
        <v>46023</v>
      </c>
      <c r="Z62" s="111">
        <f t="shared" ref="Z62" si="558">EDATE(Y62,1)</f>
        <v>46054</v>
      </c>
      <c r="AA62" s="112">
        <f t="shared" ref="AA62" si="559">EDATE(Z62,1)</f>
        <v>46082</v>
      </c>
      <c r="AB62" s="111">
        <f t="shared" ref="AB62" si="560">EDATE(AA62,1)</f>
        <v>46113</v>
      </c>
      <c r="AC62" s="111">
        <f t="shared" ref="AC62" si="561">EDATE(AB62,1)</f>
        <v>46143</v>
      </c>
      <c r="AD62" s="111">
        <f t="shared" ref="AD62" si="562">EDATE(AC62,1)</f>
        <v>46174</v>
      </c>
      <c r="AE62" s="111">
        <f t="shared" ref="AE62" si="563">EDATE(AD62,1)</f>
        <v>46204</v>
      </c>
      <c r="AF62" s="111">
        <f t="shared" ref="AF62" si="564">EDATE(AE62,1)</f>
        <v>46235</v>
      </c>
      <c r="AG62" s="111">
        <f t="shared" ref="AG62" si="565">EDATE(AF62,1)</f>
        <v>46266</v>
      </c>
      <c r="AH62" s="111">
        <f t="shared" ref="AH62" si="566">EDATE(AG62,1)</f>
        <v>46296</v>
      </c>
      <c r="AI62" s="111">
        <f t="shared" ref="AI62" si="567">EDATE(AH62,1)</f>
        <v>46327</v>
      </c>
      <c r="AJ62" s="111">
        <f t="shared" ref="AJ62" si="568">EDATE(AI62,1)</f>
        <v>46357</v>
      </c>
      <c r="AK62" s="111">
        <f t="shared" ref="AK62" si="569">EDATE(AJ62,1)</f>
        <v>46388</v>
      </c>
      <c r="AL62" s="111">
        <f t="shared" ref="AL62" si="570">EDATE(AK62,1)</f>
        <v>46419</v>
      </c>
      <c r="AM62" s="112">
        <f t="shared" ref="AM62" si="571">EDATE(AL62,1)</f>
        <v>46447</v>
      </c>
      <c r="AN62" s="111">
        <f t="shared" ref="AN62" si="572">EDATE(AM62,1)</f>
        <v>46478</v>
      </c>
      <c r="AO62" s="111">
        <f t="shared" ref="AO62" si="573">EDATE(AN62,1)</f>
        <v>46508</v>
      </c>
      <c r="AP62" s="111">
        <f t="shared" ref="AP62" si="574">EDATE(AO62,1)</f>
        <v>46539</v>
      </c>
      <c r="AQ62" s="111">
        <f t="shared" ref="AQ62" si="575">EDATE(AP62,1)</f>
        <v>46569</v>
      </c>
      <c r="AR62" s="111">
        <f t="shared" ref="AR62" si="576">EDATE(AQ62,1)</f>
        <v>46600</v>
      </c>
      <c r="AS62" s="111">
        <f t="shared" ref="AS62" si="577">EDATE(AR62,1)</f>
        <v>46631</v>
      </c>
      <c r="AT62" s="111">
        <f t="shared" ref="AT62" si="578">EDATE(AS62,1)</f>
        <v>46661</v>
      </c>
      <c r="AU62" s="111">
        <f t="shared" ref="AU62" si="579">EDATE(AT62,1)</f>
        <v>46692</v>
      </c>
      <c r="AV62" s="111">
        <f t="shared" ref="AV62" si="580">EDATE(AU62,1)</f>
        <v>46722</v>
      </c>
      <c r="AW62" s="111">
        <f t="shared" ref="AW62" si="581">EDATE(AV62,1)</f>
        <v>46753</v>
      </c>
      <c r="AX62" s="112">
        <f t="shared" ref="AX62" si="582">EDATE(AW62,1)</f>
        <v>46784</v>
      </c>
      <c r="AY62" s="111">
        <f t="shared" ref="AY62" si="583">EDATE(AX62,1)</f>
        <v>46813</v>
      </c>
      <c r="AZ62" s="111">
        <f t="shared" ref="AZ62" si="584">EDATE(AY62,1)</f>
        <v>46844</v>
      </c>
      <c r="BA62" s="111">
        <f t="shared" ref="BA62" si="585">EDATE(AZ62,1)</f>
        <v>46874</v>
      </c>
      <c r="BB62" s="111">
        <f t="shared" ref="BB62" si="586">EDATE(BA62,1)</f>
        <v>46905</v>
      </c>
      <c r="BC62" s="111">
        <f t="shared" ref="BC62" si="587">EDATE(BB62,1)</f>
        <v>46935</v>
      </c>
      <c r="BD62" s="111">
        <f t="shared" ref="BD62" si="588">EDATE(BC62,1)</f>
        <v>46966</v>
      </c>
      <c r="BE62" s="111">
        <f t="shared" ref="BE62" si="589">EDATE(BD62,1)</f>
        <v>46997</v>
      </c>
      <c r="BF62" s="111">
        <f t="shared" ref="BF62" si="590">EDATE(BE62,1)</f>
        <v>47027</v>
      </c>
      <c r="BG62" s="111">
        <f t="shared" ref="BG62" si="591">EDATE(BF62,1)</f>
        <v>47058</v>
      </c>
      <c r="BH62" s="111">
        <f t="shared" ref="BH62" si="592">EDATE(BG62,1)</f>
        <v>47088</v>
      </c>
      <c r="BI62" s="111">
        <f t="shared" ref="BI62" si="593">EDATE(BH62,1)</f>
        <v>47119</v>
      </c>
      <c r="BJ62" s="112">
        <f>EDATE(BI62,1)</f>
        <v>47150</v>
      </c>
    </row>
    <row r="63" spans="1:62" x14ac:dyDescent="0.35">
      <c r="A63" s="168"/>
      <c r="B63" s="1" t="s">
        <v>51</v>
      </c>
      <c r="C63" s="190">
        <f>C58*'Calculation - Stage dist'!F28</f>
        <v>1.0277054655386794E-2</v>
      </c>
      <c r="D63" s="191">
        <f>D58*'Calculation - Stage dist'!G28</f>
        <v>1.0277944545703955E-2</v>
      </c>
      <c r="E63" s="191">
        <f>E58*'Calculation - Stage dist'!H28</f>
        <v>1.027749247324153E-2</v>
      </c>
      <c r="F63" s="199">
        <f>F58*'Calculation - Stage dist'!I28</f>
        <v>1.0275801653296451E-2</v>
      </c>
      <c r="G63" s="191">
        <f>G58*'Calculation - Stage dist'!J28</f>
        <v>1.0272402734582955E-2</v>
      </c>
      <c r="H63" s="191">
        <f>H58*'Calculation - Stage dist'!K28</f>
        <v>1.0267580141154345E-2</v>
      </c>
      <c r="I63" s="191">
        <f>IFERROR(I58*'Calculation - Stage dist'!L28,I58)</f>
        <v>1.0262191051580641E-2</v>
      </c>
      <c r="J63" s="191">
        <f>IFERROR(J58*'Calculation - Stage dist'!M28,J58)</f>
        <v>1.0256402847612799E-2</v>
      </c>
      <c r="K63" s="191">
        <f>IFERROR(K58*'Calculation - Stage dist'!N28,K58)</f>
        <v>1.0251317600070557E-2</v>
      </c>
      <c r="L63" s="191">
        <f>IFERROR(L58*'Calculation - Stage dist'!O28,L58)</f>
        <v>1.0245920643037941E-2</v>
      </c>
      <c r="M63" s="191">
        <f>IFERROR(M58*'Calculation - Stage dist'!P28,M58)</f>
        <v>1.0240335345239165E-2</v>
      </c>
      <c r="N63" s="191">
        <f>IFERROR(N58*'Calculation - Stage dist'!Q28,N58)</f>
        <v>1.0235055845946578E-2</v>
      </c>
      <c r="O63" s="192">
        <f>IFERROR(O58*'Calculation - Stage dist'!R28,O58)</f>
        <v>1.022719832407043E-2</v>
      </c>
      <c r="P63" s="191">
        <f>IFERROR(P58*'Calculation - Stage dist'!S28,P58)</f>
        <v>1.0229028182117326E-2</v>
      </c>
      <c r="Q63" s="191">
        <f>IFERROR(Q58*'Calculation - Stage dist'!T28,Q58)</f>
        <v>1.0229927797656154E-2</v>
      </c>
      <c r="R63" s="191">
        <f>IFERROR(R58*'Calculation - Stage dist'!U28,R58)</f>
        <v>1.0229924158823765E-2</v>
      </c>
      <c r="S63" s="191">
        <f>IFERROR(S58*'Calculation - Stage dist'!V28,S58)</f>
        <v>1.0228655889006401E-2</v>
      </c>
      <c r="T63" s="191">
        <f>IFERROR(T58*'Calculation - Stage dist'!W28,T58)</f>
        <v>1.0226265801106768E-2</v>
      </c>
      <c r="U63" s="191">
        <f>IFERROR(U58*'Calculation - Stage dist'!X28,U58)</f>
        <v>1.0223320259539689E-2</v>
      </c>
      <c r="V63" s="191">
        <f>IFERROR(V58*'Calculation - Stage dist'!Y28,V58)</f>
        <v>1.0219930645260163E-2</v>
      </c>
      <c r="W63" s="191">
        <f>IFERROR(W58*'Calculation - Stage dist'!Z28,W58)</f>
        <v>1.021690517082339E-2</v>
      </c>
      <c r="X63" s="191">
        <f>IFERROR(X58*'Calculation - Stage dist'!AA28,X58)</f>
        <v>1.0213520609040823E-2</v>
      </c>
      <c r="Y63" s="191">
        <f>IFERROR(Y58*'Calculation - Stage dist'!AB28,Y58)</f>
        <v>1.0209870738260497E-2</v>
      </c>
      <c r="Z63" s="191">
        <f>IFERROR(Z58*'Calculation - Stage dist'!AC28,Z58)</f>
        <v>1.0206337942444009E-2</v>
      </c>
      <c r="AA63" s="192">
        <f>IFERROR(AA58*'Calculation - Stage dist'!AD28,AA58)</f>
        <v>1.0200709640064342E-2</v>
      </c>
      <c r="AB63" s="191">
        <f>IFERROR(AB58*'Calculation - Stage dist'!AE28,AB58)</f>
        <v>1.0202626185990072E-2</v>
      </c>
      <c r="AC63" s="191">
        <f>IFERROR(AC58*'Calculation - Stage dist'!AF28,AC58)</f>
        <v>1.0203819435846785E-2</v>
      </c>
      <c r="AD63" s="191">
        <f>IFERROR(AD58*'Calculation - Stage dist'!AG28,AD58)</f>
        <v>1.0204294499835334E-2</v>
      </c>
      <c r="AE63" s="191">
        <f>IFERROR(AE58*'Calculation - Stage dist'!AH28,AE58)</f>
        <v>1.0203753385846236E-2</v>
      </c>
      <c r="AF63" s="191">
        <f>IFERROR(AF58*'Calculation - Stage dist'!AI28,AF58)</f>
        <v>1.0202286578580782E-2</v>
      </c>
      <c r="AG63" s="191">
        <f>IFERROR(AG58*'Calculation - Stage dist'!AJ28,AG58)</f>
        <v>1.020032598029302E-2</v>
      </c>
      <c r="AH63" s="191">
        <f>IFERROR(AH58*'Calculation - Stage dist'!AK28,AH58)</f>
        <v>1.0197954360335803E-2</v>
      </c>
      <c r="AI63" s="191">
        <f>IFERROR(AI58*'Calculation - Stage dist'!AL28,AI58)</f>
        <v>1.0195821274128459E-2</v>
      </c>
      <c r="AJ63" s="191">
        <f>IFERROR(AJ58*'Calculation - Stage dist'!AM28,AJ58)</f>
        <v>1.0193348815593804E-2</v>
      </c>
      <c r="AK63" s="191">
        <f>IFERROR(AK58*'Calculation - Stage dist'!AN28,AK58)</f>
        <v>1.0190612042128511E-2</v>
      </c>
      <c r="AL63" s="191">
        <f>IFERROR(AL58*'Calculation - Stage dist'!AO28,AL58)</f>
        <v>1.0187926072485818E-2</v>
      </c>
      <c r="AM63" s="192">
        <f>IFERROR(AM58*'Calculation - Stage dist'!AP28,AM58)</f>
        <v>1.0183462986733147E-2</v>
      </c>
      <c r="AN63" s="191">
        <f>IFERROR(AN58*'Calculation - Stage dist'!AQ28,AN58)</f>
        <v>3.1366550930343455E-2</v>
      </c>
      <c r="AO63" s="191">
        <f>IFERROR(AO58*'Calculation - Stage dist'!AR28,AO58)</f>
        <v>3.1366550930343455E-2</v>
      </c>
      <c r="AP63" s="191">
        <f>IFERROR(AP58*'Calculation - Stage dist'!AS28,AP58)</f>
        <v>3.1366550930343455E-2</v>
      </c>
      <c r="AQ63" s="191">
        <f>IFERROR(AQ58*'Calculation - Stage dist'!AT28,AQ58)</f>
        <v>3.1366550930343455E-2</v>
      </c>
      <c r="AR63" s="191">
        <f>IFERROR(AR58*'Calculation - Stage dist'!AU28,AR58)</f>
        <v>3.1366550930343455E-2</v>
      </c>
      <c r="AS63" s="191">
        <f>IFERROR(AS58*'Calculation - Stage dist'!AV28,AS58)</f>
        <v>3.1366550930343455E-2</v>
      </c>
      <c r="AT63" s="191">
        <f>IFERROR(AT58*'Calculation - Stage dist'!AW28,AT58)</f>
        <v>3.1366550930343455E-2</v>
      </c>
      <c r="AU63" s="191">
        <f>IFERROR(AU58*'Calculation - Stage dist'!AX28,AU58)</f>
        <v>3.1366550930343455E-2</v>
      </c>
      <c r="AV63" s="191">
        <f>IFERROR(AV58*'Calculation - Stage dist'!AY28,AV58)</f>
        <v>3.1366550930343455E-2</v>
      </c>
      <c r="AW63" s="191">
        <f>IFERROR(AW58*'Calculation - Stage dist'!AZ28,AW58)</f>
        <v>3.1366550930343455E-2</v>
      </c>
      <c r="AX63" s="192">
        <f>IFERROR(AX58*'Calculation - Stage dist'!BA28,AX58)</f>
        <v>3.1366550930343455E-2</v>
      </c>
      <c r="AY63" s="191">
        <f>IFERROR(AY58*'Calculation - Stage dist'!BB28,AY58)</f>
        <v>3.1366550930343455E-2</v>
      </c>
      <c r="AZ63" s="191">
        <f>IFERROR(AZ58*'Calculation - Stage dist'!BC28,AZ58)</f>
        <v>3.1366550930343455E-2</v>
      </c>
      <c r="BA63" s="191">
        <f>IFERROR(BA58*'Calculation - Stage dist'!BD28,BA58)</f>
        <v>3.1366550930343455E-2</v>
      </c>
      <c r="BB63" s="191">
        <f>IFERROR(BB58*'Calculation - Stage dist'!BE28,BB58)</f>
        <v>3.1366550930343455E-2</v>
      </c>
      <c r="BC63" s="191">
        <f>IFERROR(BC58*'Calculation - Stage dist'!BF28,BC58)</f>
        <v>3.1366550930343455E-2</v>
      </c>
      <c r="BD63" s="191">
        <f>IFERROR(BD58*'Calculation - Stage dist'!BG28,BD58)</f>
        <v>3.1366550930343455E-2</v>
      </c>
      <c r="BE63" s="191">
        <f>IFERROR(BE58*'Calculation - Stage dist'!BH28,BE58)</f>
        <v>3.1366550930343455E-2</v>
      </c>
      <c r="BF63" s="191">
        <f>IFERROR(BF58*'Calculation - Stage dist'!BI28,BF58)</f>
        <v>3.1366550930343455E-2</v>
      </c>
      <c r="BG63" s="191">
        <f>IFERROR(BG58*'Calculation - Stage dist'!BJ28,BG58)</f>
        <v>3.1366550930343455E-2</v>
      </c>
      <c r="BH63" s="191">
        <f>IFERROR(BH58*'Calculation - Stage dist'!BK28,BH58)</f>
        <v>3.1366550930343455E-2</v>
      </c>
      <c r="BI63" s="191">
        <f>IFERROR(BI58*'Calculation - Stage dist'!BL28,BI58)</f>
        <v>3.1366550930343455E-2</v>
      </c>
      <c r="BJ63" s="192">
        <f>IFERROR(BJ58*'Calculation - Stage dist'!BM28,BJ58)</f>
        <v>3.1366550930343455E-2</v>
      </c>
    </row>
    <row r="64" spans="1:62" x14ac:dyDescent="0.35">
      <c r="B64" s="2" t="s">
        <v>52</v>
      </c>
      <c r="C64" s="193">
        <f>C59</f>
        <v>0</v>
      </c>
      <c r="D64" s="194">
        <f t="shared" ref="D64:BJ64" si="594">D59</f>
        <v>0</v>
      </c>
      <c r="E64" s="194">
        <f t="shared" si="594"/>
        <v>0</v>
      </c>
      <c r="F64" s="194">
        <f t="shared" si="594"/>
        <v>0</v>
      </c>
      <c r="G64" s="194">
        <f t="shared" si="594"/>
        <v>0</v>
      </c>
      <c r="H64" s="194">
        <f t="shared" si="594"/>
        <v>0</v>
      </c>
      <c r="I64" s="194">
        <f t="shared" si="594"/>
        <v>0</v>
      </c>
      <c r="J64" s="194">
        <f t="shared" si="594"/>
        <v>0</v>
      </c>
      <c r="K64" s="194">
        <f t="shared" si="594"/>
        <v>0</v>
      </c>
      <c r="L64" s="194">
        <f t="shared" si="594"/>
        <v>0</v>
      </c>
      <c r="M64" s="194">
        <f t="shared" si="594"/>
        <v>0</v>
      </c>
      <c r="N64" s="194">
        <f t="shared" si="594"/>
        <v>0</v>
      </c>
      <c r="O64" s="195">
        <f t="shared" si="594"/>
        <v>0</v>
      </c>
      <c r="P64" s="194">
        <f t="shared" si="594"/>
        <v>0</v>
      </c>
      <c r="Q64" s="194">
        <f t="shared" si="594"/>
        <v>0</v>
      </c>
      <c r="R64" s="194">
        <f t="shared" si="594"/>
        <v>0</v>
      </c>
      <c r="S64" s="194">
        <f t="shared" si="594"/>
        <v>0</v>
      </c>
      <c r="T64" s="194">
        <f t="shared" si="594"/>
        <v>0</v>
      </c>
      <c r="U64" s="194">
        <f t="shared" si="594"/>
        <v>0</v>
      </c>
      <c r="V64" s="194">
        <f t="shared" si="594"/>
        <v>0</v>
      </c>
      <c r="W64" s="194">
        <f t="shared" si="594"/>
        <v>0</v>
      </c>
      <c r="X64" s="194">
        <f t="shared" si="594"/>
        <v>0</v>
      </c>
      <c r="Y64" s="194">
        <f t="shared" si="594"/>
        <v>0</v>
      </c>
      <c r="Z64" s="194">
        <f t="shared" si="594"/>
        <v>0</v>
      </c>
      <c r="AA64" s="195">
        <f t="shared" si="594"/>
        <v>0</v>
      </c>
      <c r="AB64" s="194">
        <f t="shared" si="594"/>
        <v>0</v>
      </c>
      <c r="AC64" s="194">
        <f t="shared" si="594"/>
        <v>0</v>
      </c>
      <c r="AD64" s="194">
        <f t="shared" si="594"/>
        <v>0</v>
      </c>
      <c r="AE64" s="194">
        <f t="shared" si="594"/>
        <v>0</v>
      </c>
      <c r="AF64" s="194">
        <f t="shared" si="594"/>
        <v>0</v>
      </c>
      <c r="AG64" s="194">
        <f t="shared" si="594"/>
        <v>0</v>
      </c>
      <c r="AH64" s="194">
        <f t="shared" si="594"/>
        <v>0</v>
      </c>
      <c r="AI64" s="194">
        <f t="shared" si="594"/>
        <v>0</v>
      </c>
      <c r="AJ64" s="194">
        <f t="shared" si="594"/>
        <v>0</v>
      </c>
      <c r="AK64" s="194">
        <f t="shared" si="594"/>
        <v>0</v>
      </c>
      <c r="AL64" s="194">
        <f t="shared" si="594"/>
        <v>0</v>
      </c>
      <c r="AM64" s="195">
        <f t="shared" si="594"/>
        <v>0</v>
      </c>
      <c r="AN64" s="194">
        <f t="shared" si="594"/>
        <v>0.41828286788706864</v>
      </c>
      <c r="AO64" s="194">
        <f t="shared" si="594"/>
        <v>0.41828286788706864</v>
      </c>
      <c r="AP64" s="194">
        <f t="shared" si="594"/>
        <v>0.41828286788706864</v>
      </c>
      <c r="AQ64" s="194">
        <f t="shared" si="594"/>
        <v>0.41828286788706864</v>
      </c>
      <c r="AR64" s="194">
        <f t="shared" si="594"/>
        <v>0.41828286788706864</v>
      </c>
      <c r="AS64" s="194">
        <f t="shared" si="594"/>
        <v>0.41828286788706864</v>
      </c>
      <c r="AT64" s="194">
        <f t="shared" si="594"/>
        <v>0.41828286788706864</v>
      </c>
      <c r="AU64" s="194">
        <f t="shared" si="594"/>
        <v>0.41828286788706864</v>
      </c>
      <c r="AV64" s="194">
        <f t="shared" si="594"/>
        <v>0.41828286788706864</v>
      </c>
      <c r="AW64" s="194">
        <f t="shared" si="594"/>
        <v>0.41828286788706864</v>
      </c>
      <c r="AX64" s="195">
        <f t="shared" si="594"/>
        <v>0.41828286788706864</v>
      </c>
      <c r="AY64" s="194">
        <f t="shared" si="594"/>
        <v>0.41828286788706864</v>
      </c>
      <c r="AZ64" s="194">
        <f t="shared" si="594"/>
        <v>0.41828286788706864</v>
      </c>
      <c r="BA64" s="194">
        <f t="shared" si="594"/>
        <v>0.41828286788706864</v>
      </c>
      <c r="BB64" s="194">
        <f t="shared" si="594"/>
        <v>0.41828286788706864</v>
      </c>
      <c r="BC64" s="194">
        <f t="shared" si="594"/>
        <v>0.41828286788706864</v>
      </c>
      <c r="BD64" s="194">
        <f t="shared" si="594"/>
        <v>0.41828286788706864</v>
      </c>
      <c r="BE64" s="194">
        <f t="shared" si="594"/>
        <v>0.41828286788706864</v>
      </c>
      <c r="BF64" s="194">
        <f t="shared" si="594"/>
        <v>0.41828286788706864</v>
      </c>
      <c r="BG64" s="194">
        <f t="shared" si="594"/>
        <v>0.41828286788706864</v>
      </c>
      <c r="BH64" s="194">
        <f t="shared" si="594"/>
        <v>0.41828286788706864</v>
      </c>
      <c r="BI64" s="194">
        <f t="shared" si="594"/>
        <v>0.41828286788706864</v>
      </c>
      <c r="BJ64" s="195">
        <f t="shared" si="594"/>
        <v>0.41828286788706864</v>
      </c>
    </row>
    <row r="65" spans="1:62" x14ac:dyDescent="0.35">
      <c r="B65" s="3" t="s">
        <v>53</v>
      </c>
      <c r="C65" s="196">
        <f t="shared" ref="C65:BJ65" si="595">C60</f>
        <v>0.45009300000000002</v>
      </c>
      <c r="D65" s="197">
        <f t="shared" si="595"/>
        <v>0.45009300000000002</v>
      </c>
      <c r="E65" s="197">
        <f t="shared" si="595"/>
        <v>0.45009300000000002</v>
      </c>
      <c r="F65" s="197">
        <f t="shared" si="595"/>
        <v>0.45009300000000002</v>
      </c>
      <c r="G65" s="197">
        <f t="shared" si="595"/>
        <v>0.45009300000000002</v>
      </c>
      <c r="H65" s="197">
        <f t="shared" si="595"/>
        <v>0.45009300000000002</v>
      </c>
      <c r="I65" s="197">
        <f t="shared" si="595"/>
        <v>0.45009300000000002</v>
      </c>
      <c r="J65" s="197">
        <f t="shared" si="595"/>
        <v>0.45009300000000002</v>
      </c>
      <c r="K65" s="197">
        <f t="shared" si="595"/>
        <v>0.45009300000000002</v>
      </c>
      <c r="L65" s="197">
        <f t="shared" si="595"/>
        <v>0.45009300000000002</v>
      </c>
      <c r="M65" s="197">
        <f t="shared" si="595"/>
        <v>0.45009300000000002</v>
      </c>
      <c r="N65" s="197">
        <f t="shared" si="595"/>
        <v>0.45009300000000002</v>
      </c>
      <c r="O65" s="198">
        <f t="shared" si="595"/>
        <v>0.45009300000000002</v>
      </c>
      <c r="P65" s="197">
        <f t="shared" si="595"/>
        <v>0.45009300000000002</v>
      </c>
      <c r="Q65" s="197">
        <f t="shared" si="595"/>
        <v>0.45009300000000002</v>
      </c>
      <c r="R65" s="197">
        <f t="shared" si="595"/>
        <v>0.45009300000000002</v>
      </c>
      <c r="S65" s="197">
        <f t="shared" si="595"/>
        <v>0.45009300000000002</v>
      </c>
      <c r="T65" s="197">
        <f t="shared" si="595"/>
        <v>0.45009300000000002</v>
      </c>
      <c r="U65" s="197">
        <f t="shared" si="595"/>
        <v>0.45009300000000002</v>
      </c>
      <c r="V65" s="197">
        <f t="shared" si="595"/>
        <v>0.45009300000000002</v>
      </c>
      <c r="W65" s="197">
        <f t="shared" si="595"/>
        <v>0.45009300000000002</v>
      </c>
      <c r="X65" s="197">
        <f t="shared" si="595"/>
        <v>0.45009300000000002</v>
      </c>
      <c r="Y65" s="197">
        <f t="shared" si="595"/>
        <v>0.45009300000000002</v>
      </c>
      <c r="Z65" s="197">
        <f t="shared" si="595"/>
        <v>0.45009300000000002</v>
      </c>
      <c r="AA65" s="198">
        <f t="shared" si="595"/>
        <v>0.45009300000000002</v>
      </c>
      <c r="AB65" s="197">
        <f t="shared" si="595"/>
        <v>0.45009300000000002</v>
      </c>
      <c r="AC65" s="197">
        <f t="shared" si="595"/>
        <v>0.45009300000000002</v>
      </c>
      <c r="AD65" s="197">
        <f t="shared" si="595"/>
        <v>0.45009300000000002</v>
      </c>
      <c r="AE65" s="197">
        <f t="shared" si="595"/>
        <v>0.45009300000000002</v>
      </c>
      <c r="AF65" s="197">
        <f t="shared" si="595"/>
        <v>0.45009300000000002</v>
      </c>
      <c r="AG65" s="197">
        <f t="shared" si="595"/>
        <v>0.45009300000000002</v>
      </c>
      <c r="AH65" s="197">
        <f t="shared" si="595"/>
        <v>0.45009300000000002</v>
      </c>
      <c r="AI65" s="197">
        <f t="shared" si="595"/>
        <v>0.45009300000000002</v>
      </c>
      <c r="AJ65" s="197">
        <f t="shared" si="595"/>
        <v>0.45009300000000002</v>
      </c>
      <c r="AK65" s="197">
        <f t="shared" si="595"/>
        <v>0.45009300000000002</v>
      </c>
      <c r="AL65" s="197">
        <f t="shared" si="595"/>
        <v>0.45009300000000002</v>
      </c>
      <c r="AM65" s="198">
        <f t="shared" si="595"/>
        <v>0.45009300000000002</v>
      </c>
      <c r="AN65" s="197">
        <f t="shared" si="595"/>
        <v>0.73826884841741014</v>
      </c>
      <c r="AO65" s="197">
        <f t="shared" si="595"/>
        <v>0.73826884841741014</v>
      </c>
      <c r="AP65" s="197">
        <f t="shared" si="595"/>
        <v>0.73826884841741014</v>
      </c>
      <c r="AQ65" s="197">
        <f t="shared" si="595"/>
        <v>0.73826884841741014</v>
      </c>
      <c r="AR65" s="197">
        <f t="shared" si="595"/>
        <v>0.73826884841741014</v>
      </c>
      <c r="AS65" s="197">
        <f t="shared" si="595"/>
        <v>0.73826884841741014</v>
      </c>
      <c r="AT65" s="197">
        <f t="shared" si="595"/>
        <v>0.73826884841741014</v>
      </c>
      <c r="AU65" s="197">
        <f t="shared" si="595"/>
        <v>0.73826884841741014</v>
      </c>
      <c r="AV65" s="197">
        <f t="shared" si="595"/>
        <v>0.73826884841741014</v>
      </c>
      <c r="AW65" s="197">
        <f t="shared" si="595"/>
        <v>0.73826884841741014</v>
      </c>
      <c r="AX65" s="198">
        <f t="shared" si="595"/>
        <v>0.73826884841741014</v>
      </c>
      <c r="AY65" s="197">
        <f t="shared" si="595"/>
        <v>0.73826884841741014</v>
      </c>
      <c r="AZ65" s="197">
        <f t="shared" si="595"/>
        <v>0.73826884841741014</v>
      </c>
      <c r="BA65" s="197">
        <f t="shared" si="595"/>
        <v>0.73826884841741014</v>
      </c>
      <c r="BB65" s="197">
        <f t="shared" si="595"/>
        <v>0.73826884841741014</v>
      </c>
      <c r="BC65" s="197">
        <f t="shared" si="595"/>
        <v>0.73826884841741014</v>
      </c>
      <c r="BD65" s="197">
        <f t="shared" si="595"/>
        <v>0.73826884841741014</v>
      </c>
      <c r="BE65" s="197">
        <f t="shared" si="595"/>
        <v>0.73826884841741014</v>
      </c>
      <c r="BF65" s="197">
        <f t="shared" si="595"/>
        <v>0.73826884841741014</v>
      </c>
      <c r="BG65" s="197">
        <f t="shared" si="595"/>
        <v>0.73826884841741014</v>
      </c>
      <c r="BH65" s="197">
        <f t="shared" si="595"/>
        <v>0.73826884841741014</v>
      </c>
      <c r="BI65" s="197">
        <f t="shared" si="595"/>
        <v>0.73826884841741014</v>
      </c>
      <c r="BJ65" s="198">
        <f t="shared" si="595"/>
        <v>0.73826884841741014</v>
      </c>
    </row>
    <row r="66" spans="1:62" x14ac:dyDescent="0.35">
      <c r="F66" s="179"/>
      <c r="G66" s="179"/>
      <c r="H66" s="179"/>
      <c r="I66" s="179"/>
      <c r="J66" s="179"/>
      <c r="K66" s="179"/>
      <c r="L66" s="179"/>
      <c r="M66" s="179"/>
      <c r="N66" s="179"/>
      <c r="O66" s="179"/>
      <c r="P66" s="179"/>
      <c r="Q66" s="179"/>
      <c r="R66" s="179"/>
      <c r="S66" s="179"/>
      <c r="T66" s="179"/>
      <c r="U66" s="179"/>
      <c r="V66" s="179"/>
      <c r="W66" s="179"/>
      <c r="X66" s="179"/>
    </row>
    <row r="67" spans="1:62" x14ac:dyDescent="0.35">
      <c r="B67" s="1" t="s">
        <v>145</v>
      </c>
      <c r="C67" s="110">
        <f>$C$3</f>
        <v>45352</v>
      </c>
      <c r="D67" s="111">
        <f>EDATE(C67,1)</f>
        <v>45383</v>
      </c>
      <c r="E67" s="111">
        <f t="shared" ref="E67" si="596">EDATE(D67,1)</f>
        <v>45413</v>
      </c>
      <c r="F67" s="111">
        <f t="shared" ref="F67" si="597">EDATE(E67,1)</f>
        <v>45444</v>
      </c>
      <c r="G67" s="111">
        <f t="shared" ref="G67" si="598">EDATE(F67,1)</f>
        <v>45474</v>
      </c>
      <c r="H67" s="111">
        <f t="shared" ref="H67" si="599">EDATE(G67,1)</f>
        <v>45505</v>
      </c>
      <c r="I67" s="111">
        <f t="shared" ref="I67" si="600">EDATE(H67,1)</f>
        <v>45536</v>
      </c>
      <c r="J67" s="111">
        <f t="shared" ref="J67" si="601">EDATE(I67,1)</f>
        <v>45566</v>
      </c>
      <c r="K67" s="111">
        <f t="shared" ref="K67" si="602">EDATE(J67,1)</f>
        <v>45597</v>
      </c>
      <c r="L67" s="111">
        <f t="shared" ref="L67" si="603">EDATE(K67,1)</f>
        <v>45627</v>
      </c>
      <c r="M67" s="111">
        <f t="shared" ref="M67" si="604">EDATE(L67,1)</f>
        <v>45658</v>
      </c>
      <c r="N67" s="111">
        <f t="shared" ref="N67" si="605">EDATE(M67,1)</f>
        <v>45689</v>
      </c>
      <c r="O67" s="112">
        <f t="shared" ref="O67" si="606">EDATE(N67,1)</f>
        <v>45717</v>
      </c>
      <c r="P67" s="111">
        <f t="shared" ref="P67" si="607">EDATE(O67,1)</f>
        <v>45748</v>
      </c>
      <c r="Q67" s="111">
        <f t="shared" ref="Q67" si="608">EDATE(P67,1)</f>
        <v>45778</v>
      </c>
      <c r="R67" s="111">
        <f t="shared" ref="R67" si="609">EDATE(Q67,1)</f>
        <v>45809</v>
      </c>
      <c r="S67" s="111">
        <f t="shared" ref="S67" si="610">EDATE(R67,1)</f>
        <v>45839</v>
      </c>
      <c r="T67" s="111">
        <f t="shared" ref="T67" si="611">EDATE(S67,1)</f>
        <v>45870</v>
      </c>
      <c r="U67" s="111">
        <f t="shared" ref="U67" si="612">EDATE(T67,1)</f>
        <v>45901</v>
      </c>
      <c r="V67" s="111">
        <f t="shared" ref="V67" si="613">EDATE(U67,1)</f>
        <v>45931</v>
      </c>
      <c r="W67" s="111">
        <f t="shared" ref="W67" si="614">EDATE(V67,1)</f>
        <v>45962</v>
      </c>
      <c r="X67" s="111">
        <f t="shared" ref="X67" si="615">EDATE(W67,1)</f>
        <v>45992</v>
      </c>
      <c r="Y67" s="111">
        <f t="shared" ref="Y67" si="616">EDATE(X67,1)</f>
        <v>46023</v>
      </c>
      <c r="Z67" s="111">
        <f t="shared" ref="Z67" si="617">EDATE(Y67,1)</f>
        <v>46054</v>
      </c>
      <c r="AA67" s="112">
        <f t="shared" ref="AA67" si="618">EDATE(Z67,1)</f>
        <v>46082</v>
      </c>
      <c r="AB67" s="111">
        <f t="shared" ref="AB67" si="619">EDATE(AA67,1)</f>
        <v>46113</v>
      </c>
      <c r="AC67" s="111">
        <f t="shared" ref="AC67" si="620">EDATE(AB67,1)</f>
        <v>46143</v>
      </c>
      <c r="AD67" s="111">
        <f t="shared" ref="AD67" si="621">EDATE(AC67,1)</f>
        <v>46174</v>
      </c>
      <c r="AE67" s="111">
        <f t="shared" ref="AE67" si="622">EDATE(AD67,1)</f>
        <v>46204</v>
      </c>
      <c r="AF67" s="111">
        <f t="shared" ref="AF67" si="623">EDATE(AE67,1)</f>
        <v>46235</v>
      </c>
      <c r="AG67" s="111">
        <f t="shared" ref="AG67" si="624">EDATE(AF67,1)</f>
        <v>46266</v>
      </c>
      <c r="AH67" s="111">
        <f t="shared" ref="AH67" si="625">EDATE(AG67,1)</f>
        <v>46296</v>
      </c>
      <c r="AI67" s="111">
        <f t="shared" ref="AI67" si="626">EDATE(AH67,1)</f>
        <v>46327</v>
      </c>
      <c r="AJ67" s="111">
        <f t="shared" ref="AJ67" si="627">EDATE(AI67,1)</f>
        <v>46357</v>
      </c>
      <c r="AK67" s="111">
        <f t="shared" ref="AK67" si="628">EDATE(AJ67,1)</f>
        <v>46388</v>
      </c>
      <c r="AL67" s="111">
        <f t="shared" ref="AL67" si="629">EDATE(AK67,1)</f>
        <v>46419</v>
      </c>
      <c r="AM67" s="112">
        <f t="shared" ref="AM67" si="630">EDATE(AL67,1)</f>
        <v>46447</v>
      </c>
      <c r="AN67" s="111">
        <f t="shared" ref="AN67" si="631">EDATE(AM67,1)</f>
        <v>46478</v>
      </c>
      <c r="AO67" s="111">
        <f t="shared" ref="AO67" si="632">EDATE(AN67,1)</f>
        <v>46508</v>
      </c>
      <c r="AP67" s="111">
        <f t="shared" ref="AP67" si="633">EDATE(AO67,1)</f>
        <v>46539</v>
      </c>
      <c r="AQ67" s="111">
        <f t="shared" ref="AQ67" si="634">EDATE(AP67,1)</f>
        <v>46569</v>
      </c>
      <c r="AR67" s="111">
        <f t="shared" ref="AR67" si="635">EDATE(AQ67,1)</f>
        <v>46600</v>
      </c>
      <c r="AS67" s="111">
        <f t="shared" ref="AS67" si="636">EDATE(AR67,1)</f>
        <v>46631</v>
      </c>
      <c r="AT67" s="111">
        <f t="shared" ref="AT67" si="637">EDATE(AS67,1)</f>
        <v>46661</v>
      </c>
      <c r="AU67" s="111">
        <f t="shared" ref="AU67" si="638">EDATE(AT67,1)</f>
        <v>46692</v>
      </c>
      <c r="AV67" s="111">
        <f t="shared" ref="AV67" si="639">EDATE(AU67,1)</f>
        <v>46722</v>
      </c>
      <c r="AW67" s="111">
        <f t="shared" ref="AW67" si="640">EDATE(AV67,1)</f>
        <v>46753</v>
      </c>
      <c r="AX67" s="112">
        <f t="shared" ref="AX67" si="641">EDATE(AW67,1)</f>
        <v>46784</v>
      </c>
      <c r="AY67" s="111">
        <f t="shared" ref="AY67" si="642">EDATE(AX67,1)</f>
        <v>46813</v>
      </c>
      <c r="AZ67" s="111">
        <f t="shared" ref="AZ67" si="643">EDATE(AY67,1)</f>
        <v>46844</v>
      </c>
      <c r="BA67" s="111">
        <f t="shared" ref="BA67" si="644">EDATE(AZ67,1)</f>
        <v>46874</v>
      </c>
      <c r="BB67" s="111">
        <f t="shared" ref="BB67" si="645">EDATE(BA67,1)</f>
        <v>46905</v>
      </c>
      <c r="BC67" s="111">
        <f t="shared" ref="BC67" si="646">EDATE(BB67,1)</f>
        <v>46935</v>
      </c>
      <c r="BD67" s="111">
        <f t="shared" ref="BD67" si="647">EDATE(BC67,1)</f>
        <v>46966</v>
      </c>
      <c r="BE67" s="111">
        <f t="shared" ref="BE67" si="648">EDATE(BD67,1)</f>
        <v>46997</v>
      </c>
      <c r="BF67" s="111">
        <f t="shared" ref="BF67" si="649">EDATE(BE67,1)</f>
        <v>47027</v>
      </c>
      <c r="BG67" s="111">
        <f t="shared" ref="BG67" si="650">EDATE(BF67,1)</f>
        <v>47058</v>
      </c>
      <c r="BH67" s="111">
        <f t="shared" ref="BH67" si="651">EDATE(BG67,1)</f>
        <v>47088</v>
      </c>
      <c r="BI67" s="111">
        <f t="shared" ref="BI67" si="652">EDATE(BH67,1)</f>
        <v>47119</v>
      </c>
      <c r="BJ67" s="112">
        <f>EDATE(BI67,1)</f>
        <v>47150</v>
      </c>
    </row>
    <row r="68" spans="1:62" x14ac:dyDescent="0.35">
      <c r="B68" s="1" t="s">
        <v>51</v>
      </c>
      <c r="C68" s="200">
        <f>C63*C52</f>
        <v>77.47224837100029</v>
      </c>
      <c r="D68" s="201">
        <f t="shared" ref="D68:BJ68" si="653">D63*D52</f>
        <v>76.987625260479263</v>
      </c>
      <c r="E68" s="201">
        <f t="shared" si="653"/>
        <v>74.350408811490254</v>
      </c>
      <c r="F68" s="201">
        <f t="shared" si="653"/>
        <v>71.936007866956942</v>
      </c>
      <c r="G68" s="201">
        <f t="shared" si="653"/>
        <v>69.796589251965102</v>
      </c>
      <c r="H68" s="201">
        <f t="shared" si="653"/>
        <v>67.870190386292578</v>
      </c>
      <c r="I68" s="201">
        <f>I63*I52</f>
        <v>66.075251786723953</v>
      </c>
      <c r="J68" s="201">
        <f>J63*J52</f>
        <v>64.258283191693252</v>
      </c>
      <c r="K68" s="201">
        <f t="shared" si="653"/>
        <v>62.291237958885446</v>
      </c>
      <c r="L68" s="201">
        <f t="shared" si="653"/>
        <v>60.524356913417193</v>
      </c>
      <c r="M68" s="201">
        <f t="shared" si="653"/>
        <v>58.726377104041845</v>
      </c>
      <c r="N68" s="201">
        <f t="shared" si="653"/>
        <v>56.962135947219771</v>
      </c>
      <c r="O68" s="202">
        <f t="shared" si="653"/>
        <v>55.615953978126456</v>
      </c>
      <c r="P68" s="201">
        <f t="shared" si="653"/>
        <v>53.045773062736245</v>
      </c>
      <c r="Q68" s="201">
        <f t="shared" si="653"/>
        <v>50.656950642655467</v>
      </c>
      <c r="R68" s="201">
        <f t="shared" si="653"/>
        <v>48.420400357798862</v>
      </c>
      <c r="S68" s="201">
        <f t="shared" si="653"/>
        <v>46.348927792541446</v>
      </c>
      <c r="T68" s="201">
        <f t="shared" si="653"/>
        <v>44.447733271364207</v>
      </c>
      <c r="U68" s="201">
        <f t="shared" si="653"/>
        <v>42.654686278781327</v>
      </c>
      <c r="V68" s="201">
        <f t="shared" si="653"/>
        <v>41.427990934653295</v>
      </c>
      <c r="W68" s="201">
        <f t="shared" si="653"/>
        <v>40.662427220247324</v>
      </c>
      <c r="X68" s="201">
        <f t="shared" si="653"/>
        <v>40.468263513967642</v>
      </c>
      <c r="Y68" s="201">
        <f t="shared" si="653"/>
        <v>40.856206384524079</v>
      </c>
      <c r="Z68" s="201">
        <f t="shared" si="653"/>
        <v>41.742090272465482</v>
      </c>
      <c r="AA68" s="202">
        <f t="shared" si="653"/>
        <v>43.964776843457088</v>
      </c>
      <c r="AB68" s="201">
        <f t="shared" si="653"/>
        <v>43.828050083651682</v>
      </c>
      <c r="AC68" s="201">
        <f t="shared" si="653"/>
        <v>44.212908710050577</v>
      </c>
      <c r="AD68" s="201">
        <f t="shared" si="653"/>
        <v>45.301280430487836</v>
      </c>
      <c r="AE68" s="201">
        <f t="shared" si="653"/>
        <v>47.318297097496114</v>
      </c>
      <c r="AF68" s="201">
        <f t="shared" si="653"/>
        <v>50.315917121708075</v>
      </c>
      <c r="AG68" s="201">
        <f t="shared" si="653"/>
        <v>54.262468040280005</v>
      </c>
      <c r="AH68" s="201">
        <f t="shared" si="653"/>
        <v>61.637177017300708</v>
      </c>
      <c r="AI68" s="201">
        <f t="shared" si="653"/>
        <v>68.535916892607801</v>
      </c>
      <c r="AJ68" s="201">
        <f t="shared" si="653"/>
        <v>75.664995256346046</v>
      </c>
      <c r="AK68" s="201">
        <f t="shared" si="653"/>
        <v>83.009041041994891</v>
      </c>
      <c r="AL68" s="201">
        <f t="shared" si="653"/>
        <v>90.216452730812833</v>
      </c>
      <c r="AM68" s="202">
        <f t="shared" si="653"/>
        <v>99.993575353868735</v>
      </c>
      <c r="AN68" s="201">
        <f t="shared" si="653"/>
        <v>0</v>
      </c>
      <c r="AO68" s="201">
        <f t="shared" si="653"/>
        <v>0</v>
      </c>
      <c r="AP68" s="201">
        <f t="shared" si="653"/>
        <v>0</v>
      </c>
      <c r="AQ68" s="201">
        <f t="shared" si="653"/>
        <v>0</v>
      </c>
      <c r="AR68" s="201">
        <f t="shared" si="653"/>
        <v>0</v>
      </c>
      <c r="AS68" s="201">
        <f t="shared" si="653"/>
        <v>0</v>
      </c>
      <c r="AT68" s="201">
        <f t="shared" si="653"/>
        <v>0</v>
      </c>
      <c r="AU68" s="201">
        <f t="shared" si="653"/>
        <v>0</v>
      </c>
      <c r="AV68" s="201">
        <f t="shared" si="653"/>
        <v>0</v>
      </c>
      <c r="AW68" s="201">
        <f t="shared" si="653"/>
        <v>0</v>
      </c>
      <c r="AX68" s="202">
        <f t="shared" si="653"/>
        <v>0</v>
      </c>
      <c r="AY68" s="201">
        <f t="shared" si="653"/>
        <v>0</v>
      </c>
      <c r="AZ68" s="201">
        <f t="shared" si="653"/>
        <v>0</v>
      </c>
      <c r="BA68" s="201">
        <f t="shared" si="653"/>
        <v>0</v>
      </c>
      <c r="BB68" s="201">
        <f t="shared" si="653"/>
        <v>0</v>
      </c>
      <c r="BC68" s="201">
        <f t="shared" si="653"/>
        <v>0</v>
      </c>
      <c r="BD68" s="201">
        <f t="shared" si="653"/>
        <v>0</v>
      </c>
      <c r="BE68" s="201">
        <f t="shared" si="653"/>
        <v>0</v>
      </c>
      <c r="BF68" s="201">
        <f t="shared" si="653"/>
        <v>0</v>
      </c>
      <c r="BG68" s="201">
        <f t="shared" si="653"/>
        <v>0</v>
      </c>
      <c r="BH68" s="201">
        <f t="shared" si="653"/>
        <v>0</v>
      </c>
      <c r="BI68" s="201">
        <f t="shared" si="653"/>
        <v>0</v>
      </c>
      <c r="BJ68" s="202">
        <f t="shared" si="653"/>
        <v>0</v>
      </c>
    </row>
    <row r="69" spans="1:62" x14ac:dyDescent="0.35">
      <c r="B69" s="2" t="s">
        <v>52</v>
      </c>
      <c r="C69" s="203">
        <f t="shared" ref="C69:BJ69" si="654">C64*C53</f>
        <v>0</v>
      </c>
      <c r="D69" s="204">
        <f t="shared" si="654"/>
        <v>0</v>
      </c>
      <c r="E69" s="204">
        <f t="shared" si="654"/>
        <v>0</v>
      </c>
      <c r="F69" s="204">
        <f t="shared" si="654"/>
        <v>0</v>
      </c>
      <c r="G69" s="204">
        <f t="shared" si="654"/>
        <v>0</v>
      </c>
      <c r="H69" s="204">
        <f t="shared" si="654"/>
        <v>0</v>
      </c>
      <c r="I69" s="204">
        <f t="shared" si="654"/>
        <v>0</v>
      </c>
      <c r="J69" s="204">
        <f t="shared" si="654"/>
        <v>0</v>
      </c>
      <c r="K69" s="204">
        <f t="shared" si="654"/>
        <v>0</v>
      </c>
      <c r="L69" s="204">
        <f t="shared" si="654"/>
        <v>0</v>
      </c>
      <c r="M69" s="204">
        <f t="shared" si="654"/>
        <v>0</v>
      </c>
      <c r="N69" s="204">
        <f t="shared" si="654"/>
        <v>0</v>
      </c>
      <c r="O69" s="205">
        <f t="shared" si="654"/>
        <v>0</v>
      </c>
      <c r="P69" s="204">
        <f t="shared" si="654"/>
        <v>0</v>
      </c>
      <c r="Q69" s="204">
        <f t="shared" si="654"/>
        <v>0</v>
      </c>
      <c r="R69" s="204">
        <f t="shared" si="654"/>
        <v>0</v>
      </c>
      <c r="S69" s="204">
        <f t="shared" si="654"/>
        <v>0</v>
      </c>
      <c r="T69" s="204">
        <f t="shared" si="654"/>
        <v>0</v>
      </c>
      <c r="U69" s="204">
        <f t="shared" si="654"/>
        <v>0</v>
      </c>
      <c r="V69" s="204">
        <f t="shared" si="654"/>
        <v>0</v>
      </c>
      <c r="W69" s="204">
        <f t="shared" si="654"/>
        <v>0</v>
      </c>
      <c r="X69" s="204">
        <f t="shared" si="654"/>
        <v>0</v>
      </c>
      <c r="Y69" s="204">
        <f t="shared" si="654"/>
        <v>0</v>
      </c>
      <c r="Z69" s="204">
        <f t="shared" si="654"/>
        <v>0</v>
      </c>
      <c r="AA69" s="205">
        <f t="shared" si="654"/>
        <v>0</v>
      </c>
      <c r="AB69" s="204">
        <f t="shared" si="654"/>
        <v>0</v>
      </c>
      <c r="AC69" s="204">
        <f t="shared" si="654"/>
        <v>0</v>
      </c>
      <c r="AD69" s="204">
        <f t="shared" si="654"/>
        <v>0</v>
      </c>
      <c r="AE69" s="204">
        <f t="shared" si="654"/>
        <v>0</v>
      </c>
      <c r="AF69" s="204">
        <f t="shared" si="654"/>
        <v>0</v>
      </c>
      <c r="AG69" s="204">
        <f t="shared" si="654"/>
        <v>0</v>
      </c>
      <c r="AH69" s="204">
        <f t="shared" si="654"/>
        <v>0</v>
      </c>
      <c r="AI69" s="204">
        <f t="shared" si="654"/>
        <v>0</v>
      </c>
      <c r="AJ69" s="204">
        <f t="shared" si="654"/>
        <v>0</v>
      </c>
      <c r="AK69" s="204">
        <f t="shared" si="654"/>
        <v>0</v>
      </c>
      <c r="AL69" s="204">
        <f t="shared" si="654"/>
        <v>0</v>
      </c>
      <c r="AM69" s="205">
        <f t="shared" si="654"/>
        <v>0</v>
      </c>
      <c r="AN69" s="204">
        <f t="shared" si="654"/>
        <v>0</v>
      </c>
      <c r="AO69" s="204">
        <f t="shared" si="654"/>
        <v>0</v>
      </c>
      <c r="AP69" s="204">
        <f t="shared" si="654"/>
        <v>0</v>
      </c>
      <c r="AQ69" s="204">
        <f t="shared" si="654"/>
        <v>0</v>
      </c>
      <c r="AR69" s="204">
        <f t="shared" si="654"/>
        <v>0</v>
      </c>
      <c r="AS69" s="204">
        <f t="shared" si="654"/>
        <v>0</v>
      </c>
      <c r="AT69" s="204">
        <f t="shared" si="654"/>
        <v>0</v>
      </c>
      <c r="AU69" s="204">
        <f t="shared" si="654"/>
        <v>0</v>
      </c>
      <c r="AV69" s="204">
        <f t="shared" si="654"/>
        <v>0</v>
      </c>
      <c r="AW69" s="204">
        <f t="shared" si="654"/>
        <v>0</v>
      </c>
      <c r="AX69" s="205">
        <f t="shared" si="654"/>
        <v>0</v>
      </c>
      <c r="AY69" s="204">
        <f t="shared" si="654"/>
        <v>0</v>
      </c>
      <c r="AZ69" s="204">
        <f t="shared" si="654"/>
        <v>0</v>
      </c>
      <c r="BA69" s="204">
        <f t="shared" si="654"/>
        <v>0</v>
      </c>
      <c r="BB69" s="204">
        <f t="shared" si="654"/>
        <v>0</v>
      </c>
      <c r="BC69" s="204">
        <f t="shared" si="654"/>
        <v>0</v>
      </c>
      <c r="BD69" s="204">
        <f t="shared" si="654"/>
        <v>0</v>
      </c>
      <c r="BE69" s="204">
        <f t="shared" si="654"/>
        <v>0</v>
      </c>
      <c r="BF69" s="204">
        <f t="shared" si="654"/>
        <v>0</v>
      </c>
      <c r="BG69" s="204">
        <f t="shared" si="654"/>
        <v>0</v>
      </c>
      <c r="BH69" s="204">
        <f t="shared" si="654"/>
        <v>0</v>
      </c>
      <c r="BI69" s="204">
        <f t="shared" si="654"/>
        <v>0</v>
      </c>
      <c r="BJ69" s="205">
        <f t="shared" si="654"/>
        <v>0</v>
      </c>
    </row>
    <row r="70" spans="1:62" x14ac:dyDescent="0.35">
      <c r="B70" s="3" t="s">
        <v>53</v>
      </c>
      <c r="C70" s="206">
        <f t="shared" ref="C70:BJ70" si="655">C65*C54</f>
        <v>3.9086063922479695</v>
      </c>
      <c r="D70" s="207">
        <f t="shared" si="655"/>
        <v>3.9017589101441521</v>
      </c>
      <c r="E70" s="207">
        <f t="shared" si="655"/>
        <v>3.7594683032145091</v>
      </c>
      <c r="F70" s="207">
        <f t="shared" si="655"/>
        <v>3.6061299867529022</v>
      </c>
      <c r="G70" s="207">
        <f t="shared" si="655"/>
        <v>3.4378884484677026</v>
      </c>
      <c r="H70" s="207">
        <f t="shared" si="655"/>
        <v>3.2587824543271866</v>
      </c>
      <c r="I70" s="207">
        <f t="shared" si="655"/>
        <v>3.0808837241176517</v>
      </c>
      <c r="J70" s="207">
        <f t="shared" si="655"/>
        <v>2.9002612667016341</v>
      </c>
      <c r="K70" s="207">
        <f t="shared" si="655"/>
        <v>2.7297165579294531</v>
      </c>
      <c r="L70" s="207">
        <f t="shared" si="655"/>
        <v>2.567888624296871</v>
      </c>
      <c r="M70" s="207">
        <f t="shared" si="655"/>
        <v>2.4067636279322402</v>
      </c>
      <c r="N70" s="207">
        <f t="shared" si="655"/>
        <v>2.2565906415224943</v>
      </c>
      <c r="O70" s="208">
        <f t="shared" si="655"/>
        <v>2.0899602923326914</v>
      </c>
      <c r="P70" s="207">
        <f t="shared" si="655"/>
        <v>2.0185578054504072</v>
      </c>
      <c r="Q70" s="207">
        <f t="shared" si="655"/>
        <v>1.9394746871084263</v>
      </c>
      <c r="R70" s="207">
        <f t="shared" si="655"/>
        <v>1.8537994298901599</v>
      </c>
      <c r="S70" s="207">
        <f t="shared" si="655"/>
        <v>1.7592461214445674</v>
      </c>
      <c r="T70" s="207">
        <f t="shared" si="655"/>
        <v>1.6595206161726521</v>
      </c>
      <c r="U70" s="207">
        <f t="shared" si="655"/>
        <v>1.5599596615682785</v>
      </c>
      <c r="V70" s="207">
        <f t="shared" si="655"/>
        <v>1.4786219489354571</v>
      </c>
      <c r="W70" s="207">
        <f t="shared" si="655"/>
        <v>1.4193227297413433</v>
      </c>
      <c r="X70" s="207">
        <f t="shared" si="655"/>
        <v>1.3769236351175966</v>
      </c>
      <c r="Y70" s="207">
        <f t="shared" si="655"/>
        <v>1.3513142041115074</v>
      </c>
      <c r="Z70" s="207">
        <f t="shared" si="655"/>
        <v>1.342208954229305</v>
      </c>
      <c r="AA70" s="208">
        <f t="shared" si="655"/>
        <v>1.3491766387330248</v>
      </c>
      <c r="AB70" s="207">
        <f t="shared" si="655"/>
        <v>1.3668847801467334</v>
      </c>
      <c r="AC70" s="207">
        <f t="shared" si="655"/>
        <v>1.3926406015441304</v>
      </c>
      <c r="AD70" s="207">
        <f t="shared" si="655"/>
        <v>1.4325320104743737</v>
      </c>
      <c r="AE70" s="207">
        <f t="shared" si="655"/>
        <v>1.4896410449007031</v>
      </c>
      <c r="AF70" s="207">
        <f t="shared" si="655"/>
        <v>1.5647695625539997</v>
      </c>
      <c r="AG70" s="207">
        <f t="shared" si="655"/>
        <v>1.6597588643025658</v>
      </c>
      <c r="AH70" s="207">
        <f t="shared" si="655"/>
        <v>1.8471958405433164</v>
      </c>
      <c r="AI70" s="207">
        <f t="shared" si="655"/>
        <v>2.0157852426076932</v>
      </c>
      <c r="AJ70" s="207">
        <f t="shared" si="655"/>
        <v>2.1766148200360012</v>
      </c>
      <c r="AK70" s="207">
        <f t="shared" si="655"/>
        <v>2.3285243417314407</v>
      </c>
      <c r="AL70" s="207">
        <f t="shared" si="655"/>
        <v>2.4673603168679521</v>
      </c>
      <c r="AM70" s="208">
        <f t="shared" si="655"/>
        <v>2.6180181197009622</v>
      </c>
      <c r="AN70" s="207">
        <f t="shared" si="655"/>
        <v>0</v>
      </c>
      <c r="AO70" s="207">
        <f t="shared" si="655"/>
        <v>0</v>
      </c>
      <c r="AP70" s="207">
        <f t="shared" si="655"/>
        <v>0</v>
      </c>
      <c r="AQ70" s="207">
        <f t="shared" si="655"/>
        <v>0</v>
      </c>
      <c r="AR70" s="207">
        <f t="shared" si="655"/>
        <v>0</v>
      </c>
      <c r="AS70" s="207">
        <f t="shared" si="655"/>
        <v>0</v>
      </c>
      <c r="AT70" s="207">
        <f t="shared" si="655"/>
        <v>0</v>
      </c>
      <c r="AU70" s="207">
        <f t="shared" si="655"/>
        <v>0</v>
      </c>
      <c r="AV70" s="207">
        <f t="shared" si="655"/>
        <v>0</v>
      </c>
      <c r="AW70" s="207">
        <f t="shared" si="655"/>
        <v>0</v>
      </c>
      <c r="AX70" s="208">
        <f t="shared" si="655"/>
        <v>0</v>
      </c>
      <c r="AY70" s="207">
        <f t="shared" si="655"/>
        <v>0</v>
      </c>
      <c r="AZ70" s="207">
        <f t="shared" si="655"/>
        <v>0</v>
      </c>
      <c r="BA70" s="207">
        <f t="shared" si="655"/>
        <v>0</v>
      </c>
      <c r="BB70" s="207">
        <f t="shared" si="655"/>
        <v>0</v>
      </c>
      <c r="BC70" s="207">
        <f t="shared" si="655"/>
        <v>0</v>
      </c>
      <c r="BD70" s="207">
        <f t="shared" si="655"/>
        <v>0</v>
      </c>
      <c r="BE70" s="207">
        <f t="shared" si="655"/>
        <v>0</v>
      </c>
      <c r="BF70" s="207">
        <f t="shared" si="655"/>
        <v>0</v>
      </c>
      <c r="BG70" s="207">
        <f t="shared" si="655"/>
        <v>0</v>
      </c>
      <c r="BH70" s="207">
        <f t="shared" si="655"/>
        <v>0</v>
      </c>
      <c r="BI70" s="207">
        <f t="shared" si="655"/>
        <v>0</v>
      </c>
      <c r="BJ70" s="208">
        <f t="shared" si="655"/>
        <v>0</v>
      </c>
    </row>
    <row r="71" spans="1:62" x14ac:dyDescent="0.35">
      <c r="B71" s="3" t="s">
        <v>140</v>
      </c>
      <c r="C71" s="206">
        <f>SUM(C68:C70)</f>
        <v>81.380854763248266</v>
      </c>
      <c r="D71" s="207">
        <f t="shared" ref="D71:BJ71" si="656">SUM(D68:D70)</f>
        <v>80.889384170623416</v>
      </c>
      <c r="E71" s="207">
        <f t="shared" si="656"/>
        <v>78.109877114704759</v>
      </c>
      <c r="F71" s="207">
        <f t="shared" si="656"/>
        <v>75.542137853709846</v>
      </c>
      <c r="G71" s="207">
        <f t="shared" si="656"/>
        <v>73.234477700432805</v>
      </c>
      <c r="H71" s="207">
        <f t="shared" si="656"/>
        <v>71.128972840619767</v>
      </c>
      <c r="I71" s="207">
        <f t="shared" si="656"/>
        <v>69.156135510841608</v>
      </c>
      <c r="J71" s="207">
        <f t="shared" si="656"/>
        <v>67.158544458394886</v>
      </c>
      <c r="K71" s="207">
        <f t="shared" si="656"/>
        <v>65.020954516814896</v>
      </c>
      <c r="L71" s="207">
        <f t="shared" si="656"/>
        <v>63.092245537714064</v>
      </c>
      <c r="M71" s="207">
        <f t="shared" si="656"/>
        <v>61.133140731974088</v>
      </c>
      <c r="N71" s="207">
        <f t="shared" si="656"/>
        <v>59.218726588742264</v>
      </c>
      <c r="O71" s="208">
        <f t="shared" si="656"/>
        <v>57.705914270459147</v>
      </c>
      <c r="P71" s="207">
        <f t="shared" si="656"/>
        <v>55.064330868186651</v>
      </c>
      <c r="Q71" s="207">
        <f t="shared" si="656"/>
        <v>52.596425329763896</v>
      </c>
      <c r="R71" s="207">
        <f t="shared" si="656"/>
        <v>50.274199787689021</v>
      </c>
      <c r="S71" s="207">
        <f t="shared" si="656"/>
        <v>48.108173913986015</v>
      </c>
      <c r="T71" s="207">
        <f t="shared" si="656"/>
        <v>46.107253887536856</v>
      </c>
      <c r="U71" s="207">
        <f t="shared" si="656"/>
        <v>44.214645940349605</v>
      </c>
      <c r="V71" s="207">
        <f t="shared" si="656"/>
        <v>42.90661288358875</v>
      </c>
      <c r="W71" s="207">
        <f t="shared" si="656"/>
        <v>42.081749949988669</v>
      </c>
      <c r="X71" s="207">
        <f t="shared" si="656"/>
        <v>41.845187149085241</v>
      </c>
      <c r="Y71" s="207">
        <f t="shared" si="656"/>
        <v>42.207520588635589</v>
      </c>
      <c r="Z71" s="207">
        <f t="shared" si="656"/>
        <v>43.084299226694789</v>
      </c>
      <c r="AA71" s="208">
        <f t="shared" si="656"/>
        <v>45.313953482190115</v>
      </c>
      <c r="AB71" s="207">
        <f t="shared" si="656"/>
        <v>45.194934863798416</v>
      </c>
      <c r="AC71" s="207">
        <f t="shared" si="656"/>
        <v>45.605549311594707</v>
      </c>
      <c r="AD71" s="207">
        <f t="shared" si="656"/>
        <v>46.733812440962211</v>
      </c>
      <c r="AE71" s="207">
        <f t="shared" si="656"/>
        <v>48.807938142396814</v>
      </c>
      <c r="AF71" s="207">
        <f t="shared" si="656"/>
        <v>51.880686684262074</v>
      </c>
      <c r="AG71" s="207">
        <f t="shared" si="656"/>
        <v>55.922226904582573</v>
      </c>
      <c r="AH71" s="207">
        <f t="shared" si="656"/>
        <v>63.484372857844022</v>
      </c>
      <c r="AI71" s="207">
        <f t="shared" si="656"/>
        <v>70.551702135215493</v>
      </c>
      <c r="AJ71" s="207">
        <f t="shared" si="656"/>
        <v>77.841610076382054</v>
      </c>
      <c r="AK71" s="207">
        <f t="shared" si="656"/>
        <v>85.337565383726329</v>
      </c>
      <c r="AL71" s="207">
        <f t="shared" si="656"/>
        <v>92.683813047680786</v>
      </c>
      <c r="AM71" s="208">
        <f t="shared" si="656"/>
        <v>102.6115934735697</v>
      </c>
      <c r="AN71" s="207">
        <f t="shared" si="656"/>
        <v>0</v>
      </c>
      <c r="AO71" s="207">
        <f t="shared" si="656"/>
        <v>0</v>
      </c>
      <c r="AP71" s="207">
        <f t="shared" si="656"/>
        <v>0</v>
      </c>
      <c r="AQ71" s="207">
        <f t="shared" si="656"/>
        <v>0</v>
      </c>
      <c r="AR71" s="207">
        <f t="shared" si="656"/>
        <v>0</v>
      </c>
      <c r="AS71" s="207">
        <f t="shared" si="656"/>
        <v>0</v>
      </c>
      <c r="AT71" s="207">
        <f t="shared" si="656"/>
        <v>0</v>
      </c>
      <c r="AU71" s="207">
        <f t="shared" si="656"/>
        <v>0</v>
      </c>
      <c r="AV71" s="207">
        <f t="shared" si="656"/>
        <v>0</v>
      </c>
      <c r="AW71" s="207">
        <f t="shared" si="656"/>
        <v>0</v>
      </c>
      <c r="AX71" s="208">
        <f t="shared" si="656"/>
        <v>0</v>
      </c>
      <c r="AY71" s="207">
        <f t="shared" si="656"/>
        <v>0</v>
      </c>
      <c r="AZ71" s="207">
        <f t="shared" si="656"/>
        <v>0</v>
      </c>
      <c r="BA71" s="207">
        <f t="shared" si="656"/>
        <v>0</v>
      </c>
      <c r="BB71" s="207">
        <f t="shared" si="656"/>
        <v>0</v>
      </c>
      <c r="BC71" s="207">
        <f t="shared" si="656"/>
        <v>0</v>
      </c>
      <c r="BD71" s="207">
        <f t="shared" si="656"/>
        <v>0</v>
      </c>
      <c r="BE71" s="207">
        <f t="shared" si="656"/>
        <v>0</v>
      </c>
      <c r="BF71" s="207">
        <f t="shared" si="656"/>
        <v>0</v>
      </c>
      <c r="BG71" s="207">
        <f t="shared" si="656"/>
        <v>0</v>
      </c>
      <c r="BH71" s="207">
        <f t="shared" si="656"/>
        <v>0</v>
      </c>
      <c r="BI71" s="207">
        <f t="shared" si="656"/>
        <v>0</v>
      </c>
      <c r="BJ71" s="208">
        <f t="shared" si="656"/>
        <v>0</v>
      </c>
    </row>
    <row r="72" spans="1:62" x14ac:dyDescent="0.35">
      <c r="B72" s="3" t="s">
        <v>146</v>
      </c>
      <c r="C72" s="206"/>
      <c r="D72" s="207">
        <f>D71-C71</f>
        <v>-0.49147059262485016</v>
      </c>
      <c r="E72" s="207">
        <f t="shared" ref="E72" si="657">E71-D71</f>
        <v>-2.779507055918657</v>
      </c>
      <c r="F72" s="207">
        <f t="shared" ref="F72" si="658">F71-E71</f>
        <v>-2.5677392609949123</v>
      </c>
      <c r="G72" s="207">
        <f t="shared" ref="G72" si="659">G71-F71</f>
        <v>-2.3076601532770411</v>
      </c>
      <c r="H72" s="207">
        <f t="shared" ref="H72" si="660">H71-G71</f>
        <v>-2.1055048598130384</v>
      </c>
      <c r="I72" s="207">
        <f t="shared" ref="I72" si="661">I71-H71</f>
        <v>-1.9728373297781587</v>
      </c>
      <c r="J72" s="207">
        <f t="shared" ref="J72" si="662">J71-I71</f>
        <v>-1.9975910524467224</v>
      </c>
      <c r="K72" s="207">
        <f t="shared" ref="K72" si="663">K71-J71</f>
        <v>-2.1375899415799893</v>
      </c>
      <c r="L72" s="207">
        <f t="shared" ref="L72" si="664">L71-K71</f>
        <v>-1.9287089791008327</v>
      </c>
      <c r="M72" s="207">
        <f t="shared" ref="M72" si="665">M71-L71</f>
        <v>-1.959104805739976</v>
      </c>
      <c r="N72" s="207">
        <f t="shared" ref="N72" si="666">N71-M71</f>
        <v>-1.9144141432318236</v>
      </c>
      <c r="O72" s="208">
        <f t="shared" ref="O72" si="667">O71-N71</f>
        <v>-1.5128123182831175</v>
      </c>
      <c r="P72" s="207">
        <f t="shared" ref="P72" si="668">P71-O71</f>
        <v>-2.6415834022724951</v>
      </c>
      <c r="Q72" s="207">
        <f t="shared" ref="Q72" si="669">Q71-P71</f>
        <v>-2.4679055384227553</v>
      </c>
      <c r="R72" s="207">
        <f t="shared" ref="R72" si="670">R71-Q71</f>
        <v>-2.3222255420748752</v>
      </c>
      <c r="S72" s="207">
        <f t="shared" ref="S72" si="671">S71-R71</f>
        <v>-2.1660258737030063</v>
      </c>
      <c r="T72" s="207">
        <f t="shared" ref="T72" si="672">T71-S71</f>
        <v>-2.0009200264491582</v>
      </c>
      <c r="U72" s="207">
        <f t="shared" ref="U72" si="673">U71-T71</f>
        <v>-1.8926079471872512</v>
      </c>
      <c r="V72" s="207">
        <f t="shared" ref="V72" si="674">V71-U71</f>
        <v>-1.3080330567608556</v>
      </c>
      <c r="W72" s="207">
        <f t="shared" ref="W72" si="675">W71-V71</f>
        <v>-0.82486293360008034</v>
      </c>
      <c r="X72" s="207">
        <f t="shared" ref="X72" si="676">X71-W71</f>
        <v>-0.23656280090342818</v>
      </c>
      <c r="Y72" s="207">
        <f t="shared" ref="Y72" si="677">Y71-X71</f>
        <v>0.36233343955034769</v>
      </c>
      <c r="Z72" s="207">
        <f t="shared" ref="Z72" si="678">Z71-Y71</f>
        <v>0.87677863805919998</v>
      </c>
      <c r="AA72" s="208">
        <f t="shared" ref="AA72" si="679">AA71-Z71</f>
        <v>2.2296542554953263</v>
      </c>
      <c r="AB72" s="207">
        <f t="shared" ref="AB72" si="680">AB71-AA71</f>
        <v>-0.11901861839169925</v>
      </c>
      <c r="AC72" s="207">
        <f t="shared" ref="AC72" si="681">AC71-AB71</f>
        <v>0.41061444779629142</v>
      </c>
      <c r="AD72" s="207">
        <f t="shared" ref="AD72" si="682">AD71-AC71</f>
        <v>1.1282631293675038</v>
      </c>
      <c r="AE72" s="207">
        <f t="shared" ref="AE72" si="683">AE71-AD71</f>
        <v>2.0741257014346033</v>
      </c>
      <c r="AF72" s="207">
        <f t="shared" ref="AF72" si="684">AF71-AE71</f>
        <v>3.0727485418652591</v>
      </c>
      <c r="AG72" s="207">
        <f t="shared" ref="AG72" si="685">AG71-AF71</f>
        <v>4.0415402203204991</v>
      </c>
      <c r="AH72" s="207">
        <f t="shared" ref="AH72" si="686">AH71-AG71</f>
        <v>7.5621459532614494</v>
      </c>
      <c r="AI72" s="207">
        <f t="shared" ref="AI72" si="687">AI71-AH71</f>
        <v>7.0673292773714707</v>
      </c>
      <c r="AJ72" s="207">
        <f t="shared" ref="AJ72" si="688">AJ71-AI71</f>
        <v>7.289907941166561</v>
      </c>
      <c r="AK72" s="207">
        <f t="shared" ref="AK72" si="689">AK71-AJ71</f>
        <v>7.4959553073442748</v>
      </c>
      <c r="AL72" s="207">
        <f t="shared" ref="AL72" si="690">AL71-AK71</f>
        <v>7.3462476639544576</v>
      </c>
      <c r="AM72" s="208">
        <f t="shared" ref="AM72" si="691">AM71-AL71</f>
        <v>9.927780425888912</v>
      </c>
      <c r="AN72" s="207">
        <f t="shared" ref="AN72" si="692">AN71-AM71</f>
        <v>-102.6115934735697</v>
      </c>
      <c r="AO72" s="207">
        <f t="shared" ref="AO72" si="693">AO71-AN71</f>
        <v>0</v>
      </c>
      <c r="AP72" s="207">
        <f t="shared" ref="AP72" si="694">AP71-AO71</f>
        <v>0</v>
      </c>
      <c r="AQ72" s="207">
        <f t="shared" ref="AQ72" si="695">AQ71-AP71</f>
        <v>0</v>
      </c>
      <c r="AR72" s="207">
        <f t="shared" ref="AR72" si="696">AR71-AQ71</f>
        <v>0</v>
      </c>
      <c r="AS72" s="207">
        <f t="shared" ref="AS72" si="697">AS71-AR71</f>
        <v>0</v>
      </c>
      <c r="AT72" s="207">
        <f t="shared" ref="AT72" si="698">AT71-AS71</f>
        <v>0</v>
      </c>
      <c r="AU72" s="207">
        <f t="shared" ref="AU72" si="699">AU71-AT71</f>
        <v>0</v>
      </c>
      <c r="AV72" s="207">
        <f t="shared" ref="AV72" si="700">AV71-AU71</f>
        <v>0</v>
      </c>
      <c r="AW72" s="207">
        <f t="shared" ref="AW72" si="701">AW71-AV71</f>
        <v>0</v>
      </c>
      <c r="AX72" s="208">
        <f t="shared" ref="AX72" si="702">AX71-AW71</f>
        <v>0</v>
      </c>
      <c r="AY72" s="207">
        <f t="shared" ref="AY72" si="703">AY71-AX71</f>
        <v>0</v>
      </c>
      <c r="AZ72" s="207">
        <f t="shared" ref="AZ72" si="704">AZ71-AY71</f>
        <v>0</v>
      </c>
      <c r="BA72" s="207">
        <f t="shared" ref="BA72" si="705">BA71-AZ71</f>
        <v>0</v>
      </c>
      <c r="BB72" s="207">
        <f t="shared" ref="BB72" si="706">BB71-BA71</f>
        <v>0</v>
      </c>
      <c r="BC72" s="207">
        <f t="shared" ref="BC72" si="707">BC71-BB71</f>
        <v>0</v>
      </c>
      <c r="BD72" s="207">
        <f t="shared" ref="BD72" si="708">BD71-BC71</f>
        <v>0</v>
      </c>
      <c r="BE72" s="207">
        <f t="shared" ref="BE72" si="709">BE71-BD71</f>
        <v>0</v>
      </c>
      <c r="BF72" s="207">
        <f t="shared" ref="BF72" si="710">BF71-BE71</f>
        <v>0</v>
      </c>
      <c r="BG72" s="207">
        <f t="shared" ref="BG72" si="711">BG71-BF71</f>
        <v>0</v>
      </c>
      <c r="BH72" s="207">
        <f t="shared" ref="BH72" si="712">BH71-BG71</f>
        <v>0</v>
      </c>
      <c r="BI72" s="207">
        <f t="shared" ref="BI72" si="713">BI71-BH71</f>
        <v>0</v>
      </c>
      <c r="BJ72" s="208">
        <f t="shared" ref="BJ72" si="714">BJ71-BI71</f>
        <v>0</v>
      </c>
    </row>
    <row r="73" spans="1:62" x14ac:dyDescent="0.35">
      <c r="B73" s="3" t="s">
        <v>143</v>
      </c>
      <c r="C73" s="196">
        <f>C71/C55</f>
        <v>1.0783127633183922E-2</v>
      </c>
      <c r="D73" s="197">
        <f t="shared" ref="D73:BJ73" si="715">D71/D55</f>
        <v>1.0786351280223211E-2</v>
      </c>
      <c r="E73" s="197">
        <f t="shared" si="715"/>
        <v>1.0784713642172353E-2</v>
      </c>
      <c r="F73" s="197">
        <f t="shared" si="715"/>
        <v>1.0778588547753489E-2</v>
      </c>
      <c r="G73" s="197">
        <f t="shared" si="715"/>
        <v>1.0766275391077079E-2</v>
      </c>
      <c r="H73" s="197">
        <f t="shared" si="715"/>
        <v>1.074880387458939E-2</v>
      </c>
      <c r="I73" s="197">
        <f t="shared" si="715"/>
        <v>1.0729278838623828E-2</v>
      </c>
      <c r="J73" s="197">
        <f t="shared" si="715"/>
        <v>1.0708306384139665E-2</v>
      </c>
      <c r="K73" s="197">
        <f t="shared" si="715"/>
        <v>1.0689879761634963E-2</v>
      </c>
      <c r="L73" s="197">
        <f t="shared" si="715"/>
        <v>1.0670322421316764E-2</v>
      </c>
      <c r="M73" s="197">
        <f t="shared" si="715"/>
        <v>1.0650081249245227E-2</v>
      </c>
      <c r="N73" s="197">
        <f t="shared" si="715"/>
        <v>1.0630947052045604E-2</v>
      </c>
      <c r="O73" s="198">
        <f t="shared" si="715"/>
        <v>1.0602467235257306E-2</v>
      </c>
      <c r="P73" s="197">
        <f t="shared" si="715"/>
        <v>1.0609099847846668E-2</v>
      </c>
      <c r="Q73" s="197">
        <f t="shared" si="715"/>
        <v>1.0612360594801808E-2</v>
      </c>
      <c r="R73" s="197">
        <f t="shared" si="715"/>
        <v>1.0612347405558609E-2</v>
      </c>
      <c r="S73" s="197">
        <f t="shared" si="715"/>
        <v>1.0607750423787612E-2</v>
      </c>
      <c r="T73" s="197">
        <f t="shared" si="715"/>
        <v>1.0599087101137114E-2</v>
      </c>
      <c r="U73" s="197">
        <f t="shared" si="715"/>
        <v>1.058841009197644E-2</v>
      </c>
      <c r="V73" s="197">
        <f t="shared" si="715"/>
        <v>1.0576122941495592E-2</v>
      </c>
      <c r="W73" s="197">
        <f t="shared" si="715"/>
        <v>1.0565155355986941E-2</v>
      </c>
      <c r="X73" s="197">
        <f t="shared" si="715"/>
        <v>1.0552885580404346E-2</v>
      </c>
      <c r="Y73" s="197">
        <f t="shared" si="715"/>
        <v>1.053965344566161E-2</v>
      </c>
      <c r="Z73" s="197">
        <f t="shared" si="715"/>
        <v>1.052684520142291E-2</v>
      </c>
      <c r="AA73" s="198">
        <f t="shared" si="715"/>
        <v>1.0506438526016505E-2</v>
      </c>
      <c r="AB73" s="197">
        <f t="shared" si="715"/>
        <v>1.051338754818029E-2</v>
      </c>
      <c r="AC73" s="197">
        <f t="shared" si="715"/>
        <v>1.0517713959313814E-2</v>
      </c>
      <c r="AD73" s="197">
        <f t="shared" si="715"/>
        <v>1.0519436399614277E-2</v>
      </c>
      <c r="AE73" s="197">
        <f t="shared" si="715"/>
        <v>1.051747448094173E-2</v>
      </c>
      <c r="AF73" s="197">
        <f t="shared" si="715"/>
        <v>1.0512156209475213E-2</v>
      </c>
      <c r="AG73" s="197">
        <f t="shared" si="715"/>
        <v>1.0505047431307871E-2</v>
      </c>
      <c r="AH73" s="197">
        <f t="shared" si="715"/>
        <v>1.0496448139606413E-2</v>
      </c>
      <c r="AI73" s="197">
        <f t="shared" si="715"/>
        <v>1.0488713542755771E-2</v>
      </c>
      <c r="AJ73" s="197">
        <f t="shared" si="715"/>
        <v>1.0479748130951349E-2</v>
      </c>
      <c r="AK73" s="197">
        <f t="shared" si="715"/>
        <v>1.0469823974677848E-2</v>
      </c>
      <c r="AL73" s="197">
        <f t="shared" si="715"/>
        <v>1.0460083728886405E-2</v>
      </c>
      <c r="AM73" s="198">
        <f t="shared" si="715"/>
        <v>1.0443898360056519E-2</v>
      </c>
      <c r="AN73" s="197" t="e">
        <f t="shared" si="715"/>
        <v>#DIV/0!</v>
      </c>
      <c r="AO73" s="197" t="e">
        <f t="shared" si="715"/>
        <v>#DIV/0!</v>
      </c>
      <c r="AP73" s="197" t="e">
        <f t="shared" si="715"/>
        <v>#DIV/0!</v>
      </c>
      <c r="AQ73" s="197" t="e">
        <f t="shared" si="715"/>
        <v>#DIV/0!</v>
      </c>
      <c r="AR73" s="197" t="e">
        <f t="shared" si="715"/>
        <v>#DIV/0!</v>
      </c>
      <c r="AS73" s="197" t="e">
        <f t="shared" si="715"/>
        <v>#DIV/0!</v>
      </c>
      <c r="AT73" s="197" t="e">
        <f t="shared" si="715"/>
        <v>#DIV/0!</v>
      </c>
      <c r="AU73" s="197" t="e">
        <f t="shared" si="715"/>
        <v>#DIV/0!</v>
      </c>
      <c r="AV73" s="197" t="e">
        <f t="shared" si="715"/>
        <v>#DIV/0!</v>
      </c>
      <c r="AW73" s="197" t="e">
        <f t="shared" si="715"/>
        <v>#DIV/0!</v>
      </c>
      <c r="AX73" s="198" t="e">
        <f t="shared" si="715"/>
        <v>#DIV/0!</v>
      </c>
      <c r="AY73" s="197" t="e">
        <f t="shared" si="715"/>
        <v>#DIV/0!</v>
      </c>
      <c r="AZ73" s="197" t="e">
        <f t="shared" si="715"/>
        <v>#DIV/0!</v>
      </c>
      <c r="BA73" s="197" t="e">
        <f t="shared" si="715"/>
        <v>#DIV/0!</v>
      </c>
      <c r="BB73" s="197" t="e">
        <f t="shared" si="715"/>
        <v>#DIV/0!</v>
      </c>
      <c r="BC73" s="197" t="e">
        <f t="shared" si="715"/>
        <v>#DIV/0!</v>
      </c>
      <c r="BD73" s="197" t="e">
        <f t="shared" si="715"/>
        <v>#DIV/0!</v>
      </c>
      <c r="BE73" s="197" t="e">
        <f t="shared" si="715"/>
        <v>#DIV/0!</v>
      </c>
      <c r="BF73" s="197" t="e">
        <f t="shared" si="715"/>
        <v>#DIV/0!</v>
      </c>
      <c r="BG73" s="197" t="e">
        <f t="shared" si="715"/>
        <v>#DIV/0!</v>
      </c>
      <c r="BH73" s="197" t="e">
        <f t="shared" si="715"/>
        <v>#DIV/0!</v>
      </c>
      <c r="BI73" s="197" t="e">
        <f t="shared" si="715"/>
        <v>#DIV/0!</v>
      </c>
      <c r="BJ73" s="198" t="e">
        <f t="shared" si="715"/>
        <v>#DIV/0!</v>
      </c>
    </row>
    <row r="75" spans="1:62" x14ac:dyDescent="0.35">
      <c r="A75" s="15" t="s">
        <v>228</v>
      </c>
      <c r="B75" s="1" t="s">
        <v>144</v>
      </c>
      <c r="C75" s="110">
        <f>$C$3</f>
        <v>45352</v>
      </c>
      <c r="D75" s="111">
        <f>EDATE(C75,1)</f>
        <v>45383</v>
      </c>
      <c r="E75" s="111">
        <f t="shared" ref="E75" si="716">EDATE(D75,1)</f>
        <v>45413</v>
      </c>
      <c r="F75" s="111">
        <f t="shared" ref="F75" si="717">EDATE(E75,1)</f>
        <v>45444</v>
      </c>
      <c r="G75" s="111">
        <f t="shared" ref="G75" si="718">EDATE(F75,1)</f>
        <v>45474</v>
      </c>
      <c r="H75" s="111">
        <f t="shared" ref="H75" si="719">EDATE(G75,1)</f>
        <v>45505</v>
      </c>
      <c r="I75" s="111">
        <f t="shared" ref="I75" si="720">EDATE(H75,1)</f>
        <v>45536</v>
      </c>
      <c r="J75" s="111">
        <f t="shared" ref="J75" si="721">EDATE(I75,1)</f>
        <v>45566</v>
      </c>
      <c r="K75" s="111">
        <f t="shared" ref="K75" si="722">EDATE(J75,1)</f>
        <v>45597</v>
      </c>
      <c r="L75" s="111">
        <f t="shared" ref="L75" si="723">EDATE(K75,1)</f>
        <v>45627</v>
      </c>
      <c r="M75" s="111">
        <f t="shared" ref="M75" si="724">EDATE(L75,1)</f>
        <v>45658</v>
      </c>
      <c r="N75" s="111">
        <f t="shared" ref="N75" si="725">EDATE(M75,1)</f>
        <v>45689</v>
      </c>
      <c r="O75" s="112">
        <f t="shared" ref="O75" si="726">EDATE(N75,1)</f>
        <v>45717</v>
      </c>
      <c r="P75" s="111">
        <f t="shared" ref="P75" si="727">EDATE(O75,1)</f>
        <v>45748</v>
      </c>
      <c r="Q75" s="111">
        <f t="shared" ref="Q75" si="728">EDATE(P75,1)</f>
        <v>45778</v>
      </c>
      <c r="R75" s="111">
        <f t="shared" ref="R75" si="729">EDATE(Q75,1)</f>
        <v>45809</v>
      </c>
      <c r="S75" s="111">
        <f t="shared" ref="S75" si="730">EDATE(R75,1)</f>
        <v>45839</v>
      </c>
      <c r="T75" s="111">
        <f t="shared" ref="T75" si="731">EDATE(S75,1)</f>
        <v>45870</v>
      </c>
      <c r="U75" s="111">
        <f t="shared" ref="U75" si="732">EDATE(T75,1)</f>
        <v>45901</v>
      </c>
      <c r="V75" s="111">
        <f t="shared" ref="V75" si="733">EDATE(U75,1)</f>
        <v>45931</v>
      </c>
      <c r="W75" s="111">
        <f t="shared" ref="W75" si="734">EDATE(V75,1)</f>
        <v>45962</v>
      </c>
      <c r="X75" s="111">
        <f t="shared" ref="X75" si="735">EDATE(W75,1)</f>
        <v>45992</v>
      </c>
      <c r="Y75" s="111">
        <f t="shared" ref="Y75" si="736">EDATE(X75,1)</f>
        <v>46023</v>
      </c>
      <c r="Z75" s="111">
        <f t="shared" ref="Z75" si="737">EDATE(Y75,1)</f>
        <v>46054</v>
      </c>
      <c r="AA75" s="112">
        <f t="shared" ref="AA75" si="738">EDATE(Z75,1)</f>
        <v>46082</v>
      </c>
      <c r="AB75" s="111">
        <f t="shared" ref="AB75" si="739">EDATE(AA75,1)</f>
        <v>46113</v>
      </c>
      <c r="AC75" s="111">
        <f t="shared" ref="AC75" si="740">EDATE(AB75,1)</f>
        <v>46143</v>
      </c>
      <c r="AD75" s="111">
        <f t="shared" ref="AD75" si="741">EDATE(AC75,1)</f>
        <v>46174</v>
      </c>
      <c r="AE75" s="111">
        <f t="shared" ref="AE75" si="742">EDATE(AD75,1)</f>
        <v>46204</v>
      </c>
      <c r="AF75" s="111">
        <f t="shared" ref="AF75" si="743">EDATE(AE75,1)</f>
        <v>46235</v>
      </c>
      <c r="AG75" s="111">
        <f t="shared" ref="AG75" si="744">EDATE(AF75,1)</f>
        <v>46266</v>
      </c>
      <c r="AH75" s="111">
        <f t="shared" ref="AH75" si="745">EDATE(AG75,1)</f>
        <v>46296</v>
      </c>
      <c r="AI75" s="111">
        <f t="shared" ref="AI75" si="746">EDATE(AH75,1)</f>
        <v>46327</v>
      </c>
      <c r="AJ75" s="111">
        <f t="shared" ref="AJ75" si="747">EDATE(AI75,1)</f>
        <v>46357</v>
      </c>
      <c r="AK75" s="111">
        <f t="shared" ref="AK75" si="748">EDATE(AJ75,1)</f>
        <v>46388</v>
      </c>
      <c r="AL75" s="111">
        <f t="shared" ref="AL75" si="749">EDATE(AK75,1)</f>
        <v>46419</v>
      </c>
      <c r="AM75" s="112">
        <f t="shared" ref="AM75" si="750">EDATE(AL75,1)</f>
        <v>46447</v>
      </c>
      <c r="AN75" s="111">
        <f t="shared" ref="AN75" si="751">EDATE(AM75,1)</f>
        <v>46478</v>
      </c>
      <c r="AO75" s="111">
        <f t="shared" ref="AO75" si="752">EDATE(AN75,1)</f>
        <v>46508</v>
      </c>
      <c r="AP75" s="111">
        <f t="shared" ref="AP75" si="753">EDATE(AO75,1)</f>
        <v>46539</v>
      </c>
      <c r="AQ75" s="111">
        <f t="shared" ref="AQ75" si="754">EDATE(AP75,1)</f>
        <v>46569</v>
      </c>
      <c r="AR75" s="111">
        <f t="shared" ref="AR75" si="755">EDATE(AQ75,1)</f>
        <v>46600</v>
      </c>
      <c r="AS75" s="111">
        <f t="shared" ref="AS75" si="756">EDATE(AR75,1)</f>
        <v>46631</v>
      </c>
      <c r="AT75" s="111">
        <f t="shared" ref="AT75" si="757">EDATE(AS75,1)</f>
        <v>46661</v>
      </c>
      <c r="AU75" s="111">
        <f t="shared" ref="AU75" si="758">EDATE(AT75,1)</f>
        <v>46692</v>
      </c>
      <c r="AV75" s="111">
        <f t="shared" ref="AV75" si="759">EDATE(AU75,1)</f>
        <v>46722</v>
      </c>
      <c r="AW75" s="111">
        <f t="shared" ref="AW75" si="760">EDATE(AV75,1)</f>
        <v>46753</v>
      </c>
      <c r="AX75" s="112">
        <f t="shared" ref="AX75" si="761">EDATE(AW75,1)</f>
        <v>46784</v>
      </c>
      <c r="AY75" s="111">
        <f t="shared" ref="AY75" si="762">EDATE(AX75,1)</f>
        <v>46813</v>
      </c>
      <c r="AZ75" s="111">
        <f t="shared" ref="AZ75" si="763">EDATE(AY75,1)</f>
        <v>46844</v>
      </c>
      <c r="BA75" s="111">
        <f t="shared" ref="BA75" si="764">EDATE(AZ75,1)</f>
        <v>46874</v>
      </c>
      <c r="BB75" s="111">
        <f t="shared" ref="BB75" si="765">EDATE(BA75,1)</f>
        <v>46905</v>
      </c>
      <c r="BC75" s="111">
        <f t="shared" ref="BC75" si="766">EDATE(BB75,1)</f>
        <v>46935</v>
      </c>
      <c r="BD75" s="111">
        <f t="shared" ref="BD75" si="767">EDATE(BC75,1)</f>
        <v>46966</v>
      </c>
      <c r="BE75" s="111">
        <f t="shared" ref="BE75" si="768">EDATE(BD75,1)</f>
        <v>46997</v>
      </c>
      <c r="BF75" s="111">
        <f t="shared" ref="BF75" si="769">EDATE(BE75,1)</f>
        <v>47027</v>
      </c>
      <c r="BG75" s="111">
        <f t="shared" ref="BG75" si="770">EDATE(BF75,1)</f>
        <v>47058</v>
      </c>
      <c r="BH75" s="111">
        <f t="shared" ref="BH75" si="771">EDATE(BG75,1)</f>
        <v>47088</v>
      </c>
      <c r="BI75" s="111">
        <f t="shared" ref="BI75" si="772">EDATE(BH75,1)</f>
        <v>47119</v>
      </c>
      <c r="BJ75" s="112">
        <f>EDATE(BI75,1)</f>
        <v>47150</v>
      </c>
    </row>
    <row r="76" spans="1:62" x14ac:dyDescent="0.35">
      <c r="B76" s="1" t="s">
        <v>51</v>
      </c>
      <c r="C76" s="200">
        <f>C4+C28+C52</f>
        <v>75210.770476292048</v>
      </c>
      <c r="D76" s="201">
        <f t="shared" ref="D76:AM76" si="773">D4+D28+D52</f>
        <v>76304.282068515036</v>
      </c>
      <c r="E76" s="201">
        <f t="shared" si="773"/>
        <v>77406.189208187367</v>
      </c>
      <c r="F76" s="201">
        <f t="shared" si="773"/>
        <v>78580.324110493064</v>
      </c>
      <c r="G76" s="201">
        <f t="shared" si="773"/>
        <v>79797.70929006458</v>
      </c>
      <c r="H76" s="201">
        <f t="shared" si="773"/>
        <v>81125.517427847997</v>
      </c>
      <c r="I76" s="201">
        <f t="shared" si="773"/>
        <v>80746.453014026149</v>
      </c>
      <c r="J76" s="201">
        <f t="shared" si="773"/>
        <v>81665.232818978795</v>
      </c>
      <c r="K76" s="201">
        <f t="shared" si="773"/>
        <v>82766.104232664846</v>
      </c>
      <c r="L76" s="201">
        <f t="shared" si="773"/>
        <v>81284.281954476333</v>
      </c>
      <c r="M76" s="201">
        <f t="shared" si="773"/>
        <v>82381.818272794291</v>
      </c>
      <c r="N76" s="201">
        <f t="shared" si="773"/>
        <v>80764.478025506949</v>
      </c>
      <c r="O76" s="202">
        <f t="shared" si="773"/>
        <v>81942.421600395144</v>
      </c>
      <c r="P76" s="201">
        <f t="shared" si="773"/>
        <v>81578.923901053393</v>
      </c>
      <c r="Q76" s="201">
        <f t="shared" si="773"/>
        <v>81346.924974976937</v>
      </c>
      <c r="R76" s="201">
        <f t="shared" si="773"/>
        <v>81173.846370227213</v>
      </c>
      <c r="S76" s="201">
        <f t="shared" si="773"/>
        <v>81015.89323303847</v>
      </c>
      <c r="T76" s="201">
        <f t="shared" si="773"/>
        <v>81032.69589365639</v>
      </c>
      <c r="U76" s="201">
        <f>U4+U28+U52</f>
        <v>80381.850480922876</v>
      </c>
      <c r="V76" s="201">
        <f t="shared" si="773"/>
        <v>81813.42518279457</v>
      </c>
      <c r="W76" s="201">
        <f t="shared" si="773"/>
        <v>83007.742536473888</v>
      </c>
      <c r="X76" s="201">
        <f t="shared" si="773"/>
        <v>82123.838010336956</v>
      </c>
      <c r="Y76" s="201">
        <f t="shared" si="773"/>
        <v>84268.199103085353</v>
      </c>
      <c r="Z76" s="201">
        <f t="shared" si="773"/>
        <v>84081.181927633937</v>
      </c>
      <c r="AA76" s="202">
        <f t="shared" si="773"/>
        <v>87185.378347504811</v>
      </c>
      <c r="AB76" s="201">
        <f t="shared" si="773"/>
        <v>88159.768423505666</v>
      </c>
      <c r="AC76" s="201">
        <f t="shared" si="773"/>
        <v>90863.559177396659</v>
      </c>
      <c r="AD76" s="201">
        <f t="shared" si="773"/>
        <v>93084.613300943631</v>
      </c>
      <c r="AE76" s="201">
        <f t="shared" si="773"/>
        <v>95914.94225588438</v>
      </c>
      <c r="AF76" s="201">
        <f t="shared" si="773"/>
        <v>99582.771325887661</v>
      </c>
      <c r="AG76" s="201">
        <f t="shared" si="773"/>
        <v>103304.7609091808</v>
      </c>
      <c r="AH76" s="201">
        <f t="shared" si="773"/>
        <v>108654.10847503445</v>
      </c>
      <c r="AI76" s="201">
        <f t="shared" si="773"/>
        <v>114768.96744823141</v>
      </c>
      <c r="AJ76" s="201">
        <f t="shared" si="773"/>
        <v>118795.69596529572</v>
      </c>
      <c r="AK76" s="201">
        <f t="shared" si="773"/>
        <v>125772.09575802059</v>
      </c>
      <c r="AL76" s="201">
        <f t="shared" si="773"/>
        <v>129928.43177934011</v>
      </c>
      <c r="AM76" s="202">
        <f t="shared" si="773"/>
        <v>137601.83489662907</v>
      </c>
      <c r="AN76" s="201">
        <f>'Calculation - Stage dist'!AQ54*AN$55</f>
        <v>0</v>
      </c>
      <c r="AO76" s="201">
        <f>'Calculation - Stage dist'!AR54*AO$55</f>
        <v>0</v>
      </c>
      <c r="AP76" s="201">
        <f>'Calculation - Stage dist'!AS54*AP$55</f>
        <v>0</v>
      </c>
      <c r="AQ76" s="201">
        <f>'Calculation - Stage dist'!AT54*AQ$55</f>
        <v>0</v>
      </c>
      <c r="AR76" s="201">
        <f>'Calculation - Stage dist'!AU54*AR$55</f>
        <v>0</v>
      </c>
      <c r="AS76" s="201">
        <f>'Calculation - Stage dist'!AV54*AS$55</f>
        <v>0</v>
      </c>
      <c r="AT76" s="201">
        <f>'Calculation - Stage dist'!AW54*AT$55</f>
        <v>0</v>
      </c>
      <c r="AU76" s="201">
        <f>'Calculation - Stage dist'!AX54*AU$55</f>
        <v>0</v>
      </c>
      <c r="AV76" s="201">
        <f>'Calculation - Stage dist'!AY54*AV$55</f>
        <v>0</v>
      </c>
      <c r="AW76" s="201">
        <f>'Calculation - Stage dist'!AZ54*AW$55</f>
        <v>0</v>
      </c>
      <c r="AX76" s="202">
        <f>'Calculation - Stage dist'!BA54*AX$55</f>
        <v>0</v>
      </c>
      <c r="AY76" s="201">
        <f>'Calculation - Stage dist'!BB54*AY$55</f>
        <v>0</v>
      </c>
      <c r="AZ76" s="201">
        <f>'Calculation - Stage dist'!BC54*AZ$55</f>
        <v>0</v>
      </c>
      <c r="BA76" s="201">
        <f>'Calculation - Stage dist'!BD54*BA$55</f>
        <v>0</v>
      </c>
      <c r="BB76" s="201">
        <f>'Calculation - Stage dist'!BE54*BB$55</f>
        <v>0</v>
      </c>
      <c r="BC76" s="201">
        <f>'Calculation - Stage dist'!BF54*BC$55</f>
        <v>0</v>
      </c>
      <c r="BD76" s="201">
        <f>'Calculation - Stage dist'!BG54*BD$55</f>
        <v>0</v>
      </c>
      <c r="BE76" s="201">
        <f>'Calculation - Stage dist'!BH54*BE$55</f>
        <v>0</v>
      </c>
      <c r="BF76" s="201">
        <f>'Calculation - Stage dist'!BI54*BF$55</f>
        <v>0</v>
      </c>
      <c r="BG76" s="201">
        <f>'Calculation - Stage dist'!BJ54*BG$55</f>
        <v>0</v>
      </c>
      <c r="BH76" s="201">
        <f>'Calculation - Stage dist'!BK54*BH$55</f>
        <v>0</v>
      </c>
      <c r="BI76" s="201">
        <f>'Calculation - Stage dist'!BL54*BI$55</f>
        <v>0</v>
      </c>
      <c r="BJ76" s="202">
        <f>'Calculation - Stage dist'!BM54*BJ$55</f>
        <v>0</v>
      </c>
    </row>
    <row r="77" spans="1:62" x14ac:dyDescent="0.35">
      <c r="B77" s="2" t="s">
        <v>52</v>
      </c>
      <c r="C77" s="203">
        <f t="shared" ref="C77:AM77" si="774">C5+C29+C53</f>
        <v>2038.7133112821564</v>
      </c>
      <c r="D77" s="204">
        <f t="shared" si="774"/>
        <v>2115.2217107213842</v>
      </c>
      <c r="E77" s="204">
        <f t="shared" si="774"/>
        <v>2192.1170614072034</v>
      </c>
      <c r="F77" s="204">
        <f t="shared" si="774"/>
        <v>2271.831161767429</v>
      </c>
      <c r="G77" s="204">
        <f t="shared" si="774"/>
        <v>2353.1907689770574</v>
      </c>
      <c r="H77" s="204">
        <f t="shared" si="774"/>
        <v>2438.7652248588552</v>
      </c>
      <c r="I77" s="204">
        <f t="shared" si="774"/>
        <v>2439.1485680125984</v>
      </c>
      <c r="J77" s="204">
        <f t="shared" si="774"/>
        <v>2531.6372248439966</v>
      </c>
      <c r="K77" s="204">
        <f t="shared" si="774"/>
        <v>2632.6740689168673</v>
      </c>
      <c r="L77" s="204">
        <f t="shared" si="774"/>
        <v>2598.2478281419903</v>
      </c>
      <c r="M77" s="204">
        <f t="shared" si="774"/>
        <v>2700.8295941519468</v>
      </c>
      <c r="N77" s="204">
        <f t="shared" si="774"/>
        <v>2660.4341844060414</v>
      </c>
      <c r="O77" s="205">
        <f t="shared" si="774"/>
        <v>2767.515587142258</v>
      </c>
      <c r="P77" s="204">
        <f t="shared" si="774"/>
        <v>2857.5995364452938</v>
      </c>
      <c r="Q77" s="204">
        <f t="shared" si="774"/>
        <v>2952.3515783089306</v>
      </c>
      <c r="R77" s="204">
        <f t="shared" si="774"/>
        <v>3049.02873491835</v>
      </c>
      <c r="S77" s="204">
        <f t="shared" si="774"/>
        <v>3147.0717408568166</v>
      </c>
      <c r="T77" s="204">
        <f t="shared" si="774"/>
        <v>3251.9276507213926</v>
      </c>
      <c r="U77" s="204">
        <f t="shared" si="774"/>
        <v>3363.4577771894756</v>
      </c>
      <c r="V77" s="204">
        <f t="shared" si="774"/>
        <v>3324.397414976132</v>
      </c>
      <c r="W77" s="204">
        <f t="shared" si="774"/>
        <v>3305.1237897822766</v>
      </c>
      <c r="X77" s="204">
        <f t="shared" si="774"/>
        <v>3149.5160261579458</v>
      </c>
      <c r="Y77" s="204">
        <f t="shared" si="774"/>
        <v>3163.7463046766125</v>
      </c>
      <c r="Z77" s="204">
        <f t="shared" si="774"/>
        <v>3037.2635463513598</v>
      </c>
      <c r="AA77" s="205">
        <f t="shared" si="774"/>
        <v>3077.7780964391886</v>
      </c>
      <c r="AB77" s="204">
        <f t="shared" si="774"/>
        <v>3041.0906078370353</v>
      </c>
      <c r="AC77" s="204">
        <f t="shared" si="774"/>
        <v>3057.7492228324513</v>
      </c>
      <c r="AD77" s="204">
        <f t="shared" si="774"/>
        <v>3055.2050489353969</v>
      </c>
      <c r="AE77" s="204">
        <f t="shared" si="774"/>
        <v>3066.6086403920613</v>
      </c>
      <c r="AF77" s="204">
        <f t="shared" si="774"/>
        <v>3097.6456382805195</v>
      </c>
      <c r="AG77" s="204">
        <f t="shared" si="774"/>
        <v>3109.7730338044439</v>
      </c>
      <c r="AH77" s="204">
        <f t="shared" si="774"/>
        <v>3158.7122227088594</v>
      </c>
      <c r="AI77" s="204">
        <f t="shared" si="774"/>
        <v>3222.1169047498024</v>
      </c>
      <c r="AJ77" s="204">
        <f t="shared" si="774"/>
        <v>3184.8986150792662</v>
      </c>
      <c r="AK77" s="204">
        <f t="shared" si="774"/>
        <v>3252.4795174631172</v>
      </c>
      <c r="AL77" s="204">
        <f t="shared" si="774"/>
        <v>3207.1669761064741</v>
      </c>
      <c r="AM77" s="205">
        <f t="shared" si="774"/>
        <v>3264.6452690473593</v>
      </c>
      <c r="AN77" s="204">
        <f>'Calculation - Stage dist'!AQ55*AN$55</f>
        <v>0</v>
      </c>
      <c r="AO77" s="204">
        <f>'Calculation - Stage dist'!AR55*AO$55</f>
        <v>0</v>
      </c>
      <c r="AP77" s="204">
        <f>'Calculation - Stage dist'!AS55*AP$55</f>
        <v>0</v>
      </c>
      <c r="AQ77" s="204">
        <f>'Calculation - Stage dist'!AT55*AQ$55</f>
        <v>0</v>
      </c>
      <c r="AR77" s="204">
        <f>'Calculation - Stage dist'!AU55*AR$55</f>
        <v>0</v>
      </c>
      <c r="AS77" s="204">
        <f>'Calculation - Stage dist'!AV55*AS$55</f>
        <v>0</v>
      </c>
      <c r="AT77" s="204">
        <f>'Calculation - Stage dist'!AW55*AT$55</f>
        <v>0</v>
      </c>
      <c r="AU77" s="204">
        <f>'Calculation - Stage dist'!AX55*AU$55</f>
        <v>0</v>
      </c>
      <c r="AV77" s="204">
        <f>'Calculation - Stage dist'!AY55*AV$55</f>
        <v>0</v>
      </c>
      <c r="AW77" s="204">
        <f>'Calculation - Stage dist'!AZ55*AW$55</f>
        <v>0</v>
      </c>
      <c r="AX77" s="205">
        <f>'Calculation - Stage dist'!BA55*AX$55</f>
        <v>0</v>
      </c>
      <c r="AY77" s="204">
        <f>'Calculation - Stage dist'!BB55*AY$55</f>
        <v>0</v>
      </c>
      <c r="AZ77" s="204">
        <f>'Calculation - Stage dist'!BC55*AZ$55</f>
        <v>0</v>
      </c>
      <c r="BA77" s="204">
        <f>'Calculation - Stage dist'!BD55*BA$55</f>
        <v>0</v>
      </c>
      <c r="BB77" s="204">
        <f>'Calculation - Stage dist'!BE55*BB$55</f>
        <v>0</v>
      </c>
      <c r="BC77" s="204">
        <f>'Calculation - Stage dist'!BF55*BC$55</f>
        <v>0</v>
      </c>
      <c r="BD77" s="204">
        <f>'Calculation - Stage dist'!BG55*BD$55</f>
        <v>0</v>
      </c>
      <c r="BE77" s="204">
        <f>'Calculation - Stage dist'!BH55*BE$55</f>
        <v>0</v>
      </c>
      <c r="BF77" s="204">
        <f>'Calculation - Stage dist'!BI55*BF$55</f>
        <v>0</v>
      </c>
      <c r="BG77" s="204">
        <f>'Calculation - Stage dist'!BJ55*BG$55</f>
        <v>0</v>
      </c>
      <c r="BH77" s="204">
        <f>'Calculation - Stage dist'!BK55*BH$55</f>
        <v>0</v>
      </c>
      <c r="BI77" s="204">
        <f>'Calculation - Stage dist'!BL55*BI$55</f>
        <v>0</v>
      </c>
      <c r="BJ77" s="205">
        <f>'Calculation - Stage dist'!BM55*BJ$55</f>
        <v>0</v>
      </c>
    </row>
    <row r="78" spans="1:62" x14ac:dyDescent="0.35">
      <c r="B78" s="3" t="s">
        <v>53</v>
      </c>
      <c r="C78" s="206">
        <f t="shared" ref="C78:AM78" si="775">C6+C30+C54</f>
        <v>1527.8583437063442</v>
      </c>
      <c r="D78" s="207">
        <f t="shared" si="775"/>
        <v>1596.5462639963746</v>
      </c>
      <c r="E78" s="207">
        <f t="shared" si="775"/>
        <v>1665.6527402316299</v>
      </c>
      <c r="F78" s="207">
        <f t="shared" si="775"/>
        <v>1737.6282997235705</v>
      </c>
      <c r="G78" s="207">
        <f t="shared" si="775"/>
        <v>1811.5552917199707</v>
      </c>
      <c r="H78" s="207">
        <f t="shared" si="775"/>
        <v>1889.4422479308023</v>
      </c>
      <c r="I78" s="207">
        <f t="shared" si="775"/>
        <v>1893.8337766325662</v>
      </c>
      <c r="J78" s="207">
        <f t="shared" si="775"/>
        <v>1985.2784961482373</v>
      </c>
      <c r="K78" s="207">
        <f t="shared" si="775"/>
        <v>2084.5020228900744</v>
      </c>
      <c r="L78" s="207">
        <f t="shared" si="775"/>
        <v>2057.355610468338</v>
      </c>
      <c r="M78" s="207">
        <f t="shared" si="775"/>
        <v>2156.8398937094576</v>
      </c>
      <c r="N78" s="207">
        <f t="shared" si="775"/>
        <v>2117.8326183067293</v>
      </c>
      <c r="O78" s="208">
        <f t="shared" si="775"/>
        <v>2220.6591185808056</v>
      </c>
      <c r="P78" s="207">
        <f t="shared" si="775"/>
        <v>2315.1505801207663</v>
      </c>
      <c r="Q78" s="207">
        <f t="shared" si="775"/>
        <v>2414.3412660030303</v>
      </c>
      <c r="R78" s="207">
        <f t="shared" si="775"/>
        <v>2515.767726414073</v>
      </c>
      <c r="S78" s="207">
        <f t="shared" si="775"/>
        <v>2619.9410025753441</v>
      </c>
      <c r="T78" s="207">
        <f t="shared" si="775"/>
        <v>2730.3620117938412</v>
      </c>
      <c r="U78" s="207">
        <f t="shared" si="775"/>
        <v>2832.282139694792</v>
      </c>
      <c r="V78" s="207">
        <f t="shared" si="775"/>
        <v>2787.365397793144</v>
      </c>
      <c r="W78" s="207">
        <f t="shared" si="775"/>
        <v>2759.0594053930163</v>
      </c>
      <c r="X78" s="207">
        <f t="shared" si="775"/>
        <v>2570.0764608927889</v>
      </c>
      <c r="Y78" s="207">
        <f t="shared" si="775"/>
        <v>2571.8930842633799</v>
      </c>
      <c r="Z78" s="207">
        <f t="shared" si="775"/>
        <v>2414.72543459094</v>
      </c>
      <c r="AA78" s="208">
        <f t="shared" si="775"/>
        <v>2439.0679604623037</v>
      </c>
      <c r="AB78" s="207">
        <f t="shared" si="775"/>
        <v>2397.8035933982333</v>
      </c>
      <c r="AC78" s="207">
        <f t="shared" si="775"/>
        <v>2393.471879619568</v>
      </c>
      <c r="AD78" s="207">
        <f t="shared" si="775"/>
        <v>2376.9569373098593</v>
      </c>
      <c r="AE78" s="207">
        <f t="shared" si="775"/>
        <v>2369.9944202496886</v>
      </c>
      <c r="AF78" s="207">
        <f t="shared" si="775"/>
        <v>2376.3175012639736</v>
      </c>
      <c r="AG78" s="207">
        <f t="shared" si="775"/>
        <v>2356.8148284856879</v>
      </c>
      <c r="AH78" s="207">
        <f t="shared" si="775"/>
        <v>2379.4736059497241</v>
      </c>
      <c r="AI78" s="207">
        <f t="shared" si="775"/>
        <v>2410.3151895746364</v>
      </c>
      <c r="AJ78" s="207">
        <f t="shared" si="775"/>
        <v>2341.5926084997282</v>
      </c>
      <c r="AK78" s="207">
        <f t="shared" si="775"/>
        <v>2371.639262910569</v>
      </c>
      <c r="AL78" s="207">
        <f t="shared" si="775"/>
        <v>2297.4793754788602</v>
      </c>
      <c r="AM78" s="208">
        <f t="shared" si="775"/>
        <v>2314.7780864735573</v>
      </c>
      <c r="AN78" s="207">
        <f>'Calculation - Stage dist'!AQ56*AN$55</f>
        <v>0</v>
      </c>
      <c r="AO78" s="207">
        <f>'Calculation - Stage dist'!AR56*AO$55</f>
        <v>0</v>
      </c>
      <c r="AP78" s="207">
        <f>'Calculation - Stage dist'!AS56*AP$55</f>
        <v>0</v>
      </c>
      <c r="AQ78" s="207">
        <f>'Calculation - Stage dist'!AT56*AQ$55</f>
        <v>0</v>
      </c>
      <c r="AR78" s="207">
        <f>'Calculation - Stage dist'!AU56*AR$55</f>
        <v>0</v>
      </c>
      <c r="AS78" s="207">
        <f>'Calculation - Stage dist'!AV56*AS$55</f>
        <v>0</v>
      </c>
      <c r="AT78" s="207">
        <f>'Calculation - Stage dist'!AW56*AT$55</f>
        <v>0</v>
      </c>
      <c r="AU78" s="207">
        <f>'Calculation - Stage dist'!AX56*AU$55</f>
        <v>0</v>
      </c>
      <c r="AV78" s="207">
        <f>'Calculation - Stage dist'!AY56*AV$55</f>
        <v>0</v>
      </c>
      <c r="AW78" s="207">
        <f>'Calculation - Stage dist'!AZ56*AW$55</f>
        <v>0</v>
      </c>
      <c r="AX78" s="208">
        <f>'Calculation - Stage dist'!BA56*AX$55</f>
        <v>0</v>
      </c>
      <c r="AY78" s="207">
        <f>'Calculation - Stage dist'!BB56*AY$55</f>
        <v>0</v>
      </c>
      <c r="AZ78" s="207">
        <f>'Calculation - Stage dist'!BC56*AZ$55</f>
        <v>0</v>
      </c>
      <c r="BA78" s="207">
        <f>'Calculation - Stage dist'!BD56*BA$55</f>
        <v>0</v>
      </c>
      <c r="BB78" s="207">
        <f>'Calculation - Stage dist'!BE56*BB$55</f>
        <v>0</v>
      </c>
      <c r="BC78" s="207">
        <f>'Calculation - Stage dist'!BF56*BC$55</f>
        <v>0</v>
      </c>
      <c r="BD78" s="207">
        <f>'Calculation - Stage dist'!BG56*BD$55</f>
        <v>0</v>
      </c>
      <c r="BE78" s="207">
        <f>'Calculation - Stage dist'!BH56*BE$55</f>
        <v>0</v>
      </c>
      <c r="BF78" s="207">
        <f>'Calculation - Stage dist'!BI56*BF$55</f>
        <v>0</v>
      </c>
      <c r="BG78" s="207">
        <f>'Calculation - Stage dist'!BJ56*BG$55</f>
        <v>0</v>
      </c>
      <c r="BH78" s="207">
        <f>'Calculation - Stage dist'!BK56*BH$55</f>
        <v>0</v>
      </c>
      <c r="BI78" s="207">
        <f>'Calculation - Stage dist'!BL56*BI$55</f>
        <v>0</v>
      </c>
      <c r="BJ78" s="208">
        <f>'Calculation - Stage dist'!BM56*BJ$55</f>
        <v>0</v>
      </c>
    </row>
    <row r="79" spans="1:62" x14ac:dyDescent="0.35">
      <c r="B79" s="3" t="s">
        <v>140</v>
      </c>
      <c r="C79" s="206">
        <f>'Input - ENR'!C15</f>
        <v>78777.342131280544</v>
      </c>
      <c r="D79" s="207">
        <f>'Input - ENR'!D15</f>
        <v>80016.050043232797</v>
      </c>
      <c r="E79" s="207">
        <f>'Input - ENR'!E15</f>
        <v>81263.959009826198</v>
      </c>
      <c r="F79" s="207">
        <f>'Input - ENR'!F15</f>
        <v>82589.78357198408</v>
      </c>
      <c r="G79" s="207">
        <f>'Input - ENR'!G15</f>
        <v>83962.455350761607</v>
      </c>
      <c r="H79" s="207">
        <f>'Input - ENR'!H15</f>
        <v>85453.724900637651</v>
      </c>
      <c r="I79" s="207">
        <f>'Input - ENR'!I15</f>
        <v>85079.435358671311</v>
      </c>
      <c r="J79" s="207">
        <f>'Input - ENR'!J15</f>
        <v>86182.148539971022</v>
      </c>
      <c r="K79" s="207">
        <f>'Input - ENR'!K15</f>
        <v>87483.280324471794</v>
      </c>
      <c r="L79" s="207">
        <f>'Input - ENR'!L15</f>
        <v>85939.885393086661</v>
      </c>
      <c r="M79" s="207">
        <f>'Input - ENR'!M15</f>
        <v>87239.487760655684</v>
      </c>
      <c r="N79" s="207">
        <f>'Input - ENR'!N15</f>
        <v>85542.744828219744</v>
      </c>
      <c r="O79" s="208">
        <f>'Input - ENR'!O15</f>
        <v>86930.596306118183</v>
      </c>
      <c r="P79" s="207">
        <f>'Input - ENR'!P15</f>
        <v>86751.674017619443</v>
      </c>
      <c r="Q79" s="207">
        <f>'Input - ENR'!Q15</f>
        <v>86713.617819288891</v>
      </c>
      <c r="R79" s="207">
        <f>'Input - ENR'!R15</f>
        <v>86738.642831559628</v>
      </c>
      <c r="S79" s="207">
        <f>'Input - ENR'!S15</f>
        <v>86782.905976470633</v>
      </c>
      <c r="T79" s="207">
        <f>'Input - ENR'!T15</f>
        <v>87014.985556171625</v>
      </c>
      <c r="U79" s="207">
        <f>'Input - ENR'!U15</f>
        <v>87350.357154268277</v>
      </c>
      <c r="V79" s="207">
        <f>'Input - ENR'!V15</f>
        <v>87925.187995563843</v>
      </c>
      <c r="W79" s="207">
        <f>'Input - ENR'!W15</f>
        <v>89071.925731649171</v>
      </c>
      <c r="X79" s="207">
        <f>'Input - ENR'!X15</f>
        <v>87843.430497387701</v>
      </c>
      <c r="Y79" s="207">
        <f>'Input - ENR'!Y15</f>
        <v>90003.838492025345</v>
      </c>
      <c r="Z79" s="207">
        <f>'Input - ENR'!Z15</f>
        <v>89533.170908576241</v>
      </c>
      <c r="AA79" s="208">
        <f>'Input - ENR'!AA15</f>
        <v>92702.224404406297</v>
      </c>
      <c r="AB79" s="207">
        <f>'Input - ENR'!AB15</f>
        <v>93598.662624740944</v>
      </c>
      <c r="AC79" s="207">
        <f>'Input - ENR'!AC15</f>
        <v>96314.780279848681</v>
      </c>
      <c r="AD79" s="207">
        <f>'Input - ENR'!AD15</f>
        <v>98516.775287188881</v>
      </c>
      <c r="AE79" s="207">
        <f>'Input - ENR'!AE15</f>
        <v>101351.54531652611</v>
      </c>
      <c r="AF79" s="207">
        <f>'Input - ENR'!AF15</f>
        <v>105056.73446543215</v>
      </c>
      <c r="AG79" s="207">
        <f>'Input - ENR'!AG15</f>
        <v>108771.34877147095</v>
      </c>
      <c r="AH79" s="207">
        <f>'Input - ENR'!AH15</f>
        <v>114192.29430369302</v>
      </c>
      <c r="AI79" s="207">
        <f>'Input - ENR'!AI15</f>
        <v>120401.39954255585</v>
      </c>
      <c r="AJ79" s="207">
        <f>'Input - ENR'!AJ15</f>
        <v>124322.1871888747</v>
      </c>
      <c r="AK79" s="207">
        <f>'Input - ENR'!AK15</f>
        <v>131396.21453839427</v>
      </c>
      <c r="AL79" s="207">
        <f>'Input - ENR'!AL15</f>
        <v>135433.07813092545</v>
      </c>
      <c r="AM79" s="208">
        <f>'Input - ENR'!AM15</f>
        <v>143181.25825214997</v>
      </c>
      <c r="AN79" s="207" t="e">
        <f>'Input - ENR'!#REF!</f>
        <v>#REF!</v>
      </c>
      <c r="AO79" s="207" t="e">
        <f>'Input - ENR'!#REF!</f>
        <v>#REF!</v>
      </c>
      <c r="AP79" s="207" t="e">
        <f>'Input - ENR'!#REF!</f>
        <v>#REF!</v>
      </c>
      <c r="AQ79" s="207" t="e">
        <f>'Input - ENR'!#REF!</f>
        <v>#REF!</v>
      </c>
      <c r="AR79" s="207" t="e">
        <f>'Input - ENR'!#REF!</f>
        <v>#REF!</v>
      </c>
      <c r="AS79" s="207" t="e">
        <f>'Input - ENR'!#REF!</f>
        <v>#REF!</v>
      </c>
      <c r="AT79" s="207" t="e">
        <f>'Input - ENR'!#REF!</f>
        <v>#REF!</v>
      </c>
      <c r="AU79" s="207" t="e">
        <f>'Input - ENR'!#REF!</f>
        <v>#REF!</v>
      </c>
      <c r="AV79" s="207" t="e">
        <f>'Input - ENR'!#REF!</f>
        <v>#REF!</v>
      </c>
      <c r="AW79" s="207" t="e">
        <f>'Input - ENR'!#REF!</f>
        <v>#REF!</v>
      </c>
      <c r="AX79" s="208" t="e">
        <f>'Input - ENR'!#REF!</f>
        <v>#REF!</v>
      </c>
      <c r="AY79" s="207" t="e">
        <f>'Input - ENR'!#REF!</f>
        <v>#REF!</v>
      </c>
      <c r="AZ79" s="207" t="e">
        <f>'Input - ENR'!#REF!</f>
        <v>#REF!</v>
      </c>
      <c r="BA79" s="207" t="e">
        <f>'Input - ENR'!#REF!</f>
        <v>#REF!</v>
      </c>
      <c r="BB79" s="207" t="e">
        <f>'Input - ENR'!#REF!</f>
        <v>#REF!</v>
      </c>
      <c r="BC79" s="207" t="e">
        <f>'Input - ENR'!#REF!</f>
        <v>#REF!</v>
      </c>
      <c r="BD79" s="207" t="e">
        <f>'Input - ENR'!#REF!</f>
        <v>#REF!</v>
      </c>
      <c r="BE79" s="207" t="e">
        <f>'Input - ENR'!#REF!</f>
        <v>#REF!</v>
      </c>
      <c r="BF79" s="207" t="e">
        <f>'Input - ENR'!#REF!</f>
        <v>#REF!</v>
      </c>
      <c r="BG79" s="207" t="e">
        <f>'Input - ENR'!#REF!</f>
        <v>#REF!</v>
      </c>
      <c r="BH79" s="207" t="e">
        <f>'Input - ENR'!#REF!</f>
        <v>#REF!</v>
      </c>
      <c r="BI79" s="207" t="e">
        <f>'Input - ENR'!#REF!</f>
        <v>#REF!</v>
      </c>
      <c r="BJ79" s="208" t="e">
        <f>'Input - ENR'!#REF!</f>
        <v>#REF!</v>
      </c>
    </row>
    <row r="80" spans="1:62" x14ac:dyDescent="0.35">
      <c r="C80" s="271"/>
      <c r="D80" s="271"/>
      <c r="E80" s="271"/>
      <c r="F80" s="271"/>
      <c r="G80" s="271"/>
      <c r="H80" s="271"/>
      <c r="I80" s="271"/>
      <c r="J80" s="271"/>
      <c r="K80" s="271"/>
      <c r="L80" s="271"/>
      <c r="M80" s="271"/>
      <c r="N80" s="271"/>
      <c r="O80" s="271"/>
      <c r="P80" s="271"/>
      <c r="Q80" s="271"/>
      <c r="R80" s="271"/>
      <c r="S80" s="271"/>
      <c r="T80" s="271"/>
      <c r="U80" s="272"/>
      <c r="V80" s="271"/>
      <c r="W80" s="271"/>
      <c r="X80" s="271"/>
      <c r="Y80" s="271"/>
      <c r="Z80" s="271"/>
      <c r="AA80" s="271"/>
      <c r="AB80" s="271"/>
      <c r="AC80" s="271"/>
      <c r="AD80" s="271"/>
      <c r="AE80" s="271"/>
      <c r="AF80" s="271"/>
      <c r="AG80" s="271"/>
      <c r="AH80" s="271"/>
      <c r="AI80" s="271"/>
      <c r="AJ80" s="271"/>
      <c r="AK80" s="271"/>
      <c r="AL80" s="271"/>
      <c r="AM80" s="272"/>
    </row>
    <row r="81" spans="1:62" x14ac:dyDescent="0.35">
      <c r="B81" s="1" t="s">
        <v>141</v>
      </c>
      <c r="C81" s="110">
        <f>$C$3</f>
        <v>45352</v>
      </c>
      <c r="D81" s="111">
        <f>EDATE(C81,1)</f>
        <v>45383</v>
      </c>
      <c r="E81" s="111">
        <f t="shared" ref="E81" si="776">EDATE(D81,1)</f>
        <v>45413</v>
      </c>
      <c r="F81" s="111">
        <f t="shared" ref="F81" si="777">EDATE(E81,1)</f>
        <v>45444</v>
      </c>
      <c r="G81" s="111">
        <f t="shared" ref="G81" si="778">EDATE(F81,1)</f>
        <v>45474</v>
      </c>
      <c r="H81" s="111">
        <f t="shared" ref="H81" si="779">EDATE(G81,1)</f>
        <v>45505</v>
      </c>
      <c r="I81" s="111">
        <f t="shared" ref="I81" si="780">EDATE(H81,1)</f>
        <v>45536</v>
      </c>
      <c r="J81" s="111">
        <f t="shared" ref="J81" si="781">EDATE(I81,1)</f>
        <v>45566</v>
      </c>
      <c r="K81" s="111">
        <f t="shared" ref="K81" si="782">EDATE(J81,1)</f>
        <v>45597</v>
      </c>
      <c r="L81" s="111">
        <f t="shared" ref="L81" si="783">EDATE(K81,1)</f>
        <v>45627</v>
      </c>
      <c r="M81" s="111">
        <f t="shared" ref="M81" si="784">EDATE(L81,1)</f>
        <v>45658</v>
      </c>
      <c r="N81" s="111">
        <f t="shared" ref="N81" si="785">EDATE(M81,1)</f>
        <v>45689</v>
      </c>
      <c r="O81" s="112">
        <f t="shared" ref="O81" si="786">EDATE(N81,1)</f>
        <v>45717</v>
      </c>
      <c r="P81" s="111">
        <f t="shared" ref="P81" si="787">EDATE(O81,1)</f>
        <v>45748</v>
      </c>
      <c r="Q81" s="111">
        <f t="shared" ref="Q81" si="788">EDATE(P81,1)</f>
        <v>45778</v>
      </c>
      <c r="R81" s="111">
        <f t="shared" ref="R81" si="789">EDATE(Q81,1)</f>
        <v>45809</v>
      </c>
      <c r="S81" s="111">
        <f t="shared" ref="S81" si="790">EDATE(R81,1)</f>
        <v>45839</v>
      </c>
      <c r="T81" s="111">
        <f t="shared" ref="T81" si="791">EDATE(S81,1)</f>
        <v>45870</v>
      </c>
      <c r="U81" s="111">
        <f t="shared" ref="U81" si="792">EDATE(T81,1)</f>
        <v>45901</v>
      </c>
      <c r="V81" s="111">
        <f t="shared" ref="V81" si="793">EDATE(U81,1)</f>
        <v>45931</v>
      </c>
      <c r="W81" s="111">
        <f t="shared" ref="W81" si="794">EDATE(V81,1)</f>
        <v>45962</v>
      </c>
      <c r="X81" s="111">
        <f t="shared" ref="X81" si="795">EDATE(W81,1)</f>
        <v>45992</v>
      </c>
      <c r="Y81" s="111">
        <f t="shared" ref="Y81" si="796">EDATE(X81,1)</f>
        <v>46023</v>
      </c>
      <c r="Z81" s="111">
        <f t="shared" ref="Z81" si="797">EDATE(Y81,1)</f>
        <v>46054</v>
      </c>
      <c r="AA81" s="112">
        <f t="shared" ref="AA81" si="798">EDATE(Z81,1)</f>
        <v>46082</v>
      </c>
      <c r="AB81" s="111">
        <f t="shared" ref="AB81" si="799">EDATE(AA81,1)</f>
        <v>46113</v>
      </c>
      <c r="AC81" s="111">
        <f t="shared" ref="AC81" si="800">EDATE(AB81,1)</f>
        <v>46143</v>
      </c>
      <c r="AD81" s="111">
        <f t="shared" ref="AD81" si="801">EDATE(AC81,1)</f>
        <v>46174</v>
      </c>
      <c r="AE81" s="111">
        <f t="shared" ref="AE81" si="802">EDATE(AD81,1)</f>
        <v>46204</v>
      </c>
      <c r="AF81" s="111">
        <f t="shared" ref="AF81" si="803">EDATE(AE81,1)</f>
        <v>46235</v>
      </c>
      <c r="AG81" s="111">
        <f t="shared" ref="AG81" si="804">EDATE(AF81,1)</f>
        <v>46266</v>
      </c>
      <c r="AH81" s="111">
        <f t="shared" ref="AH81" si="805">EDATE(AG81,1)</f>
        <v>46296</v>
      </c>
      <c r="AI81" s="111">
        <f t="shared" ref="AI81" si="806">EDATE(AH81,1)</f>
        <v>46327</v>
      </c>
      <c r="AJ81" s="111">
        <f t="shared" ref="AJ81" si="807">EDATE(AI81,1)</f>
        <v>46357</v>
      </c>
      <c r="AK81" s="111">
        <f t="shared" ref="AK81" si="808">EDATE(AJ81,1)</f>
        <v>46388</v>
      </c>
      <c r="AL81" s="111">
        <f t="shared" ref="AL81" si="809">EDATE(AK81,1)</f>
        <v>46419</v>
      </c>
      <c r="AM81" s="112">
        <f t="shared" ref="AM81" si="810">EDATE(AL81,1)</f>
        <v>46447</v>
      </c>
      <c r="AN81" s="111">
        <f t="shared" ref="AN81" si="811">EDATE(AM81,1)</f>
        <v>46478</v>
      </c>
      <c r="AO81" s="111">
        <f t="shared" ref="AO81" si="812">EDATE(AN81,1)</f>
        <v>46508</v>
      </c>
      <c r="AP81" s="111">
        <f t="shared" ref="AP81" si="813">EDATE(AO81,1)</f>
        <v>46539</v>
      </c>
      <c r="AQ81" s="111">
        <f t="shared" ref="AQ81" si="814">EDATE(AP81,1)</f>
        <v>46569</v>
      </c>
      <c r="AR81" s="111">
        <f t="shared" ref="AR81" si="815">EDATE(AQ81,1)</f>
        <v>46600</v>
      </c>
      <c r="AS81" s="111">
        <f t="shared" ref="AS81" si="816">EDATE(AR81,1)</f>
        <v>46631</v>
      </c>
      <c r="AT81" s="111">
        <f t="shared" ref="AT81" si="817">EDATE(AS81,1)</f>
        <v>46661</v>
      </c>
      <c r="AU81" s="111">
        <f t="shared" ref="AU81" si="818">EDATE(AT81,1)</f>
        <v>46692</v>
      </c>
      <c r="AV81" s="111">
        <f t="shared" ref="AV81" si="819">EDATE(AU81,1)</f>
        <v>46722</v>
      </c>
      <c r="AW81" s="111">
        <f t="shared" ref="AW81" si="820">EDATE(AV81,1)</f>
        <v>46753</v>
      </c>
      <c r="AX81" s="112">
        <f t="shared" ref="AX81" si="821">EDATE(AW81,1)</f>
        <v>46784</v>
      </c>
      <c r="AY81" s="111">
        <f t="shared" ref="AY81" si="822">EDATE(AX81,1)</f>
        <v>46813</v>
      </c>
      <c r="AZ81" s="111">
        <f t="shared" ref="AZ81" si="823">EDATE(AY81,1)</f>
        <v>46844</v>
      </c>
      <c r="BA81" s="111">
        <f t="shared" ref="BA81" si="824">EDATE(AZ81,1)</f>
        <v>46874</v>
      </c>
      <c r="BB81" s="111">
        <f t="shared" ref="BB81" si="825">EDATE(BA81,1)</f>
        <v>46905</v>
      </c>
      <c r="BC81" s="111">
        <f t="shared" ref="BC81" si="826">EDATE(BB81,1)</f>
        <v>46935</v>
      </c>
      <c r="BD81" s="111">
        <f t="shared" ref="BD81" si="827">EDATE(BC81,1)</f>
        <v>46966</v>
      </c>
      <c r="BE81" s="111">
        <f t="shared" ref="BE81" si="828">EDATE(BD81,1)</f>
        <v>46997</v>
      </c>
      <c r="BF81" s="111">
        <f t="shared" ref="BF81" si="829">EDATE(BE81,1)</f>
        <v>47027</v>
      </c>
      <c r="BG81" s="111">
        <f t="shared" ref="BG81" si="830">EDATE(BF81,1)</f>
        <v>47058</v>
      </c>
      <c r="BH81" s="111">
        <f t="shared" ref="BH81" si="831">EDATE(BG81,1)</f>
        <v>47088</v>
      </c>
      <c r="BI81" s="111">
        <f t="shared" ref="BI81" si="832">EDATE(BH81,1)</f>
        <v>47119</v>
      </c>
      <c r="BJ81" s="112">
        <f>EDATE(BI81,1)</f>
        <v>47150</v>
      </c>
    </row>
    <row r="82" spans="1:62" x14ac:dyDescent="0.35">
      <c r="B82" s="1" t="s">
        <v>51</v>
      </c>
      <c r="C82" s="181">
        <v>7.088694210929075E-3</v>
      </c>
      <c r="D82" s="182">
        <v>7.1548145821339277E-3</v>
      </c>
      <c r="E82" s="182">
        <v>7.1818981132889086E-3</v>
      </c>
      <c r="F82" s="182">
        <v>7.2323976640912826E-3</v>
      </c>
      <c r="G82" s="182">
        <v>7.1891953284982197E-3</v>
      </c>
      <c r="H82" s="182">
        <v>7.1445768626792845E-3</v>
      </c>
      <c r="I82" s="182">
        <v>7.1431786264146459E-3</v>
      </c>
      <c r="J82" s="182">
        <v>7.0543482322213413E-3</v>
      </c>
      <c r="K82" s="182">
        <v>6.9762600342806015E-3</v>
      </c>
      <c r="L82" s="182">
        <v>6.9621303032479107E-3</v>
      </c>
      <c r="M82" s="182">
        <v>6.8905104116463566E-3</v>
      </c>
      <c r="N82" s="182">
        <v>6.8846231479278222E-3</v>
      </c>
      <c r="O82" s="183">
        <v>6.5875255387439387E-3</v>
      </c>
      <c r="P82" s="182">
        <v>6.6178465454279634E-3</v>
      </c>
      <c r="Q82" s="182">
        <v>6.6301993965802008E-3</v>
      </c>
      <c r="R82" s="182">
        <v>6.6611307115556125E-3</v>
      </c>
      <c r="S82" s="182">
        <v>6.6327361055068274E-3</v>
      </c>
      <c r="T82" s="182">
        <v>6.6058194072275613E-3</v>
      </c>
      <c r="U82" s="182">
        <v>6.6080449941833238E-3</v>
      </c>
      <c r="V82" s="182">
        <v>6.5476255608654292E-3</v>
      </c>
      <c r="W82" s="182">
        <v>6.4954588839312337E-3</v>
      </c>
      <c r="X82" s="182">
        <v>6.4803094733341072E-3</v>
      </c>
      <c r="Y82" s="182">
        <v>6.4363613910187172E-3</v>
      </c>
      <c r="Z82" s="182">
        <v>6.4298453371460645E-3</v>
      </c>
      <c r="AA82" s="183">
        <v>6.3194699301300297E-3</v>
      </c>
      <c r="AB82" s="182">
        <v>6.3520919926858847E-3</v>
      </c>
      <c r="AC82" s="182">
        <v>6.3582197303554714E-3</v>
      </c>
      <c r="AD82" s="182">
        <v>6.3909535383442411E-3</v>
      </c>
      <c r="AE82" s="182">
        <v>6.374386830078879E-3</v>
      </c>
      <c r="AF82" s="182">
        <v>6.3592419484478765E-3</v>
      </c>
      <c r="AG82" s="182">
        <v>6.3659367895226504E-3</v>
      </c>
      <c r="AH82" s="182">
        <v>6.3160379015195422E-3</v>
      </c>
      <c r="AI82" s="182">
        <v>6.2750448432011934E-3</v>
      </c>
      <c r="AJ82" s="182">
        <v>6.260565064621003E-3</v>
      </c>
      <c r="AK82" s="182">
        <v>6.2295451415860332E-3</v>
      </c>
      <c r="AL82" s="182">
        <v>6.2241659709694969E-3</v>
      </c>
      <c r="AM82" s="183">
        <v>6.2056386302323224E-3</v>
      </c>
      <c r="AN82" s="182">
        <v>3.1366550930343455E-2</v>
      </c>
      <c r="AO82" s="182">
        <v>3.1366550930343455E-2</v>
      </c>
      <c r="AP82" s="182">
        <v>3.1366550930343455E-2</v>
      </c>
      <c r="AQ82" s="182">
        <v>3.1366550930343455E-2</v>
      </c>
      <c r="AR82" s="182">
        <v>3.1366550930343455E-2</v>
      </c>
      <c r="AS82" s="182">
        <v>3.1366550930343455E-2</v>
      </c>
      <c r="AT82" s="182">
        <v>3.1366550930343455E-2</v>
      </c>
      <c r="AU82" s="182">
        <v>3.1366550930343455E-2</v>
      </c>
      <c r="AV82" s="182">
        <v>3.1366550930343455E-2</v>
      </c>
      <c r="AW82" s="182">
        <v>3.1366550930343455E-2</v>
      </c>
      <c r="AX82" s="183">
        <v>3.1366550930343455E-2</v>
      </c>
      <c r="AY82" s="182">
        <v>3.1366550930343455E-2</v>
      </c>
      <c r="AZ82" s="182">
        <v>3.1366550930343455E-2</v>
      </c>
      <c r="BA82" s="182">
        <v>3.1366550930343455E-2</v>
      </c>
      <c r="BB82" s="182">
        <v>3.1366550930343455E-2</v>
      </c>
      <c r="BC82" s="182">
        <v>3.1366550930343455E-2</v>
      </c>
      <c r="BD82" s="182">
        <v>3.1366550930343455E-2</v>
      </c>
      <c r="BE82" s="182">
        <v>3.1366550930343455E-2</v>
      </c>
      <c r="BF82" s="182">
        <v>3.1366550930343455E-2</v>
      </c>
      <c r="BG82" s="182">
        <v>3.1366550930343455E-2</v>
      </c>
      <c r="BH82" s="182">
        <v>3.1366550930343455E-2</v>
      </c>
      <c r="BI82" s="182">
        <v>3.1366550930343455E-2</v>
      </c>
      <c r="BJ82" s="183">
        <v>3.1366550930343455E-2</v>
      </c>
    </row>
    <row r="83" spans="1:62" x14ac:dyDescent="0.35">
      <c r="B83" s="2" t="s">
        <v>52</v>
      </c>
      <c r="C83" s="184">
        <v>0.17412079062057179</v>
      </c>
      <c r="D83" s="185">
        <v>0.17383007675455581</v>
      </c>
      <c r="E83" s="185">
        <v>0.17326751141649427</v>
      </c>
      <c r="F83" s="185">
        <v>0.17255143865797712</v>
      </c>
      <c r="G83" s="185">
        <v>0.17188566770262351</v>
      </c>
      <c r="H83" s="185">
        <v>0.17121702179756992</v>
      </c>
      <c r="I83" s="185">
        <v>0.17058305591810374</v>
      </c>
      <c r="J83" s="185">
        <v>0.17010906611914692</v>
      </c>
      <c r="K83" s="185">
        <v>0.16967476209250965</v>
      </c>
      <c r="L83" s="185">
        <v>0.1692548679931265</v>
      </c>
      <c r="M83" s="185">
        <v>0.16894109366621335</v>
      </c>
      <c r="N83" s="185">
        <v>0.16856887336051826</v>
      </c>
      <c r="O83" s="186">
        <v>0.162340396235884</v>
      </c>
      <c r="P83" s="185">
        <v>0.16159300498916529</v>
      </c>
      <c r="Q83" s="185">
        <v>0.16095514595306307</v>
      </c>
      <c r="R83" s="185">
        <v>0.16037634174782989</v>
      </c>
      <c r="S83" s="185">
        <v>0.15994133178715059</v>
      </c>
      <c r="T83" s="185">
        <v>0.15957608901262713</v>
      </c>
      <c r="U83" s="185">
        <v>0.15923770646743457</v>
      </c>
      <c r="V83" s="185">
        <v>0.15902042555758941</v>
      </c>
      <c r="W83" s="185">
        <v>0.15885740779559054</v>
      </c>
      <c r="X83" s="185">
        <v>0.15867634424671448</v>
      </c>
      <c r="Y83" s="185">
        <v>0.15855321272078768</v>
      </c>
      <c r="Z83" s="185">
        <v>0.15836797520246765</v>
      </c>
      <c r="AA83" s="186">
        <v>0.15820126771240467</v>
      </c>
      <c r="AB83" s="185">
        <v>0.15788335366605333</v>
      </c>
      <c r="AC83" s="185">
        <v>0.15745538451923041</v>
      </c>
      <c r="AD83" s="185">
        <v>0.15709129219867377</v>
      </c>
      <c r="AE83" s="185">
        <v>0.15691621729395733</v>
      </c>
      <c r="AF83" s="185">
        <v>0.15676458938386428</v>
      </c>
      <c r="AG83" s="185">
        <v>0.1566191347994513</v>
      </c>
      <c r="AH83" s="185">
        <v>0.15657590652127987</v>
      </c>
      <c r="AI83" s="185">
        <v>0.15652299542415704</v>
      </c>
      <c r="AJ83" s="185">
        <v>0.1564828862517906</v>
      </c>
      <c r="AK83" s="185">
        <v>0.15648839011326346</v>
      </c>
      <c r="AL83" s="185">
        <v>0.1564265565202668</v>
      </c>
      <c r="AM83" s="186">
        <v>0.15629944619664596</v>
      </c>
      <c r="AN83" s="185">
        <v>0.41828286788706864</v>
      </c>
      <c r="AO83" s="185">
        <v>0.41828286788706864</v>
      </c>
      <c r="AP83" s="185">
        <v>0.41828286788706864</v>
      </c>
      <c r="AQ83" s="185">
        <v>0.41828286788706864</v>
      </c>
      <c r="AR83" s="185">
        <v>0.41828286788706864</v>
      </c>
      <c r="AS83" s="185">
        <v>0.41828286788706864</v>
      </c>
      <c r="AT83" s="185">
        <v>0.41828286788706864</v>
      </c>
      <c r="AU83" s="185">
        <v>0.41828286788706864</v>
      </c>
      <c r="AV83" s="185">
        <v>0.41828286788706864</v>
      </c>
      <c r="AW83" s="185">
        <v>0.41828286788706864</v>
      </c>
      <c r="AX83" s="186">
        <v>0.41828286788706864</v>
      </c>
      <c r="AY83" s="185">
        <v>0.41828286788706864</v>
      </c>
      <c r="AZ83" s="185">
        <v>0.41828286788706864</v>
      </c>
      <c r="BA83" s="185">
        <v>0.41828286788706864</v>
      </c>
      <c r="BB83" s="185">
        <v>0.41828286788706864</v>
      </c>
      <c r="BC83" s="185">
        <v>0.41828286788706864</v>
      </c>
      <c r="BD83" s="185">
        <v>0.41828286788706864</v>
      </c>
      <c r="BE83" s="185">
        <v>0.41828286788706864</v>
      </c>
      <c r="BF83" s="185">
        <v>0.41828286788706864</v>
      </c>
      <c r="BG83" s="185">
        <v>0.41828286788706864</v>
      </c>
      <c r="BH83" s="185">
        <v>0.41828286788706864</v>
      </c>
      <c r="BI83" s="185">
        <v>0.41828286788706864</v>
      </c>
      <c r="BJ83" s="186">
        <v>0.41828286788706864</v>
      </c>
    </row>
    <row r="84" spans="1:62" x14ac:dyDescent="0.35">
      <c r="B84" s="3" t="s">
        <v>53</v>
      </c>
      <c r="C84" s="187">
        <v>0.39240352998671496</v>
      </c>
      <c r="D84" s="188">
        <v>0.39220434710929131</v>
      </c>
      <c r="E84" s="188">
        <v>0.39216673027758475</v>
      </c>
      <c r="F84" s="188">
        <v>0.3920722719082646</v>
      </c>
      <c r="G84" s="188">
        <v>0.39200546748714493</v>
      </c>
      <c r="H84" s="188">
        <v>0.39205673799945823</v>
      </c>
      <c r="I84" s="188">
        <v>0.39227094372183136</v>
      </c>
      <c r="J84" s="188">
        <v>0.39214425384329016</v>
      </c>
      <c r="K84" s="188">
        <v>0.39225535705331227</v>
      </c>
      <c r="L84" s="188">
        <v>0.39294613937783679</v>
      </c>
      <c r="M84" s="188">
        <v>0.39364430167314618</v>
      </c>
      <c r="N84" s="188">
        <v>0.39376447068457443</v>
      </c>
      <c r="O84" s="189">
        <v>0.39385435511385197</v>
      </c>
      <c r="P84" s="188">
        <v>0.39394202411849349</v>
      </c>
      <c r="Q84" s="188">
        <v>0.39401454069458625</v>
      </c>
      <c r="R84" s="188">
        <v>0.39430582331350356</v>
      </c>
      <c r="S84" s="188">
        <v>0.39331021629023055</v>
      </c>
      <c r="T84" s="188">
        <v>0.39340698611249153</v>
      </c>
      <c r="U84" s="188">
        <v>0.39361623943275365</v>
      </c>
      <c r="V84" s="188">
        <v>0.39367630778164614</v>
      </c>
      <c r="W84" s="188">
        <v>0.39361563800817428</v>
      </c>
      <c r="X84" s="188">
        <v>0.39374311118372096</v>
      </c>
      <c r="Y84" s="188">
        <v>0.39381414783806662</v>
      </c>
      <c r="Z84" s="188">
        <v>0.39396369519605207</v>
      </c>
      <c r="AA84" s="189">
        <v>0.39400347481903802</v>
      </c>
      <c r="AB84" s="188">
        <v>0.3934807653442452</v>
      </c>
      <c r="AC84" s="188">
        <v>0.39360573284572942</v>
      </c>
      <c r="AD84" s="188">
        <v>0.39378032198061502</v>
      </c>
      <c r="AE84" s="188">
        <v>0.39369917050264491</v>
      </c>
      <c r="AF84" s="188">
        <v>0.39354812147916379</v>
      </c>
      <c r="AG84" s="188">
        <v>0.39350722948671757</v>
      </c>
      <c r="AH84" s="188">
        <v>0.39347843062254811</v>
      </c>
      <c r="AI84" s="188">
        <v>0.3935594764152674</v>
      </c>
      <c r="AJ84" s="188">
        <v>0.39356899346089519</v>
      </c>
      <c r="AK84" s="188">
        <v>0.39355187727489471</v>
      </c>
      <c r="AL84" s="188">
        <v>0.39355078560484141</v>
      </c>
      <c r="AM84" s="189">
        <v>0.39349911620039218</v>
      </c>
      <c r="AN84" s="188">
        <v>0.73826884841741014</v>
      </c>
      <c r="AO84" s="188">
        <v>0.73826884841741014</v>
      </c>
      <c r="AP84" s="188">
        <v>0.73826884841741014</v>
      </c>
      <c r="AQ84" s="188">
        <v>0.73826884841741014</v>
      </c>
      <c r="AR84" s="188">
        <v>0.73826884841741014</v>
      </c>
      <c r="AS84" s="188">
        <v>0.73826884841741014</v>
      </c>
      <c r="AT84" s="188">
        <v>0.73826884841741014</v>
      </c>
      <c r="AU84" s="188">
        <v>0.73826884841741014</v>
      </c>
      <c r="AV84" s="188">
        <v>0.73826884841741014</v>
      </c>
      <c r="AW84" s="188">
        <v>0.73826884841741014</v>
      </c>
      <c r="AX84" s="189">
        <v>0.73826884841741014</v>
      </c>
      <c r="AY84" s="188">
        <v>0.73826884841741014</v>
      </c>
      <c r="AZ84" s="188">
        <v>0.73826884841741014</v>
      </c>
      <c r="BA84" s="188">
        <v>0.73826884841741014</v>
      </c>
      <c r="BB84" s="188">
        <v>0.73826884841741014</v>
      </c>
      <c r="BC84" s="188">
        <v>0.73826884841741014</v>
      </c>
      <c r="BD84" s="188">
        <v>0.73826884841741014</v>
      </c>
      <c r="BE84" s="188">
        <v>0.73826884841741014</v>
      </c>
      <c r="BF84" s="188">
        <v>0.73826884841741014</v>
      </c>
      <c r="BG84" s="188">
        <v>0.73826884841741014</v>
      </c>
      <c r="BH84" s="188">
        <v>0.73826884841741014</v>
      </c>
      <c r="BI84" s="188">
        <v>0.73826884841741014</v>
      </c>
      <c r="BJ84" s="189">
        <v>0.73826884841741014</v>
      </c>
    </row>
    <row r="85" spans="1:62" x14ac:dyDescent="0.35">
      <c r="F85" s="155"/>
      <c r="G85" s="155"/>
      <c r="H85" s="155"/>
      <c r="I85" s="155"/>
      <c r="J85" s="155"/>
      <c r="K85" s="155"/>
      <c r="L85" s="155"/>
      <c r="M85" s="155"/>
      <c r="N85" s="155"/>
      <c r="O85" s="155"/>
      <c r="P85" s="155"/>
      <c r="Q85" s="155"/>
      <c r="R85" s="155"/>
      <c r="S85" s="155"/>
      <c r="T85" s="155"/>
      <c r="U85" s="155"/>
      <c r="V85" s="155"/>
      <c r="W85" s="155"/>
    </row>
    <row r="86" spans="1:62" x14ac:dyDescent="0.35">
      <c r="B86" s="1" t="s">
        <v>142</v>
      </c>
      <c r="C86" s="110">
        <f>$C$3</f>
        <v>45352</v>
      </c>
      <c r="D86" s="111">
        <f>EDATE(C86,1)</f>
        <v>45383</v>
      </c>
      <c r="E86" s="111">
        <f t="shared" ref="E86" si="833">EDATE(D86,1)</f>
        <v>45413</v>
      </c>
      <c r="F86" s="111">
        <f t="shared" ref="F86" si="834">EDATE(E86,1)</f>
        <v>45444</v>
      </c>
      <c r="G86" s="111">
        <f t="shared" ref="G86" si="835">EDATE(F86,1)</f>
        <v>45474</v>
      </c>
      <c r="H86" s="111">
        <f t="shared" ref="H86" si="836">EDATE(G86,1)</f>
        <v>45505</v>
      </c>
      <c r="I86" s="111">
        <f t="shared" ref="I86" si="837">EDATE(H86,1)</f>
        <v>45536</v>
      </c>
      <c r="J86" s="111">
        <f t="shared" ref="J86" si="838">EDATE(I86,1)</f>
        <v>45566</v>
      </c>
      <c r="K86" s="111">
        <f t="shared" ref="K86" si="839">EDATE(J86,1)</f>
        <v>45597</v>
      </c>
      <c r="L86" s="111">
        <f t="shared" ref="L86" si="840">EDATE(K86,1)</f>
        <v>45627</v>
      </c>
      <c r="M86" s="111">
        <f t="shared" ref="M86" si="841">EDATE(L86,1)</f>
        <v>45658</v>
      </c>
      <c r="N86" s="111">
        <f t="shared" ref="N86" si="842">EDATE(M86,1)</f>
        <v>45689</v>
      </c>
      <c r="O86" s="112">
        <f t="shared" ref="O86" si="843">EDATE(N86,1)</f>
        <v>45717</v>
      </c>
      <c r="P86" s="111">
        <f t="shared" ref="P86" si="844">EDATE(O86,1)</f>
        <v>45748</v>
      </c>
      <c r="Q86" s="111">
        <f t="shared" ref="Q86" si="845">EDATE(P86,1)</f>
        <v>45778</v>
      </c>
      <c r="R86" s="111">
        <f t="shared" ref="R86" si="846">EDATE(Q86,1)</f>
        <v>45809</v>
      </c>
      <c r="S86" s="111">
        <f t="shared" ref="S86" si="847">EDATE(R86,1)</f>
        <v>45839</v>
      </c>
      <c r="T86" s="111">
        <f t="shared" ref="T86" si="848">EDATE(S86,1)</f>
        <v>45870</v>
      </c>
      <c r="U86" s="111">
        <f t="shared" ref="U86" si="849">EDATE(T86,1)</f>
        <v>45901</v>
      </c>
      <c r="V86" s="111">
        <f t="shared" ref="V86" si="850">EDATE(U86,1)</f>
        <v>45931</v>
      </c>
      <c r="W86" s="111">
        <f t="shared" ref="W86" si="851">EDATE(V86,1)</f>
        <v>45962</v>
      </c>
      <c r="X86" s="111">
        <f t="shared" ref="X86" si="852">EDATE(W86,1)</f>
        <v>45992</v>
      </c>
      <c r="Y86" s="111">
        <f t="shared" ref="Y86" si="853">EDATE(X86,1)</f>
        <v>46023</v>
      </c>
      <c r="Z86" s="111">
        <f t="shared" ref="Z86" si="854">EDATE(Y86,1)</f>
        <v>46054</v>
      </c>
      <c r="AA86" s="112">
        <f t="shared" ref="AA86" si="855">EDATE(Z86,1)</f>
        <v>46082</v>
      </c>
      <c r="AB86" s="111">
        <f t="shared" ref="AB86" si="856">EDATE(AA86,1)</f>
        <v>46113</v>
      </c>
      <c r="AC86" s="111">
        <f t="shared" ref="AC86" si="857">EDATE(AB86,1)</f>
        <v>46143</v>
      </c>
      <c r="AD86" s="111">
        <f t="shared" ref="AD86" si="858">EDATE(AC86,1)</f>
        <v>46174</v>
      </c>
      <c r="AE86" s="111">
        <f t="shared" ref="AE86" si="859">EDATE(AD86,1)</f>
        <v>46204</v>
      </c>
      <c r="AF86" s="111">
        <f t="shared" ref="AF86" si="860">EDATE(AE86,1)</f>
        <v>46235</v>
      </c>
      <c r="AG86" s="111">
        <f t="shared" ref="AG86" si="861">EDATE(AF86,1)</f>
        <v>46266</v>
      </c>
      <c r="AH86" s="111">
        <f t="shared" ref="AH86" si="862">EDATE(AG86,1)</f>
        <v>46296</v>
      </c>
      <c r="AI86" s="111">
        <f t="shared" ref="AI86" si="863">EDATE(AH86,1)</f>
        <v>46327</v>
      </c>
      <c r="AJ86" s="111">
        <f t="shared" ref="AJ86" si="864">EDATE(AI86,1)</f>
        <v>46357</v>
      </c>
      <c r="AK86" s="111">
        <f t="shared" ref="AK86" si="865">EDATE(AJ86,1)</f>
        <v>46388</v>
      </c>
      <c r="AL86" s="111">
        <f t="shared" ref="AL86" si="866">EDATE(AK86,1)</f>
        <v>46419</v>
      </c>
      <c r="AM86" s="112">
        <f t="shared" ref="AM86" si="867">EDATE(AL86,1)</f>
        <v>46447</v>
      </c>
      <c r="AN86" s="111">
        <f t="shared" ref="AN86" si="868">EDATE(AM86,1)</f>
        <v>46478</v>
      </c>
      <c r="AO86" s="111">
        <f t="shared" ref="AO86" si="869">EDATE(AN86,1)</f>
        <v>46508</v>
      </c>
      <c r="AP86" s="111">
        <f t="shared" ref="AP86" si="870">EDATE(AO86,1)</f>
        <v>46539</v>
      </c>
      <c r="AQ86" s="111">
        <f t="shared" ref="AQ86" si="871">EDATE(AP86,1)</f>
        <v>46569</v>
      </c>
      <c r="AR86" s="111">
        <f t="shared" ref="AR86" si="872">EDATE(AQ86,1)</f>
        <v>46600</v>
      </c>
      <c r="AS86" s="111">
        <f t="shared" ref="AS86" si="873">EDATE(AR86,1)</f>
        <v>46631</v>
      </c>
      <c r="AT86" s="111">
        <f t="shared" ref="AT86" si="874">EDATE(AS86,1)</f>
        <v>46661</v>
      </c>
      <c r="AU86" s="111">
        <f t="shared" ref="AU86" si="875">EDATE(AT86,1)</f>
        <v>46692</v>
      </c>
      <c r="AV86" s="111">
        <f t="shared" ref="AV86" si="876">EDATE(AU86,1)</f>
        <v>46722</v>
      </c>
      <c r="AW86" s="111">
        <f t="shared" ref="AW86" si="877">EDATE(AV86,1)</f>
        <v>46753</v>
      </c>
      <c r="AX86" s="112">
        <f t="shared" ref="AX86" si="878">EDATE(AW86,1)</f>
        <v>46784</v>
      </c>
      <c r="AY86" s="111">
        <f t="shared" ref="AY86" si="879">EDATE(AX86,1)</f>
        <v>46813</v>
      </c>
      <c r="AZ86" s="111">
        <f t="shared" ref="AZ86" si="880">EDATE(AY86,1)</f>
        <v>46844</v>
      </c>
      <c r="BA86" s="111">
        <f t="shared" ref="BA86" si="881">EDATE(AZ86,1)</f>
        <v>46874</v>
      </c>
      <c r="BB86" s="111">
        <f t="shared" ref="BB86" si="882">EDATE(BA86,1)</f>
        <v>46905</v>
      </c>
      <c r="BC86" s="111">
        <f t="shared" ref="BC86" si="883">EDATE(BB86,1)</f>
        <v>46935</v>
      </c>
      <c r="BD86" s="111">
        <f t="shared" ref="BD86" si="884">EDATE(BC86,1)</f>
        <v>46966</v>
      </c>
      <c r="BE86" s="111">
        <f t="shared" ref="BE86" si="885">EDATE(BD86,1)</f>
        <v>46997</v>
      </c>
      <c r="BF86" s="111">
        <f t="shared" ref="BF86" si="886">EDATE(BE86,1)</f>
        <v>47027</v>
      </c>
      <c r="BG86" s="111">
        <f t="shared" ref="BG86" si="887">EDATE(BF86,1)</f>
        <v>47058</v>
      </c>
      <c r="BH86" s="111">
        <f t="shared" ref="BH86" si="888">EDATE(BG86,1)</f>
        <v>47088</v>
      </c>
      <c r="BI86" s="111">
        <f t="shared" ref="BI86" si="889">EDATE(BH86,1)</f>
        <v>47119</v>
      </c>
      <c r="BJ86" s="112">
        <f>EDATE(BI86,1)</f>
        <v>47150</v>
      </c>
    </row>
    <row r="87" spans="1:62" x14ac:dyDescent="0.35">
      <c r="A87" s="168"/>
      <c r="B87" s="1" t="s">
        <v>51</v>
      </c>
      <c r="C87" s="190">
        <f>C92/C76</f>
        <v>7.0886942109290758E-3</v>
      </c>
      <c r="D87" s="191">
        <f t="shared" ref="D87:AM87" si="890">D92/D76</f>
        <v>7.2354562050739009E-3</v>
      </c>
      <c r="E87" s="191">
        <f t="shared" si="890"/>
        <v>7.3288723376087866E-3</v>
      </c>
      <c r="F87" s="199">
        <f t="shared" si="890"/>
        <v>7.4635299347707391E-3</v>
      </c>
      <c r="G87" s="191">
        <f t="shared" si="890"/>
        <v>7.5543419503436831E-3</v>
      </c>
      <c r="H87" s="191">
        <f t="shared" si="890"/>
        <v>7.5885146052016338E-3</v>
      </c>
      <c r="I87" s="191">
        <f t="shared" si="890"/>
        <v>7.6762479302450995E-3</v>
      </c>
      <c r="J87" s="191">
        <f t="shared" si="890"/>
        <v>7.7095198139078384E-3</v>
      </c>
      <c r="K87" s="191">
        <f t="shared" si="890"/>
        <v>7.7546735878384673E-3</v>
      </c>
      <c r="L87" s="191">
        <f t="shared" si="890"/>
        <v>7.8792705621832711E-3</v>
      </c>
      <c r="M87" s="191">
        <f t="shared" si="890"/>
        <v>7.9285335901444799E-3</v>
      </c>
      <c r="N87" s="191">
        <f t="shared" si="890"/>
        <v>8.0604645725508659E-3</v>
      </c>
      <c r="O87" s="192">
        <f t="shared" si="890"/>
        <v>7.8170811805025626E-3</v>
      </c>
      <c r="P87" s="191">
        <f t="shared" si="890"/>
        <v>8.0870339970220088E-3</v>
      </c>
      <c r="Q87" s="191">
        <f t="shared" si="890"/>
        <v>8.336039270657021E-3</v>
      </c>
      <c r="R87" s="191">
        <f t="shared" si="890"/>
        <v>8.6168229374180942E-3</v>
      </c>
      <c r="S87" s="191">
        <f t="shared" si="890"/>
        <v>8.8080802809686921E-3</v>
      </c>
      <c r="T87" s="191">
        <f t="shared" si="890"/>
        <v>8.9988736995189438E-3</v>
      </c>
      <c r="U87" s="191">
        <f t="shared" si="890"/>
        <v>9.2397834023388685E-3</v>
      </c>
      <c r="V87" s="191">
        <f t="shared" si="890"/>
        <v>8.9639084313855692E-3</v>
      </c>
      <c r="W87" s="191">
        <f t="shared" si="890"/>
        <v>8.7069864834174015E-3</v>
      </c>
      <c r="X87" s="191">
        <f t="shared" si="890"/>
        <v>8.5196572900438014E-3</v>
      </c>
      <c r="Y87" s="191">
        <f t="shared" si="890"/>
        <v>8.2796402982950081E-3</v>
      </c>
      <c r="Z87" s="191">
        <f t="shared" si="890"/>
        <v>8.1052866496821203E-3</v>
      </c>
      <c r="AA87" s="192">
        <f t="shared" si="890"/>
        <v>7.7715496657843842E-3</v>
      </c>
      <c r="AB87" s="191">
        <f t="shared" si="890"/>
        <v>7.6485524998983149E-3</v>
      </c>
      <c r="AC87" s="191">
        <f t="shared" si="890"/>
        <v>7.4913011735879553E-3</v>
      </c>
      <c r="AD87" s="191">
        <f t="shared" si="890"/>
        <v>7.3662769949825839E-3</v>
      </c>
      <c r="AE87" s="191">
        <f t="shared" si="890"/>
        <v>7.1743131057599458E-3</v>
      </c>
      <c r="AF87" s="191">
        <f t="shared" si="890"/>
        <v>7.0089322254687E-3</v>
      </c>
      <c r="AG87" s="191">
        <f t="shared" si="890"/>
        <v>6.8967792383063395E-3</v>
      </c>
      <c r="AH87" s="191">
        <f t="shared" si="890"/>
        <v>6.780584468791798E-3</v>
      </c>
      <c r="AI87" s="191">
        <f t="shared" si="890"/>
        <v>6.6623594395166354E-3</v>
      </c>
      <c r="AJ87" s="191">
        <f t="shared" si="890"/>
        <v>6.5414242698760543E-3</v>
      </c>
      <c r="AK87" s="191">
        <f t="shared" si="890"/>
        <v>6.4231055263285668E-3</v>
      </c>
      <c r="AL87" s="191">
        <f t="shared" si="890"/>
        <v>6.2991560797491701E-3</v>
      </c>
      <c r="AM87" s="192">
        <f t="shared" si="890"/>
        <v>6.1871960470893011E-3</v>
      </c>
      <c r="AN87" s="191">
        <f>IFERROR(AN82*'Calculation - Stage dist'!AQ52,AN82)</f>
        <v>0</v>
      </c>
      <c r="AO87" s="191">
        <f>IFERROR(AO82*'Calculation - Stage dist'!AR52,AO82)</f>
        <v>0</v>
      </c>
      <c r="AP87" s="191">
        <f>IFERROR(AP82*'Calculation - Stage dist'!AS52,AP82)</f>
        <v>0</v>
      </c>
      <c r="AQ87" s="191">
        <f>IFERROR(AQ82*'Calculation - Stage dist'!AT52,AQ82)</f>
        <v>0</v>
      </c>
      <c r="AR87" s="191">
        <f>IFERROR(AR82*'Calculation - Stage dist'!AU52,AR82)</f>
        <v>0</v>
      </c>
      <c r="AS87" s="191">
        <f>IFERROR(AS82*'Calculation - Stage dist'!AV52,AS82)</f>
        <v>0</v>
      </c>
      <c r="AT87" s="191">
        <f>IFERROR(AT82*'Calculation - Stage dist'!AW52,AT82)</f>
        <v>0</v>
      </c>
      <c r="AU87" s="191">
        <f>IFERROR(AU82*'Calculation - Stage dist'!AX52,AU82)</f>
        <v>0</v>
      </c>
      <c r="AV87" s="191">
        <f>IFERROR(AV82*'Calculation - Stage dist'!AY52,AV82)</f>
        <v>0</v>
      </c>
      <c r="AW87" s="191">
        <f>IFERROR(AW82*'Calculation - Stage dist'!AZ52,AW82)</f>
        <v>0</v>
      </c>
      <c r="AX87" s="192">
        <f>IFERROR(AX82*'Calculation - Stage dist'!BA52,AX82)</f>
        <v>0</v>
      </c>
      <c r="AY87" s="191">
        <f>IFERROR(AY82*'Calculation - Stage dist'!BB52,AY82)</f>
        <v>0</v>
      </c>
      <c r="AZ87" s="191">
        <f>IFERROR(AZ82*'Calculation - Stage dist'!BC52,AZ82)</f>
        <v>0</v>
      </c>
      <c r="BA87" s="191">
        <f>IFERROR(BA82*'Calculation - Stage dist'!BD52,BA82)</f>
        <v>0</v>
      </c>
      <c r="BB87" s="191">
        <f>IFERROR(BB82*'Calculation - Stage dist'!BE52,BB82)</f>
        <v>0</v>
      </c>
      <c r="BC87" s="191">
        <f>IFERROR(BC82*'Calculation - Stage dist'!BF52,BC82)</f>
        <v>0</v>
      </c>
      <c r="BD87" s="191">
        <f>IFERROR(BD82*'Calculation - Stage dist'!BG52,BD82)</f>
        <v>0</v>
      </c>
      <c r="BE87" s="191">
        <f>IFERROR(BE82*'Calculation - Stage dist'!BH52,BE82)</f>
        <v>0</v>
      </c>
      <c r="BF87" s="191">
        <f>IFERROR(BF82*'Calculation - Stage dist'!BI52,BF82)</f>
        <v>0</v>
      </c>
      <c r="BG87" s="191">
        <f>IFERROR(BG82*'Calculation - Stage dist'!BJ52,BG82)</f>
        <v>0</v>
      </c>
      <c r="BH87" s="191">
        <f>IFERROR(BH82*'Calculation - Stage dist'!BK52,BH82)</f>
        <v>0</v>
      </c>
      <c r="BI87" s="191">
        <f>IFERROR(BI82*'Calculation - Stage dist'!BL52,BI82)</f>
        <v>0</v>
      </c>
      <c r="BJ87" s="192">
        <f>IFERROR(BJ82*'Calculation - Stage dist'!BM52,BJ82)</f>
        <v>0</v>
      </c>
    </row>
    <row r="88" spans="1:62" x14ac:dyDescent="0.35">
      <c r="B88" s="2" t="s">
        <v>52</v>
      </c>
      <c r="C88" s="193">
        <f t="shared" ref="C88:AM88" si="891">C93/C77</f>
        <v>0.17412079062057176</v>
      </c>
      <c r="D88" s="194">
        <f t="shared" si="891"/>
        <v>0.17372899948192608</v>
      </c>
      <c r="E88" s="194">
        <f t="shared" si="891"/>
        <v>0.17306539595820394</v>
      </c>
      <c r="F88" s="194">
        <f t="shared" si="891"/>
        <v>0.172231049118336</v>
      </c>
      <c r="G88" s="194">
        <f t="shared" si="891"/>
        <v>0.17145174742433522</v>
      </c>
      <c r="H88" s="194">
        <f t="shared" si="891"/>
        <v>0.17068133699990232</v>
      </c>
      <c r="I88" s="194">
        <f t="shared" si="891"/>
        <v>0.17029952454348482</v>
      </c>
      <c r="J88" s="194">
        <f t="shared" si="891"/>
        <v>0.16971385858608426</v>
      </c>
      <c r="K88" s="194">
        <f t="shared" si="891"/>
        <v>0.16920604674596071</v>
      </c>
      <c r="L88" s="194">
        <f t="shared" si="891"/>
        <v>0.16915428249247502</v>
      </c>
      <c r="M88" s="194">
        <f t="shared" si="891"/>
        <v>0.16875168828141709</v>
      </c>
      <c r="N88" s="194">
        <f t="shared" si="891"/>
        <v>0.16872508271571623</v>
      </c>
      <c r="O88" s="195">
        <f t="shared" si="891"/>
        <v>0.16239877997171417</v>
      </c>
      <c r="P88" s="194">
        <f t="shared" si="891"/>
        <v>0.16159661128685762</v>
      </c>
      <c r="Q88" s="194">
        <f t="shared" si="891"/>
        <v>0.16090085038008287</v>
      </c>
      <c r="R88" s="194">
        <f t="shared" si="891"/>
        <v>0.16027524464003495</v>
      </c>
      <c r="S88" s="194">
        <f t="shared" si="891"/>
        <v>0.15979241812277534</v>
      </c>
      <c r="T88" s="194">
        <f t="shared" si="891"/>
        <v>0.15938304437550316</v>
      </c>
      <c r="U88" s="194">
        <f t="shared" si="891"/>
        <v>0.15900343245620735</v>
      </c>
      <c r="V88" s="194">
        <f t="shared" si="891"/>
        <v>0.15874248686692979</v>
      </c>
      <c r="W88" s="194">
        <f t="shared" si="891"/>
        <v>0.1585324309817582</v>
      </c>
      <c r="X88" s="194">
        <f t="shared" si="891"/>
        <v>0.15857024379601878</v>
      </c>
      <c r="Y88" s="194">
        <f t="shared" si="891"/>
        <v>0.15839243271954404</v>
      </c>
      <c r="Z88" s="194">
        <f t="shared" si="891"/>
        <v>0.15841435655379141</v>
      </c>
      <c r="AA88" s="195">
        <f t="shared" si="891"/>
        <v>0.15817790046787375</v>
      </c>
      <c r="AB88" s="194">
        <f t="shared" si="891"/>
        <v>0.15780381430484189</v>
      </c>
      <c r="AC88" s="194">
        <f t="shared" si="891"/>
        <v>0.15735934298120988</v>
      </c>
      <c r="AD88" s="194">
        <f t="shared" si="891"/>
        <v>0.15695452016272129</v>
      </c>
      <c r="AE88" s="194">
        <f t="shared" si="891"/>
        <v>0.15672626364002926</v>
      </c>
      <c r="AF88" s="194">
        <f t="shared" si="891"/>
        <v>0.15651931075701322</v>
      </c>
      <c r="AG88" s="194">
        <f t="shared" si="891"/>
        <v>0.15638869728680185</v>
      </c>
      <c r="AH88" s="194">
        <f t="shared" si="891"/>
        <v>0.156307731612186</v>
      </c>
      <c r="AI88" s="194">
        <f t="shared" si="891"/>
        <v>0.15622257305179194</v>
      </c>
      <c r="AJ88" s="194">
        <f t="shared" si="891"/>
        <v>0.15632242523988299</v>
      </c>
      <c r="AK88" s="194">
        <f t="shared" si="891"/>
        <v>0.15629226644891528</v>
      </c>
      <c r="AL88" s="194">
        <f t="shared" si="891"/>
        <v>0.15636120839096776</v>
      </c>
      <c r="AM88" s="195">
        <f t="shared" si="891"/>
        <v>0.1562035113187184</v>
      </c>
      <c r="AN88" s="194">
        <f t="shared" ref="AN88:BJ88" si="892">AN83</f>
        <v>0.41828286788706864</v>
      </c>
      <c r="AO88" s="194">
        <f t="shared" si="892"/>
        <v>0.41828286788706864</v>
      </c>
      <c r="AP88" s="194">
        <f t="shared" si="892"/>
        <v>0.41828286788706864</v>
      </c>
      <c r="AQ88" s="194">
        <f t="shared" si="892"/>
        <v>0.41828286788706864</v>
      </c>
      <c r="AR88" s="194">
        <f t="shared" si="892"/>
        <v>0.41828286788706864</v>
      </c>
      <c r="AS88" s="194">
        <f t="shared" si="892"/>
        <v>0.41828286788706864</v>
      </c>
      <c r="AT88" s="194">
        <f t="shared" si="892"/>
        <v>0.41828286788706864</v>
      </c>
      <c r="AU88" s="194">
        <f t="shared" si="892"/>
        <v>0.41828286788706864</v>
      </c>
      <c r="AV88" s="194">
        <f t="shared" si="892"/>
        <v>0.41828286788706864</v>
      </c>
      <c r="AW88" s="194">
        <f t="shared" si="892"/>
        <v>0.41828286788706864</v>
      </c>
      <c r="AX88" s="195">
        <f t="shared" si="892"/>
        <v>0.41828286788706864</v>
      </c>
      <c r="AY88" s="194">
        <f t="shared" si="892"/>
        <v>0.41828286788706864</v>
      </c>
      <c r="AZ88" s="194">
        <f t="shared" si="892"/>
        <v>0.41828286788706864</v>
      </c>
      <c r="BA88" s="194">
        <f t="shared" si="892"/>
        <v>0.41828286788706864</v>
      </c>
      <c r="BB88" s="194">
        <f t="shared" si="892"/>
        <v>0.41828286788706864</v>
      </c>
      <c r="BC88" s="194">
        <f t="shared" si="892"/>
        <v>0.41828286788706864</v>
      </c>
      <c r="BD88" s="194">
        <f t="shared" si="892"/>
        <v>0.41828286788706864</v>
      </c>
      <c r="BE88" s="194">
        <f t="shared" si="892"/>
        <v>0.41828286788706864</v>
      </c>
      <c r="BF88" s="194">
        <f t="shared" si="892"/>
        <v>0.41828286788706864</v>
      </c>
      <c r="BG88" s="194">
        <f t="shared" si="892"/>
        <v>0.41828286788706864</v>
      </c>
      <c r="BH88" s="194">
        <f t="shared" si="892"/>
        <v>0.41828286788706864</v>
      </c>
      <c r="BI88" s="194">
        <f t="shared" si="892"/>
        <v>0.41828286788706864</v>
      </c>
      <c r="BJ88" s="195">
        <f t="shared" si="892"/>
        <v>0.41828286788706864</v>
      </c>
    </row>
    <row r="89" spans="1:62" x14ac:dyDescent="0.35">
      <c r="B89" s="3" t="s">
        <v>53</v>
      </c>
      <c r="C89" s="196">
        <f t="shared" ref="C89:AM89" si="893">C94/C78</f>
        <v>0.39240352998671496</v>
      </c>
      <c r="D89" s="197">
        <f t="shared" si="893"/>
        <v>0.39151504494467287</v>
      </c>
      <c r="E89" s="197">
        <f t="shared" si="893"/>
        <v>0.39099109006717075</v>
      </c>
      <c r="F89" s="197">
        <f t="shared" si="893"/>
        <v>0.39047231797383336</v>
      </c>
      <c r="G89" s="197">
        <f t="shared" si="893"/>
        <v>0.38991930134550834</v>
      </c>
      <c r="H89" s="197">
        <f t="shared" si="893"/>
        <v>0.38940900568840286</v>
      </c>
      <c r="I89" s="197">
        <f t="shared" si="893"/>
        <v>0.39010725549138853</v>
      </c>
      <c r="J89" s="197">
        <f t="shared" si="893"/>
        <v>0.38945777725398162</v>
      </c>
      <c r="K89" s="197">
        <f t="shared" si="893"/>
        <v>0.38889967220424426</v>
      </c>
      <c r="L89" s="197">
        <f t="shared" si="893"/>
        <v>0.39015961693477014</v>
      </c>
      <c r="M89" s="197">
        <f t="shared" si="893"/>
        <v>0.38943865620761964</v>
      </c>
      <c r="N89" s="197">
        <f t="shared" si="893"/>
        <v>0.39083272394424345</v>
      </c>
      <c r="O89" s="198">
        <f t="shared" si="893"/>
        <v>0.3901136112819748</v>
      </c>
      <c r="P89" s="197">
        <f t="shared" si="893"/>
        <v>0.38931301808414615</v>
      </c>
      <c r="Q89" s="197">
        <f t="shared" si="893"/>
        <v>0.38856424423868602</v>
      </c>
      <c r="R89" s="197">
        <f t="shared" si="893"/>
        <v>0.38777511929287323</v>
      </c>
      <c r="S89" s="197">
        <f t="shared" si="893"/>
        <v>0.38674119622492364</v>
      </c>
      <c r="T89" s="197">
        <f t="shared" si="893"/>
        <v>0.38604936006340596</v>
      </c>
      <c r="U89" s="197">
        <f t="shared" si="893"/>
        <v>0.38526005997964868</v>
      </c>
      <c r="V89" s="197">
        <f t="shared" si="893"/>
        <v>0.38506629373579565</v>
      </c>
      <c r="W89" s="197">
        <f t="shared" si="893"/>
        <v>0.38482078941941589</v>
      </c>
      <c r="X89" s="197">
        <f t="shared" si="893"/>
        <v>0.3864790958894726</v>
      </c>
      <c r="Y89" s="197">
        <f t="shared" si="893"/>
        <v>0.38614079174211718</v>
      </c>
      <c r="Z89" s="197">
        <f t="shared" si="893"/>
        <v>0.38783627305453711</v>
      </c>
      <c r="AA89" s="198">
        <f t="shared" si="893"/>
        <v>0.38743379185861815</v>
      </c>
      <c r="AB89" s="197">
        <f t="shared" si="893"/>
        <v>0.38703999371396886</v>
      </c>
      <c r="AC89" s="197">
        <f t="shared" si="893"/>
        <v>0.38698290028104276</v>
      </c>
      <c r="AD89" s="197">
        <f t="shared" si="893"/>
        <v>0.38671429220228487</v>
      </c>
      <c r="AE89" s="197">
        <f t="shared" si="893"/>
        <v>0.38643232002446198</v>
      </c>
      <c r="AF89" s="197">
        <f t="shared" si="893"/>
        <v>0.38617771308865156</v>
      </c>
      <c r="AG89" s="197">
        <f t="shared" si="893"/>
        <v>0.38648074213721434</v>
      </c>
      <c r="AH89" s="197">
        <f t="shared" si="893"/>
        <v>0.38628199161386606</v>
      </c>
      <c r="AI89" s="197">
        <f t="shared" si="893"/>
        <v>0.38614685868379123</v>
      </c>
      <c r="AJ89" s="197">
        <f t="shared" si="893"/>
        <v>0.38736432641282376</v>
      </c>
      <c r="AK89" s="197">
        <f t="shared" si="893"/>
        <v>0.38720155762281655</v>
      </c>
      <c r="AL89" s="197">
        <f t="shared" si="893"/>
        <v>0.38836272356462537</v>
      </c>
      <c r="AM89" s="198">
        <f t="shared" si="893"/>
        <v>0.38826764986789514</v>
      </c>
      <c r="AN89" s="197">
        <f t="shared" ref="AN89:BJ89" si="894">AN84</f>
        <v>0.73826884841741014</v>
      </c>
      <c r="AO89" s="197">
        <f t="shared" si="894"/>
        <v>0.73826884841741014</v>
      </c>
      <c r="AP89" s="197">
        <f t="shared" si="894"/>
        <v>0.73826884841741014</v>
      </c>
      <c r="AQ89" s="197">
        <f t="shared" si="894"/>
        <v>0.73826884841741014</v>
      </c>
      <c r="AR89" s="197">
        <f t="shared" si="894"/>
        <v>0.73826884841741014</v>
      </c>
      <c r="AS89" s="197">
        <f t="shared" si="894"/>
        <v>0.73826884841741014</v>
      </c>
      <c r="AT89" s="197">
        <f t="shared" si="894"/>
        <v>0.73826884841741014</v>
      </c>
      <c r="AU89" s="197">
        <f t="shared" si="894"/>
        <v>0.73826884841741014</v>
      </c>
      <c r="AV89" s="197">
        <f t="shared" si="894"/>
        <v>0.73826884841741014</v>
      </c>
      <c r="AW89" s="197">
        <f t="shared" si="894"/>
        <v>0.73826884841741014</v>
      </c>
      <c r="AX89" s="198">
        <f t="shared" si="894"/>
        <v>0.73826884841741014</v>
      </c>
      <c r="AY89" s="197">
        <f t="shared" si="894"/>
        <v>0.73826884841741014</v>
      </c>
      <c r="AZ89" s="197">
        <f t="shared" si="894"/>
        <v>0.73826884841741014</v>
      </c>
      <c r="BA89" s="197">
        <f t="shared" si="894"/>
        <v>0.73826884841741014</v>
      </c>
      <c r="BB89" s="197">
        <f t="shared" si="894"/>
        <v>0.73826884841741014</v>
      </c>
      <c r="BC89" s="197">
        <f t="shared" si="894"/>
        <v>0.73826884841741014</v>
      </c>
      <c r="BD89" s="197">
        <f t="shared" si="894"/>
        <v>0.73826884841741014</v>
      </c>
      <c r="BE89" s="197">
        <f t="shared" si="894"/>
        <v>0.73826884841741014</v>
      </c>
      <c r="BF89" s="197">
        <f t="shared" si="894"/>
        <v>0.73826884841741014</v>
      </c>
      <c r="BG89" s="197">
        <f t="shared" si="894"/>
        <v>0.73826884841741014</v>
      </c>
      <c r="BH89" s="197">
        <f t="shared" si="894"/>
        <v>0.73826884841741014</v>
      </c>
      <c r="BI89" s="197">
        <f t="shared" si="894"/>
        <v>0.73826884841741014</v>
      </c>
      <c r="BJ89" s="198">
        <f t="shared" si="894"/>
        <v>0.73826884841741014</v>
      </c>
    </row>
    <row r="90" spans="1:62" x14ac:dyDescent="0.35">
      <c r="F90" s="179"/>
      <c r="G90" s="179"/>
      <c r="H90" s="179"/>
      <c r="I90" s="179"/>
      <c r="J90" s="179"/>
      <c r="K90" s="179"/>
      <c r="L90" s="179"/>
      <c r="M90" s="179"/>
      <c r="N90" s="179"/>
      <c r="O90" s="179"/>
      <c r="P90" s="179"/>
      <c r="Q90" s="179"/>
      <c r="R90" s="179"/>
      <c r="S90" s="179"/>
      <c r="T90" s="179"/>
      <c r="U90" s="179"/>
      <c r="V90" s="179"/>
      <c r="W90" s="179"/>
      <c r="X90" s="179"/>
    </row>
    <row r="91" spans="1:62" x14ac:dyDescent="0.35">
      <c r="B91" s="1" t="s">
        <v>145</v>
      </c>
      <c r="C91" s="110">
        <f>$C$3</f>
        <v>45352</v>
      </c>
      <c r="D91" s="111">
        <f>EDATE(C91,1)</f>
        <v>45383</v>
      </c>
      <c r="E91" s="111">
        <f t="shared" ref="E91" si="895">EDATE(D91,1)</f>
        <v>45413</v>
      </c>
      <c r="F91" s="111">
        <f t="shared" ref="F91" si="896">EDATE(E91,1)</f>
        <v>45444</v>
      </c>
      <c r="G91" s="111">
        <f t="shared" ref="G91" si="897">EDATE(F91,1)</f>
        <v>45474</v>
      </c>
      <c r="H91" s="111">
        <f t="shared" ref="H91" si="898">EDATE(G91,1)</f>
        <v>45505</v>
      </c>
      <c r="I91" s="111">
        <f t="shared" ref="I91" si="899">EDATE(H91,1)</f>
        <v>45536</v>
      </c>
      <c r="J91" s="111">
        <f t="shared" ref="J91" si="900">EDATE(I91,1)</f>
        <v>45566</v>
      </c>
      <c r="K91" s="111">
        <f t="shared" ref="K91" si="901">EDATE(J91,1)</f>
        <v>45597</v>
      </c>
      <c r="L91" s="111">
        <f t="shared" ref="L91" si="902">EDATE(K91,1)</f>
        <v>45627</v>
      </c>
      <c r="M91" s="111">
        <f t="shared" ref="M91" si="903">EDATE(L91,1)</f>
        <v>45658</v>
      </c>
      <c r="N91" s="111">
        <f t="shared" ref="N91" si="904">EDATE(M91,1)</f>
        <v>45689</v>
      </c>
      <c r="O91" s="112">
        <f t="shared" ref="O91" si="905">EDATE(N91,1)</f>
        <v>45717</v>
      </c>
      <c r="P91" s="111">
        <f t="shared" ref="P91" si="906">EDATE(O91,1)</f>
        <v>45748</v>
      </c>
      <c r="Q91" s="111">
        <f t="shared" ref="Q91" si="907">EDATE(P91,1)</f>
        <v>45778</v>
      </c>
      <c r="R91" s="111">
        <f t="shared" ref="R91" si="908">EDATE(Q91,1)</f>
        <v>45809</v>
      </c>
      <c r="S91" s="111">
        <f t="shared" ref="S91" si="909">EDATE(R91,1)</f>
        <v>45839</v>
      </c>
      <c r="T91" s="111">
        <f t="shared" ref="T91" si="910">EDATE(S91,1)</f>
        <v>45870</v>
      </c>
      <c r="U91" s="111">
        <f t="shared" ref="U91" si="911">EDATE(T91,1)</f>
        <v>45901</v>
      </c>
      <c r="V91" s="111">
        <f t="shared" ref="V91" si="912">EDATE(U91,1)</f>
        <v>45931</v>
      </c>
      <c r="W91" s="111">
        <f t="shared" ref="W91" si="913">EDATE(V91,1)</f>
        <v>45962</v>
      </c>
      <c r="X91" s="111">
        <f t="shared" ref="X91" si="914">EDATE(W91,1)</f>
        <v>45992</v>
      </c>
      <c r="Y91" s="111">
        <f t="shared" ref="Y91" si="915">EDATE(X91,1)</f>
        <v>46023</v>
      </c>
      <c r="Z91" s="111">
        <f t="shared" ref="Z91" si="916">EDATE(Y91,1)</f>
        <v>46054</v>
      </c>
      <c r="AA91" s="112">
        <f t="shared" ref="AA91" si="917">EDATE(Z91,1)</f>
        <v>46082</v>
      </c>
      <c r="AB91" s="111">
        <f t="shared" ref="AB91" si="918">EDATE(AA91,1)</f>
        <v>46113</v>
      </c>
      <c r="AC91" s="111">
        <f t="shared" ref="AC91" si="919">EDATE(AB91,1)</f>
        <v>46143</v>
      </c>
      <c r="AD91" s="111">
        <f t="shared" ref="AD91" si="920">EDATE(AC91,1)</f>
        <v>46174</v>
      </c>
      <c r="AE91" s="111">
        <f t="shared" ref="AE91" si="921">EDATE(AD91,1)</f>
        <v>46204</v>
      </c>
      <c r="AF91" s="111">
        <f t="shared" ref="AF91" si="922">EDATE(AE91,1)</f>
        <v>46235</v>
      </c>
      <c r="AG91" s="111">
        <f t="shared" ref="AG91" si="923">EDATE(AF91,1)</f>
        <v>46266</v>
      </c>
      <c r="AH91" s="111">
        <f t="shared" ref="AH91" si="924">EDATE(AG91,1)</f>
        <v>46296</v>
      </c>
      <c r="AI91" s="111">
        <f t="shared" ref="AI91" si="925">EDATE(AH91,1)</f>
        <v>46327</v>
      </c>
      <c r="AJ91" s="111">
        <f t="shared" ref="AJ91" si="926">EDATE(AI91,1)</f>
        <v>46357</v>
      </c>
      <c r="AK91" s="111">
        <f t="shared" ref="AK91" si="927">EDATE(AJ91,1)</f>
        <v>46388</v>
      </c>
      <c r="AL91" s="111">
        <f t="shared" ref="AL91" si="928">EDATE(AK91,1)</f>
        <v>46419</v>
      </c>
      <c r="AM91" s="112">
        <f t="shared" ref="AM91" si="929">EDATE(AL91,1)</f>
        <v>46447</v>
      </c>
      <c r="AN91" s="111">
        <f t="shared" ref="AN91" si="930">EDATE(AM91,1)</f>
        <v>46478</v>
      </c>
      <c r="AO91" s="111">
        <f t="shared" ref="AO91" si="931">EDATE(AN91,1)</f>
        <v>46508</v>
      </c>
      <c r="AP91" s="111">
        <f t="shared" ref="AP91" si="932">EDATE(AO91,1)</f>
        <v>46539</v>
      </c>
      <c r="AQ91" s="111">
        <f t="shared" ref="AQ91" si="933">EDATE(AP91,1)</f>
        <v>46569</v>
      </c>
      <c r="AR91" s="111">
        <f t="shared" ref="AR91" si="934">EDATE(AQ91,1)</f>
        <v>46600</v>
      </c>
      <c r="AS91" s="111">
        <f t="shared" ref="AS91" si="935">EDATE(AR91,1)</f>
        <v>46631</v>
      </c>
      <c r="AT91" s="111">
        <f t="shared" ref="AT91" si="936">EDATE(AS91,1)</f>
        <v>46661</v>
      </c>
      <c r="AU91" s="111">
        <f t="shared" ref="AU91" si="937">EDATE(AT91,1)</f>
        <v>46692</v>
      </c>
      <c r="AV91" s="111">
        <f t="shared" ref="AV91" si="938">EDATE(AU91,1)</f>
        <v>46722</v>
      </c>
      <c r="AW91" s="111">
        <f t="shared" ref="AW91" si="939">EDATE(AV91,1)</f>
        <v>46753</v>
      </c>
      <c r="AX91" s="112">
        <f t="shared" ref="AX91" si="940">EDATE(AW91,1)</f>
        <v>46784</v>
      </c>
      <c r="AY91" s="111">
        <f t="shared" ref="AY91" si="941">EDATE(AX91,1)</f>
        <v>46813</v>
      </c>
      <c r="AZ91" s="111">
        <f t="shared" ref="AZ91" si="942">EDATE(AY91,1)</f>
        <v>46844</v>
      </c>
      <c r="BA91" s="111">
        <f t="shared" ref="BA91" si="943">EDATE(AZ91,1)</f>
        <v>46874</v>
      </c>
      <c r="BB91" s="111">
        <f t="shared" ref="BB91" si="944">EDATE(BA91,1)</f>
        <v>46905</v>
      </c>
      <c r="BC91" s="111">
        <f t="shared" ref="BC91" si="945">EDATE(BB91,1)</f>
        <v>46935</v>
      </c>
      <c r="BD91" s="111">
        <f t="shared" ref="BD91" si="946">EDATE(BC91,1)</f>
        <v>46966</v>
      </c>
      <c r="BE91" s="111">
        <f t="shared" ref="BE91" si="947">EDATE(BD91,1)</f>
        <v>46997</v>
      </c>
      <c r="BF91" s="111">
        <f t="shared" ref="BF91" si="948">EDATE(BE91,1)</f>
        <v>47027</v>
      </c>
      <c r="BG91" s="111">
        <f t="shared" ref="BG91" si="949">EDATE(BF91,1)</f>
        <v>47058</v>
      </c>
      <c r="BH91" s="111">
        <f t="shared" ref="BH91" si="950">EDATE(BG91,1)</f>
        <v>47088</v>
      </c>
      <c r="BI91" s="111">
        <f t="shared" ref="BI91" si="951">EDATE(BH91,1)</f>
        <v>47119</v>
      </c>
      <c r="BJ91" s="112">
        <f>EDATE(BI91,1)</f>
        <v>47150</v>
      </c>
    </row>
    <row r="92" spans="1:62" x14ac:dyDescent="0.35">
      <c r="B92" s="1" t="s">
        <v>51</v>
      </c>
      <c r="C92" s="200">
        <f>C20+C44+C68</f>
        <v>533.14615327480692</v>
      </c>
      <c r="D92" s="201">
        <f t="shared" ref="D92:AM92" si="952">D20+D44+D68</f>
        <v>552.0962911663463</v>
      </c>
      <c r="E92" s="201">
        <f t="shared" si="952"/>
        <v>567.30007884759618</v>
      </c>
      <c r="F92" s="201">
        <f t="shared" si="952"/>
        <v>586.4866012826518</v>
      </c>
      <c r="G92" s="201">
        <f t="shared" si="952"/>
        <v>602.8191828312647</v>
      </c>
      <c r="H92" s="201">
        <f t="shared" si="952"/>
        <v>615.62217385576423</v>
      </c>
      <c r="I92" s="201">
        <f t="shared" si="952"/>
        <v>619.82979282355143</v>
      </c>
      <c r="J92" s="201">
        <f t="shared" si="952"/>
        <v>629.5997305253137</v>
      </c>
      <c r="K92" s="201">
        <f t="shared" si="952"/>
        <v>641.82412246133163</v>
      </c>
      <c r="L92" s="201">
        <f t="shared" si="952"/>
        <v>640.46084997211028</v>
      </c>
      <c r="M92" s="201">
        <f t="shared" si="952"/>
        <v>653.1670133930279</v>
      </c>
      <c r="N92" s="201">
        <f t="shared" si="952"/>
        <v>650.99921384516165</v>
      </c>
      <c r="O92" s="202">
        <f t="shared" si="952"/>
        <v>640.55056177725555</v>
      </c>
      <c r="P92" s="201">
        <f t="shared" si="952"/>
        <v>659.73153102829008</v>
      </c>
      <c r="Q92" s="201">
        <f t="shared" si="952"/>
        <v>678.11116113859816</v>
      </c>
      <c r="R92" s="201">
        <f t="shared" si="952"/>
        <v>699.4606613214263</v>
      </c>
      <c r="S92" s="201">
        <f t="shared" si="952"/>
        <v>713.594491630991</v>
      </c>
      <c r="T92" s="201">
        <f t="shared" si="952"/>
        <v>729.20299587854117</v>
      </c>
      <c r="U92" s="201">
        <f t="shared" si="952"/>
        <v>742.71088792291573</v>
      </c>
      <c r="V92" s="201">
        <f t="shared" si="952"/>
        <v>733.36805179658472</v>
      </c>
      <c r="W92" s="201">
        <f t="shared" si="952"/>
        <v>722.74729228406977</v>
      </c>
      <c r="X92" s="201">
        <f t="shared" si="952"/>
        <v>699.66695519114353</v>
      </c>
      <c r="Y92" s="201">
        <f t="shared" si="952"/>
        <v>697.7103771586527</v>
      </c>
      <c r="Z92" s="201">
        <f t="shared" si="952"/>
        <v>681.50208136754497</v>
      </c>
      <c r="AA92" s="202">
        <f t="shared" si="952"/>
        <v>677.5654979578361</v>
      </c>
      <c r="AB92" s="201">
        <f t="shared" si="952"/>
        <v>674.29461716606079</v>
      </c>
      <c r="AC92" s="201">
        <f t="shared" si="952"/>
        <v>680.68628750201026</v>
      </c>
      <c r="AD92" s="201">
        <f t="shared" si="952"/>
        <v>685.68704554559088</v>
      </c>
      <c r="AE92" s="201">
        <f t="shared" si="952"/>
        <v>688.12382726459975</v>
      </c>
      <c r="AF92" s="201">
        <f t="shared" si="952"/>
        <v>697.96889504749447</v>
      </c>
      <c r="AG92" s="201">
        <f t="shared" si="952"/>
        <v>712.47013025663841</v>
      </c>
      <c r="AH92" s="201">
        <f t="shared" si="952"/>
        <v>736.73836039623779</v>
      </c>
      <c r="AI92" s="201">
        <f t="shared" si="952"/>
        <v>764.63211364230199</v>
      </c>
      <c r="AJ92" s="201">
        <f t="shared" si="952"/>
        <v>777.09304874420229</v>
      </c>
      <c r="AK92" s="201">
        <f t="shared" si="952"/>
        <v>807.84744332126775</v>
      </c>
      <c r="AL92" s="201">
        <f t="shared" si="952"/>
        <v>818.43947097510556</v>
      </c>
      <c r="AM92" s="202">
        <f t="shared" si="952"/>
        <v>851.36952894465799</v>
      </c>
      <c r="AN92" s="201">
        <f t="shared" ref="AN92:BJ92" si="953">AN87*AN76</f>
        <v>0</v>
      </c>
      <c r="AO92" s="201">
        <f t="shared" si="953"/>
        <v>0</v>
      </c>
      <c r="AP92" s="201">
        <f t="shared" si="953"/>
        <v>0</v>
      </c>
      <c r="AQ92" s="201">
        <f t="shared" si="953"/>
        <v>0</v>
      </c>
      <c r="AR92" s="201">
        <f t="shared" si="953"/>
        <v>0</v>
      </c>
      <c r="AS92" s="201">
        <f t="shared" si="953"/>
        <v>0</v>
      </c>
      <c r="AT92" s="201">
        <f t="shared" si="953"/>
        <v>0</v>
      </c>
      <c r="AU92" s="201">
        <f t="shared" si="953"/>
        <v>0</v>
      </c>
      <c r="AV92" s="201">
        <f t="shared" si="953"/>
        <v>0</v>
      </c>
      <c r="AW92" s="201">
        <f t="shared" si="953"/>
        <v>0</v>
      </c>
      <c r="AX92" s="202">
        <f t="shared" si="953"/>
        <v>0</v>
      </c>
      <c r="AY92" s="201">
        <f t="shared" si="953"/>
        <v>0</v>
      </c>
      <c r="AZ92" s="201">
        <f t="shared" si="953"/>
        <v>0</v>
      </c>
      <c r="BA92" s="201">
        <f t="shared" si="953"/>
        <v>0</v>
      </c>
      <c r="BB92" s="201">
        <f t="shared" si="953"/>
        <v>0</v>
      </c>
      <c r="BC92" s="201">
        <f t="shared" si="953"/>
        <v>0</v>
      </c>
      <c r="BD92" s="201">
        <f t="shared" si="953"/>
        <v>0</v>
      </c>
      <c r="BE92" s="201">
        <f t="shared" si="953"/>
        <v>0</v>
      </c>
      <c r="BF92" s="201">
        <f t="shared" si="953"/>
        <v>0</v>
      </c>
      <c r="BG92" s="201">
        <f t="shared" si="953"/>
        <v>0</v>
      </c>
      <c r="BH92" s="201">
        <f t="shared" si="953"/>
        <v>0</v>
      </c>
      <c r="BI92" s="201">
        <f t="shared" si="953"/>
        <v>0</v>
      </c>
      <c r="BJ92" s="202">
        <f t="shared" si="953"/>
        <v>0</v>
      </c>
    </row>
    <row r="93" spans="1:62" x14ac:dyDescent="0.35">
      <c r="B93" s="2" t="s">
        <v>52</v>
      </c>
      <c r="C93" s="203">
        <f t="shared" ref="C93:AM93" si="954">C21+C45+C69</f>
        <v>354.98237360913288</v>
      </c>
      <c r="D93" s="204">
        <f t="shared" si="954"/>
        <v>367.47535148607415</v>
      </c>
      <c r="E93" s="204">
        <f t="shared" si="954"/>
        <v>379.37960721917216</v>
      </c>
      <c r="F93" s="204">
        <f t="shared" si="954"/>
        <v>391.27986441093242</v>
      </c>
      <c r="G93" s="204">
        <f t="shared" si="954"/>
        <v>403.45866936393162</v>
      </c>
      <c r="H93" s="204">
        <f t="shared" si="954"/>
        <v>416.2517092077768</v>
      </c>
      <c r="I93" s="204">
        <f t="shared" si="954"/>
        <v>415.38584142346735</v>
      </c>
      <c r="J93" s="204">
        <f t="shared" si="954"/>
        <v>429.65392196844084</v>
      </c>
      <c r="K93" s="204">
        <f t="shared" si="954"/>
        <v>445.46437157202604</v>
      </c>
      <c r="L93" s="204">
        <f t="shared" si="954"/>
        <v>439.50474710698995</v>
      </c>
      <c r="M93" s="204">
        <f t="shared" si="954"/>
        <v>455.76955377355557</v>
      </c>
      <c r="N93" s="204">
        <f t="shared" si="954"/>
        <v>448.8819778236284</v>
      </c>
      <c r="O93" s="205">
        <f t="shared" si="954"/>
        <v>449.4411549046049</v>
      </c>
      <c r="P93" s="204">
        <f t="shared" si="954"/>
        <v>461.77840150445468</v>
      </c>
      <c r="Q93" s="204">
        <f t="shared" si="954"/>
        <v>475.03587957088678</v>
      </c>
      <c r="R93" s="204">
        <f t="shared" si="954"/>
        <v>488.68382640353479</v>
      </c>
      <c r="S93" s="204">
        <f t="shared" si="954"/>
        <v>502.87820347736294</v>
      </c>
      <c r="T93" s="204">
        <f t="shared" si="954"/>
        <v>518.30212906085342</v>
      </c>
      <c r="U93" s="204">
        <f t="shared" si="954"/>
        <v>534.80133149465212</v>
      </c>
      <c r="V93" s="204">
        <f t="shared" si="954"/>
        <v>527.72311298730403</v>
      </c>
      <c r="W93" s="204">
        <f t="shared" si="954"/>
        <v>523.96930908982586</v>
      </c>
      <c r="X93" s="204">
        <f t="shared" si="954"/>
        <v>499.4195241073337</v>
      </c>
      <c r="Y93" s="204">
        <f t="shared" si="954"/>
        <v>501.11347370519638</v>
      </c>
      <c r="Z93" s="204">
        <f t="shared" si="954"/>
        <v>481.14615037953729</v>
      </c>
      <c r="AA93" s="205">
        <f t="shared" si="954"/>
        <v>486.83647740075992</v>
      </c>
      <c r="AB93" s="204">
        <f t="shared" si="954"/>
        <v>479.89569756331429</v>
      </c>
      <c r="AC93" s="204">
        <f t="shared" si="954"/>
        <v>481.16540870621964</v>
      </c>
      <c r="AD93" s="204">
        <f t="shared" si="954"/>
        <v>479.52824245437864</v>
      </c>
      <c r="AE93" s="204">
        <f t="shared" si="954"/>
        <v>480.61811425487787</v>
      </c>
      <c r="AF93" s="204">
        <f t="shared" si="954"/>
        <v>484.84136027313525</v>
      </c>
      <c r="AG93" s="204">
        <f t="shared" si="954"/>
        <v>486.33335361430261</v>
      </c>
      <c r="AH93" s="204">
        <f t="shared" si="954"/>
        <v>493.73114234730792</v>
      </c>
      <c r="AI93" s="204">
        <f t="shared" si="954"/>
        <v>503.36739353368972</v>
      </c>
      <c r="AJ93" s="204">
        <f t="shared" si="954"/>
        <v>497.87107565233543</v>
      </c>
      <c r="AK93" s="204">
        <f t="shared" si="954"/>
        <v>508.33739536298492</v>
      </c>
      <c r="AL93" s="204">
        <f t="shared" si="954"/>
        <v>501.47650389561431</v>
      </c>
      <c r="AM93" s="205">
        <f t="shared" si="954"/>
        <v>509.94905423523966</v>
      </c>
      <c r="AN93" s="204">
        <f t="shared" ref="AN93:BJ93" si="955">AN88*AN77</f>
        <v>0</v>
      </c>
      <c r="AO93" s="204">
        <f t="shared" si="955"/>
        <v>0</v>
      </c>
      <c r="AP93" s="204">
        <f t="shared" si="955"/>
        <v>0</v>
      </c>
      <c r="AQ93" s="204">
        <f t="shared" si="955"/>
        <v>0</v>
      </c>
      <c r="AR93" s="204">
        <f t="shared" si="955"/>
        <v>0</v>
      </c>
      <c r="AS93" s="204">
        <f t="shared" si="955"/>
        <v>0</v>
      </c>
      <c r="AT93" s="204">
        <f t="shared" si="955"/>
        <v>0</v>
      </c>
      <c r="AU93" s="204">
        <f t="shared" si="955"/>
        <v>0</v>
      </c>
      <c r="AV93" s="204">
        <f t="shared" si="955"/>
        <v>0</v>
      </c>
      <c r="AW93" s="204">
        <f t="shared" si="955"/>
        <v>0</v>
      </c>
      <c r="AX93" s="205">
        <f t="shared" si="955"/>
        <v>0</v>
      </c>
      <c r="AY93" s="204">
        <f t="shared" si="955"/>
        <v>0</v>
      </c>
      <c r="AZ93" s="204">
        <f t="shared" si="955"/>
        <v>0</v>
      </c>
      <c r="BA93" s="204">
        <f t="shared" si="955"/>
        <v>0</v>
      </c>
      <c r="BB93" s="204">
        <f t="shared" si="955"/>
        <v>0</v>
      </c>
      <c r="BC93" s="204">
        <f t="shared" si="955"/>
        <v>0</v>
      </c>
      <c r="BD93" s="204">
        <f t="shared" si="955"/>
        <v>0</v>
      </c>
      <c r="BE93" s="204">
        <f t="shared" si="955"/>
        <v>0</v>
      </c>
      <c r="BF93" s="204">
        <f t="shared" si="955"/>
        <v>0</v>
      </c>
      <c r="BG93" s="204">
        <f t="shared" si="955"/>
        <v>0</v>
      </c>
      <c r="BH93" s="204">
        <f t="shared" si="955"/>
        <v>0</v>
      </c>
      <c r="BI93" s="204">
        <f t="shared" si="955"/>
        <v>0</v>
      </c>
      <c r="BJ93" s="205">
        <f t="shared" si="955"/>
        <v>0</v>
      </c>
    </row>
    <row r="94" spans="1:62" x14ac:dyDescent="0.35">
      <c r="B94" s="3" t="s">
        <v>53</v>
      </c>
      <c r="C94" s="206">
        <f t="shared" ref="C94:AM94" si="956">C22+C46+C70</f>
        <v>599.53700739002511</v>
      </c>
      <c r="D94" s="207">
        <f t="shared" si="956"/>
        <v>625.07188230479017</v>
      </c>
      <c r="E94" s="207">
        <f t="shared" si="956"/>
        <v>651.255380576535</v>
      </c>
      <c r="F94" s="207">
        <f t="shared" si="956"/>
        <v>678.49574996999343</v>
      </c>
      <c r="G94" s="207">
        <f t="shared" si="956"/>
        <v>706.36037369620954</v>
      </c>
      <c r="H94" s="207">
        <f t="shared" si="956"/>
        <v>735.76582707239447</v>
      </c>
      <c r="I94" s="207">
        <f t="shared" si="956"/>
        <v>738.79829695902174</v>
      </c>
      <c r="J94" s="207">
        <f t="shared" si="956"/>
        <v>773.1821503400198</v>
      </c>
      <c r="K94" s="207">
        <f t="shared" si="956"/>
        <v>810.66215341103396</v>
      </c>
      <c r="L94" s="207">
        <f t="shared" si="956"/>
        <v>802.69707687892696</v>
      </c>
      <c r="M94" s="207">
        <f t="shared" si="956"/>
        <v>839.9568298611963</v>
      </c>
      <c r="N94" s="207">
        <f t="shared" si="956"/>
        <v>827.71829107078827</v>
      </c>
      <c r="O94" s="208">
        <f t="shared" si="956"/>
        <v>866.30934817580521</v>
      </c>
      <c r="P94" s="207">
        <f t="shared" si="956"/>
        <v>901.31825966607732</v>
      </c>
      <c r="Q94" s="207">
        <f t="shared" si="956"/>
        <v>938.1266893587399</v>
      </c>
      <c r="R94" s="207">
        <f t="shared" si="956"/>
        <v>975.55213022337762</v>
      </c>
      <c r="S94" s="207">
        <f t="shared" si="956"/>
        <v>1013.2391173747144</v>
      </c>
      <c r="T94" s="207">
        <f t="shared" si="956"/>
        <v>1054.0545073944461</v>
      </c>
      <c r="U94" s="207">
        <f t="shared" si="956"/>
        <v>1091.1651870181033</v>
      </c>
      <c r="V94" s="207">
        <f t="shared" si="956"/>
        <v>1073.3204630156076</v>
      </c>
      <c r="W94" s="207">
        <f t="shared" si="956"/>
        <v>1061.7434184384047</v>
      </c>
      <c r="X94" s="207">
        <f t="shared" si="956"/>
        <v>993.28082697266052</v>
      </c>
      <c r="Y94" s="207">
        <f t="shared" si="956"/>
        <v>993.11283183353726</v>
      </c>
      <c r="Z94" s="207">
        <f t="shared" si="956"/>
        <v>936.51811300174757</v>
      </c>
      <c r="AA94" s="208">
        <f t="shared" si="956"/>
        <v>944.97734852277642</v>
      </c>
      <c r="AB94" s="207">
        <f t="shared" si="956"/>
        <v>928.0458877161841</v>
      </c>
      <c r="AC94" s="207">
        <f t="shared" si="956"/>
        <v>926.23268971629932</v>
      </c>
      <c r="AD94" s="207">
        <f t="shared" si="956"/>
        <v>919.20321960709305</v>
      </c>
      <c r="AE94" s="207">
        <f t="shared" si="956"/>
        <v>915.84244226211695</v>
      </c>
      <c r="AF94" s="207">
        <f t="shared" si="956"/>
        <v>917.68085821066018</v>
      </c>
      <c r="AG94" s="207">
        <f t="shared" si="956"/>
        <v>910.86354399314018</v>
      </c>
      <c r="AH94" s="207">
        <f t="shared" si="956"/>
        <v>919.1478034988869</v>
      </c>
      <c r="AI94" s="207">
        <f t="shared" si="956"/>
        <v>930.73563889207264</v>
      </c>
      <c r="AJ94" s="207">
        <f t="shared" si="956"/>
        <v>907.04944352474411</v>
      </c>
      <c r="AK94" s="207">
        <f t="shared" si="956"/>
        <v>918.30241671840088</v>
      </c>
      <c r="AL94" s="207">
        <f t="shared" si="956"/>
        <v>892.25534759452466</v>
      </c>
      <c r="AM94" s="208">
        <f t="shared" si="956"/>
        <v>898.75344760079145</v>
      </c>
      <c r="AN94" s="207">
        <f t="shared" ref="AN94:BJ94" si="957">AN89*AN78</f>
        <v>0</v>
      </c>
      <c r="AO94" s="207">
        <f t="shared" si="957"/>
        <v>0</v>
      </c>
      <c r="AP94" s="207">
        <f t="shared" si="957"/>
        <v>0</v>
      </c>
      <c r="AQ94" s="207">
        <f t="shared" si="957"/>
        <v>0</v>
      </c>
      <c r="AR94" s="207">
        <f t="shared" si="957"/>
        <v>0</v>
      </c>
      <c r="AS94" s="207">
        <f t="shared" si="957"/>
        <v>0</v>
      </c>
      <c r="AT94" s="207">
        <f t="shared" si="957"/>
        <v>0</v>
      </c>
      <c r="AU94" s="207">
        <f t="shared" si="957"/>
        <v>0</v>
      </c>
      <c r="AV94" s="207">
        <f t="shared" si="957"/>
        <v>0</v>
      </c>
      <c r="AW94" s="207">
        <f t="shared" si="957"/>
        <v>0</v>
      </c>
      <c r="AX94" s="208">
        <f t="shared" si="957"/>
        <v>0</v>
      </c>
      <c r="AY94" s="207">
        <f t="shared" si="957"/>
        <v>0</v>
      </c>
      <c r="AZ94" s="207">
        <f t="shared" si="957"/>
        <v>0</v>
      </c>
      <c r="BA94" s="207">
        <f t="shared" si="957"/>
        <v>0</v>
      </c>
      <c r="BB94" s="207">
        <f t="shared" si="957"/>
        <v>0</v>
      </c>
      <c r="BC94" s="207">
        <f t="shared" si="957"/>
        <v>0</v>
      </c>
      <c r="BD94" s="207">
        <f t="shared" si="957"/>
        <v>0</v>
      </c>
      <c r="BE94" s="207">
        <f t="shared" si="957"/>
        <v>0</v>
      </c>
      <c r="BF94" s="207">
        <f t="shared" si="957"/>
        <v>0</v>
      </c>
      <c r="BG94" s="207">
        <f t="shared" si="957"/>
        <v>0</v>
      </c>
      <c r="BH94" s="207">
        <f t="shared" si="957"/>
        <v>0</v>
      </c>
      <c r="BI94" s="207">
        <f t="shared" si="957"/>
        <v>0</v>
      </c>
      <c r="BJ94" s="208">
        <f t="shared" si="957"/>
        <v>0</v>
      </c>
    </row>
    <row r="95" spans="1:62" x14ac:dyDescent="0.35">
      <c r="B95" s="3" t="s">
        <v>140</v>
      </c>
      <c r="C95" s="206">
        <f>SUM(C92:C94)</f>
        <v>1487.665534273965</v>
      </c>
      <c r="D95" s="207">
        <f t="shared" ref="D95:BJ95" si="958">SUM(D92:D94)</f>
        <v>1544.6435249572105</v>
      </c>
      <c r="E95" s="207">
        <f t="shared" si="958"/>
        <v>1597.9350666433033</v>
      </c>
      <c r="F95" s="207">
        <f t="shared" si="958"/>
        <v>1656.2622156635775</v>
      </c>
      <c r="G95" s="207">
        <f t="shared" si="958"/>
        <v>1712.6382258914059</v>
      </c>
      <c r="H95" s="207">
        <f t="shared" si="958"/>
        <v>1767.6397101359357</v>
      </c>
      <c r="I95" s="207">
        <f t="shared" si="958"/>
        <v>1774.0139312060405</v>
      </c>
      <c r="J95" s="207">
        <f t="shared" si="958"/>
        <v>1832.4358028337742</v>
      </c>
      <c r="K95" s="207">
        <f t="shared" si="958"/>
        <v>1897.9506474443915</v>
      </c>
      <c r="L95" s="207">
        <f t="shared" si="958"/>
        <v>1882.6626739580272</v>
      </c>
      <c r="M95" s="207">
        <f t="shared" si="958"/>
        <v>1948.8933970277799</v>
      </c>
      <c r="N95" s="207">
        <f t="shared" si="958"/>
        <v>1927.5994827395784</v>
      </c>
      <c r="O95" s="208">
        <f t="shared" si="958"/>
        <v>1956.3010648576656</v>
      </c>
      <c r="P95" s="207">
        <f t="shared" si="958"/>
        <v>2022.8281921988219</v>
      </c>
      <c r="Q95" s="207">
        <f t="shared" si="958"/>
        <v>2091.2737300682247</v>
      </c>
      <c r="R95" s="207">
        <f t="shared" si="958"/>
        <v>2163.6966179483388</v>
      </c>
      <c r="S95" s="207">
        <f t="shared" si="958"/>
        <v>2229.7118124830686</v>
      </c>
      <c r="T95" s="207">
        <f t="shared" si="958"/>
        <v>2301.5596323338405</v>
      </c>
      <c r="U95" s="207">
        <f t="shared" si="958"/>
        <v>2368.6774064356714</v>
      </c>
      <c r="V95" s="207">
        <f t="shared" si="958"/>
        <v>2334.4116277994963</v>
      </c>
      <c r="W95" s="207">
        <f t="shared" si="958"/>
        <v>2308.4600198123003</v>
      </c>
      <c r="X95" s="207">
        <f t="shared" si="958"/>
        <v>2192.3673062711377</v>
      </c>
      <c r="Y95" s="207">
        <f t="shared" si="958"/>
        <v>2191.9366826973865</v>
      </c>
      <c r="Z95" s="207">
        <f t="shared" si="958"/>
        <v>2099.1663447488299</v>
      </c>
      <c r="AA95" s="208">
        <f t="shared" si="958"/>
        <v>2109.3793238813723</v>
      </c>
      <c r="AB95" s="207">
        <f t="shared" si="958"/>
        <v>2082.2362024455592</v>
      </c>
      <c r="AC95" s="207">
        <f t="shared" si="958"/>
        <v>2088.0843859245292</v>
      </c>
      <c r="AD95" s="207">
        <f t="shared" si="958"/>
        <v>2084.4185076070626</v>
      </c>
      <c r="AE95" s="207">
        <f t="shared" si="958"/>
        <v>2084.5843837815946</v>
      </c>
      <c r="AF95" s="207">
        <f t="shared" si="958"/>
        <v>2100.49111353129</v>
      </c>
      <c r="AG95" s="207">
        <f t="shared" si="958"/>
        <v>2109.6670278640813</v>
      </c>
      <c r="AH95" s="207">
        <f t="shared" si="958"/>
        <v>2149.6173062424327</v>
      </c>
      <c r="AI95" s="207">
        <f t="shared" si="958"/>
        <v>2198.7351460680643</v>
      </c>
      <c r="AJ95" s="207">
        <f t="shared" si="958"/>
        <v>2182.0135679212817</v>
      </c>
      <c r="AK95" s="207">
        <f t="shared" si="958"/>
        <v>2234.4872554026533</v>
      </c>
      <c r="AL95" s="207">
        <f t="shared" si="958"/>
        <v>2212.1713224652444</v>
      </c>
      <c r="AM95" s="208">
        <f t="shared" si="958"/>
        <v>2260.0720307806891</v>
      </c>
      <c r="AN95" s="207">
        <f t="shared" si="958"/>
        <v>0</v>
      </c>
      <c r="AO95" s="207">
        <f t="shared" si="958"/>
        <v>0</v>
      </c>
      <c r="AP95" s="207">
        <f t="shared" si="958"/>
        <v>0</v>
      </c>
      <c r="AQ95" s="207">
        <f t="shared" si="958"/>
        <v>0</v>
      </c>
      <c r="AR95" s="207">
        <f t="shared" si="958"/>
        <v>0</v>
      </c>
      <c r="AS95" s="207">
        <f t="shared" si="958"/>
        <v>0</v>
      </c>
      <c r="AT95" s="207">
        <f t="shared" si="958"/>
        <v>0</v>
      </c>
      <c r="AU95" s="207">
        <f t="shared" si="958"/>
        <v>0</v>
      </c>
      <c r="AV95" s="207">
        <f t="shared" si="958"/>
        <v>0</v>
      </c>
      <c r="AW95" s="207">
        <f t="shared" si="958"/>
        <v>0</v>
      </c>
      <c r="AX95" s="208">
        <f t="shared" si="958"/>
        <v>0</v>
      </c>
      <c r="AY95" s="207">
        <f t="shared" si="958"/>
        <v>0</v>
      </c>
      <c r="AZ95" s="207">
        <f t="shared" si="958"/>
        <v>0</v>
      </c>
      <c r="BA95" s="207">
        <f t="shared" si="958"/>
        <v>0</v>
      </c>
      <c r="BB95" s="207">
        <f t="shared" si="958"/>
        <v>0</v>
      </c>
      <c r="BC95" s="207">
        <f t="shared" si="958"/>
        <v>0</v>
      </c>
      <c r="BD95" s="207">
        <f t="shared" si="958"/>
        <v>0</v>
      </c>
      <c r="BE95" s="207">
        <f t="shared" si="958"/>
        <v>0</v>
      </c>
      <c r="BF95" s="207">
        <f t="shared" si="958"/>
        <v>0</v>
      </c>
      <c r="BG95" s="207">
        <f t="shared" si="958"/>
        <v>0</v>
      </c>
      <c r="BH95" s="207">
        <f t="shared" si="958"/>
        <v>0</v>
      </c>
      <c r="BI95" s="207">
        <f t="shared" si="958"/>
        <v>0</v>
      </c>
      <c r="BJ95" s="208">
        <f t="shared" si="958"/>
        <v>0</v>
      </c>
    </row>
    <row r="96" spans="1:62" x14ac:dyDescent="0.35">
      <c r="B96" s="3" t="s">
        <v>146</v>
      </c>
      <c r="C96" s="206"/>
      <c r="D96" s="207">
        <f>D95-C95</f>
        <v>56.97799068324548</v>
      </c>
      <c r="E96" s="207">
        <f t="shared" ref="E96" si="959">E95-D95</f>
        <v>53.291541686092842</v>
      </c>
      <c r="F96" s="207">
        <f t="shared" ref="F96" si="960">F95-E95</f>
        <v>58.327149020274192</v>
      </c>
      <c r="G96" s="207">
        <f t="shared" ref="G96" si="961">G95-F95</f>
        <v>56.376010227828374</v>
      </c>
      <c r="H96" s="207">
        <f t="shared" ref="H96" si="962">H95-G95</f>
        <v>55.00148424452982</v>
      </c>
      <c r="I96" s="207">
        <f t="shared" ref="I96" si="963">I95-H95</f>
        <v>6.3742210701047952</v>
      </c>
      <c r="J96" s="207">
        <f t="shared" ref="J96" si="964">J95-I95</f>
        <v>58.421871627733708</v>
      </c>
      <c r="K96" s="207">
        <f t="shared" ref="K96" si="965">K95-J95</f>
        <v>65.514844610617274</v>
      </c>
      <c r="L96" s="207">
        <f t="shared" ref="L96" si="966">L95-K95</f>
        <v>-15.287973486364308</v>
      </c>
      <c r="M96" s="207">
        <f t="shared" ref="M96" si="967">M95-L95</f>
        <v>66.230723069752685</v>
      </c>
      <c r="N96" s="207">
        <f t="shared" ref="N96" si="968">N95-M95</f>
        <v>-21.293914288201449</v>
      </c>
      <c r="O96" s="208">
        <f t="shared" ref="O96" si="969">O95-N95</f>
        <v>28.701582118087117</v>
      </c>
      <c r="P96" s="207">
        <f t="shared" ref="P96" si="970">P95-O95</f>
        <v>66.527127341156302</v>
      </c>
      <c r="Q96" s="207">
        <f t="shared" ref="Q96" si="971">Q95-P95</f>
        <v>68.44553786940287</v>
      </c>
      <c r="R96" s="207">
        <f t="shared" ref="R96" si="972">R95-Q95</f>
        <v>72.422887880114104</v>
      </c>
      <c r="S96" s="207">
        <f t="shared" ref="S96" si="973">S95-R95</f>
        <v>66.015194534729744</v>
      </c>
      <c r="T96" s="207">
        <f t="shared" ref="T96" si="974">T95-S95</f>
        <v>71.847819850771884</v>
      </c>
      <c r="U96" s="207">
        <f t="shared" ref="U96" si="975">U95-T95</f>
        <v>67.117774101830946</v>
      </c>
      <c r="V96" s="207">
        <f t="shared" ref="V96" si="976">V95-U95</f>
        <v>-34.265778636175128</v>
      </c>
      <c r="W96" s="207">
        <f t="shared" ref="W96" si="977">W95-V95</f>
        <v>-25.951607987195985</v>
      </c>
      <c r="X96" s="207">
        <f t="shared" ref="X96" si="978">X95-W95</f>
        <v>-116.09271354116254</v>
      </c>
      <c r="Y96" s="207">
        <f t="shared" ref="Y96" si="979">Y95-X95</f>
        <v>-0.43062357375129068</v>
      </c>
      <c r="Z96" s="207">
        <f t="shared" ref="Z96" si="980">Z95-Y95</f>
        <v>-92.770337948556516</v>
      </c>
      <c r="AA96" s="208">
        <f t="shared" ref="AA96" si="981">AA95-Z95</f>
        <v>10.212979132542387</v>
      </c>
      <c r="AB96" s="207">
        <f t="shared" ref="AB96" si="982">AB95-AA95</f>
        <v>-27.1431214358131</v>
      </c>
      <c r="AC96" s="207">
        <f t="shared" ref="AC96" si="983">AC95-AB95</f>
        <v>5.848183478969986</v>
      </c>
      <c r="AD96" s="207">
        <f t="shared" ref="AD96" si="984">AD95-AC95</f>
        <v>-3.6658783174666496</v>
      </c>
      <c r="AE96" s="207">
        <f t="shared" ref="AE96" si="985">AE95-AD95</f>
        <v>0.16587617453205894</v>
      </c>
      <c r="AF96" s="207">
        <f t="shared" ref="AF96" si="986">AF95-AE95</f>
        <v>15.906729749695387</v>
      </c>
      <c r="AG96" s="207">
        <f t="shared" ref="AG96" si="987">AG95-AF95</f>
        <v>9.175914332791308</v>
      </c>
      <c r="AH96" s="207">
        <f t="shared" ref="AH96" si="988">AH95-AG95</f>
        <v>39.950278378351413</v>
      </c>
      <c r="AI96" s="207">
        <f t="shared" ref="AI96" si="989">AI95-AH95</f>
        <v>49.117839825631563</v>
      </c>
      <c r="AJ96" s="207">
        <f t="shared" ref="AJ96" si="990">AJ95-AI95</f>
        <v>-16.721578146782576</v>
      </c>
      <c r="AK96" s="207">
        <f t="shared" ref="AK96" si="991">AK95-AJ95</f>
        <v>52.473687481371599</v>
      </c>
      <c r="AL96" s="207">
        <f t="shared" ref="AL96" si="992">AL95-AK95</f>
        <v>-22.315932937408888</v>
      </c>
      <c r="AM96" s="208">
        <f t="shared" ref="AM96" si="993">AM95-AL95</f>
        <v>47.900708315444717</v>
      </c>
      <c r="AN96" s="207">
        <f t="shared" ref="AN96" si="994">AN95-AM95</f>
        <v>-2260.0720307806891</v>
      </c>
      <c r="AO96" s="207">
        <f t="shared" ref="AO96" si="995">AO95-AN95</f>
        <v>0</v>
      </c>
      <c r="AP96" s="207">
        <f t="shared" ref="AP96" si="996">AP95-AO95</f>
        <v>0</v>
      </c>
      <c r="AQ96" s="207">
        <f t="shared" ref="AQ96" si="997">AQ95-AP95</f>
        <v>0</v>
      </c>
      <c r="AR96" s="207">
        <f t="shared" ref="AR96" si="998">AR95-AQ95</f>
        <v>0</v>
      </c>
      <c r="AS96" s="207">
        <f t="shared" ref="AS96" si="999">AS95-AR95</f>
        <v>0</v>
      </c>
      <c r="AT96" s="207">
        <f t="shared" ref="AT96" si="1000">AT95-AS95</f>
        <v>0</v>
      </c>
      <c r="AU96" s="207">
        <f t="shared" ref="AU96" si="1001">AU95-AT95</f>
        <v>0</v>
      </c>
      <c r="AV96" s="207">
        <f t="shared" ref="AV96" si="1002">AV95-AU95</f>
        <v>0</v>
      </c>
      <c r="AW96" s="207">
        <f t="shared" ref="AW96" si="1003">AW95-AV95</f>
        <v>0</v>
      </c>
      <c r="AX96" s="208">
        <f t="shared" ref="AX96" si="1004">AX95-AW95</f>
        <v>0</v>
      </c>
      <c r="AY96" s="207">
        <f t="shared" ref="AY96" si="1005">AY95-AX95</f>
        <v>0</v>
      </c>
      <c r="AZ96" s="207">
        <f t="shared" ref="AZ96" si="1006">AZ95-AY95</f>
        <v>0</v>
      </c>
      <c r="BA96" s="207">
        <f t="shared" ref="BA96" si="1007">BA95-AZ95</f>
        <v>0</v>
      </c>
      <c r="BB96" s="207">
        <f t="shared" ref="BB96" si="1008">BB95-BA95</f>
        <v>0</v>
      </c>
      <c r="BC96" s="207">
        <f t="shared" ref="BC96" si="1009">BC95-BB95</f>
        <v>0</v>
      </c>
      <c r="BD96" s="207">
        <f t="shared" ref="BD96" si="1010">BD95-BC95</f>
        <v>0</v>
      </c>
      <c r="BE96" s="207">
        <f t="shared" ref="BE96" si="1011">BE95-BD95</f>
        <v>0</v>
      </c>
      <c r="BF96" s="207">
        <f t="shared" ref="BF96" si="1012">BF95-BE95</f>
        <v>0</v>
      </c>
      <c r="BG96" s="207">
        <f t="shared" ref="BG96" si="1013">BG95-BF95</f>
        <v>0</v>
      </c>
      <c r="BH96" s="207">
        <f t="shared" ref="BH96" si="1014">BH95-BG95</f>
        <v>0</v>
      </c>
      <c r="BI96" s="207">
        <f t="shared" ref="BI96" si="1015">BI95-BH95</f>
        <v>0</v>
      </c>
      <c r="BJ96" s="208">
        <f t="shared" ref="BJ96" si="1016">BJ95-BI95</f>
        <v>0</v>
      </c>
    </row>
    <row r="97" spans="2:62" x14ac:dyDescent="0.35">
      <c r="B97" s="3" t="s">
        <v>143</v>
      </c>
      <c r="C97" s="196">
        <f>C95/C79</f>
        <v>1.8884434204378287E-2</v>
      </c>
      <c r="D97" s="197">
        <f t="shared" ref="D97:BJ97" si="1017">D95/D79</f>
        <v>1.9304171152195557E-2</v>
      </c>
      <c r="E97" s="197">
        <f t="shared" si="1017"/>
        <v>1.966351487318118E-2</v>
      </c>
      <c r="F97" s="197">
        <f t="shared" si="1017"/>
        <v>2.0054081074325651E-2</v>
      </c>
      <c r="G97" s="197">
        <f t="shared" si="1017"/>
        <v>2.0397667251829253E-2</v>
      </c>
      <c r="H97" s="197">
        <f t="shared" si="1017"/>
        <v>2.0685344169505543E-2</v>
      </c>
      <c r="I97" s="197">
        <f t="shared" si="1017"/>
        <v>2.0851265922573293E-2</v>
      </c>
      <c r="J97" s="197">
        <f t="shared" si="1017"/>
        <v>2.1262359245823349E-2</v>
      </c>
      <c r="K97" s="197">
        <f t="shared" si="1017"/>
        <v>2.1695010068266445E-2</v>
      </c>
      <c r="L97" s="197">
        <f t="shared" si="1017"/>
        <v>2.1906739406816523E-2</v>
      </c>
      <c r="M97" s="197">
        <f t="shared" si="1017"/>
        <v>2.2339578636392628E-2</v>
      </c>
      <c r="N97" s="197">
        <f t="shared" si="1017"/>
        <v>2.2533757674136283E-2</v>
      </c>
      <c r="O97" s="198">
        <f t="shared" si="1017"/>
        <v>2.2504171695414688E-2</v>
      </c>
      <c r="P97" s="197">
        <f t="shared" si="1017"/>
        <v>2.3317454275153023E-2</v>
      </c>
      <c r="Q97" s="197">
        <f t="shared" si="1017"/>
        <v>2.4117016250278445E-2</v>
      </c>
      <c r="R97" s="197">
        <f t="shared" si="1017"/>
        <v>2.4945013517793751E-2</v>
      </c>
      <c r="S97" s="197">
        <f t="shared" si="1017"/>
        <v>2.5692983974143574E-2</v>
      </c>
      <c r="T97" s="197">
        <f t="shared" si="1017"/>
        <v>2.645015243780156E-2</v>
      </c>
      <c r="U97" s="197">
        <f t="shared" si="1017"/>
        <v>2.7116974487607217E-2</v>
      </c>
      <c r="V97" s="197">
        <f t="shared" si="1017"/>
        <v>2.6549975962715897E-2</v>
      </c>
      <c r="W97" s="197">
        <f t="shared" si="1017"/>
        <v>2.5916808251873855E-2</v>
      </c>
      <c r="X97" s="197">
        <f t="shared" si="1017"/>
        <v>2.4957669501947954E-2</v>
      </c>
      <c r="Y97" s="197">
        <f t="shared" si="1017"/>
        <v>2.4353813341989852E-2</v>
      </c>
      <c r="Z97" s="197">
        <f t="shared" si="1017"/>
        <v>2.3445683018334315E-2</v>
      </c>
      <c r="AA97" s="198">
        <f t="shared" si="1017"/>
        <v>2.2754355005327249E-2</v>
      </c>
      <c r="AB97" s="197">
        <f t="shared" si="1017"/>
        <v>2.2246431135386345E-2</v>
      </c>
      <c r="AC97" s="197">
        <f t="shared" si="1017"/>
        <v>2.1679791822786367E-2</v>
      </c>
      <c r="AD97" s="197">
        <f t="shared" si="1017"/>
        <v>2.1158005847539352E-2</v>
      </c>
      <c r="AE97" s="197">
        <f t="shared" si="1017"/>
        <v>2.0567859890752823E-2</v>
      </c>
      <c r="AF97" s="197">
        <f t="shared" si="1017"/>
        <v>1.9993874016924019E-2</v>
      </c>
      <c r="AG97" s="197">
        <f t="shared" si="1017"/>
        <v>1.9395429510546021E-2</v>
      </c>
      <c r="AH97" s="197">
        <f t="shared" si="1017"/>
        <v>1.8824539075513725E-2</v>
      </c>
      <c r="AI97" s="197">
        <f t="shared" si="1017"/>
        <v>1.8261707541787516E-2</v>
      </c>
      <c r="AJ97" s="197">
        <f t="shared" si="1017"/>
        <v>1.7551280405051828E-2</v>
      </c>
      <c r="AK97" s="197">
        <f t="shared" si="1017"/>
        <v>1.700572016669271E-2</v>
      </c>
      <c r="AL97" s="197">
        <f t="shared" si="1017"/>
        <v>1.6334054818769612E-2</v>
      </c>
      <c r="AM97" s="198">
        <f t="shared" si="1017"/>
        <v>1.5784691784175967E-2</v>
      </c>
      <c r="AN97" s="197" t="e">
        <f t="shared" si="1017"/>
        <v>#REF!</v>
      </c>
      <c r="AO97" s="197" t="e">
        <f t="shared" si="1017"/>
        <v>#REF!</v>
      </c>
      <c r="AP97" s="197" t="e">
        <f t="shared" si="1017"/>
        <v>#REF!</v>
      </c>
      <c r="AQ97" s="197" t="e">
        <f t="shared" si="1017"/>
        <v>#REF!</v>
      </c>
      <c r="AR97" s="197" t="e">
        <f t="shared" si="1017"/>
        <v>#REF!</v>
      </c>
      <c r="AS97" s="197" t="e">
        <f t="shared" si="1017"/>
        <v>#REF!</v>
      </c>
      <c r="AT97" s="197" t="e">
        <f t="shared" si="1017"/>
        <v>#REF!</v>
      </c>
      <c r="AU97" s="197" t="e">
        <f t="shared" si="1017"/>
        <v>#REF!</v>
      </c>
      <c r="AV97" s="197" t="e">
        <f t="shared" si="1017"/>
        <v>#REF!</v>
      </c>
      <c r="AW97" s="197" t="e">
        <f t="shared" si="1017"/>
        <v>#REF!</v>
      </c>
      <c r="AX97" s="198" t="e">
        <f t="shared" si="1017"/>
        <v>#REF!</v>
      </c>
      <c r="AY97" s="197" t="e">
        <f t="shared" si="1017"/>
        <v>#REF!</v>
      </c>
      <c r="AZ97" s="197" t="e">
        <f t="shared" si="1017"/>
        <v>#REF!</v>
      </c>
      <c r="BA97" s="197" t="e">
        <f t="shared" si="1017"/>
        <v>#REF!</v>
      </c>
      <c r="BB97" s="197" t="e">
        <f t="shared" si="1017"/>
        <v>#REF!</v>
      </c>
      <c r="BC97" s="197" t="e">
        <f t="shared" si="1017"/>
        <v>#REF!</v>
      </c>
      <c r="BD97" s="197" t="e">
        <f t="shared" si="1017"/>
        <v>#REF!</v>
      </c>
      <c r="BE97" s="197" t="e">
        <f t="shared" si="1017"/>
        <v>#REF!</v>
      </c>
      <c r="BF97" s="197" t="e">
        <f t="shared" si="1017"/>
        <v>#REF!</v>
      </c>
      <c r="BG97" s="197" t="e">
        <f t="shared" si="1017"/>
        <v>#REF!</v>
      </c>
      <c r="BH97" s="197" t="e">
        <f t="shared" si="1017"/>
        <v>#REF!</v>
      </c>
      <c r="BI97" s="197" t="e">
        <f t="shared" si="1017"/>
        <v>#REF!</v>
      </c>
      <c r="BJ97" s="198" t="e">
        <f t="shared" si="1017"/>
        <v>#REF!</v>
      </c>
    </row>
  </sheetData>
  <conditionalFormatting sqref="C15:BJ17">
    <cfRule type="expression" dxfId="146" priority="70">
      <formula>C$1="SL3"</formula>
    </cfRule>
    <cfRule type="expression" dxfId="145" priority="71">
      <formula>C$1="SL2"</formula>
    </cfRule>
    <cfRule type="expression" dxfId="144" priority="72">
      <formula>C$1="SL1"</formula>
    </cfRule>
  </conditionalFormatting>
  <conditionalFormatting sqref="C20:BJ25">
    <cfRule type="expression" dxfId="143" priority="91">
      <formula>BN$1="SL3"</formula>
    </cfRule>
    <cfRule type="expression" dxfId="142" priority="92">
      <formula>BN$1="SL2"</formula>
    </cfRule>
    <cfRule type="expression" dxfId="141" priority="93">
      <formula>BN$1="SL1"</formula>
    </cfRule>
  </conditionalFormatting>
  <conditionalFormatting sqref="C39:BJ41">
    <cfRule type="expression" dxfId="140" priority="1">
      <formula>C$1="SL3"</formula>
    </cfRule>
    <cfRule type="expression" dxfId="139" priority="2">
      <formula>C$1="SL2"</formula>
    </cfRule>
    <cfRule type="expression" dxfId="138" priority="3">
      <formula>C$1="SL1"</formula>
    </cfRule>
  </conditionalFormatting>
  <conditionalFormatting sqref="C44:BJ49">
    <cfRule type="expression" dxfId="137" priority="82">
      <formula>BN$1="SL3"</formula>
    </cfRule>
    <cfRule type="expression" dxfId="136" priority="83">
      <formula>BN$1="SL2"</formula>
    </cfRule>
    <cfRule type="expression" dxfId="135" priority="84">
      <formula>BN$1="SL1"</formula>
    </cfRule>
  </conditionalFormatting>
  <conditionalFormatting sqref="C63:BJ65">
    <cfRule type="expression" dxfId="134" priority="64">
      <formula>C$1="SL3"</formula>
    </cfRule>
    <cfRule type="expression" dxfId="133" priority="65">
      <formula>C$1="SL2"</formula>
    </cfRule>
    <cfRule type="expression" dxfId="132" priority="66">
      <formula>C$1="SL1"</formula>
    </cfRule>
  </conditionalFormatting>
  <conditionalFormatting sqref="C68:BJ73">
    <cfRule type="expression" dxfId="131" priority="73">
      <formula>BN$1="SL3"</formula>
    </cfRule>
    <cfRule type="expression" dxfId="130" priority="74">
      <formula>BN$1="SL2"</formula>
    </cfRule>
    <cfRule type="expression" dxfId="129" priority="75">
      <formula>BN$1="SL1"</formula>
    </cfRule>
  </conditionalFormatting>
  <conditionalFormatting sqref="C87:BJ89">
    <cfRule type="expression" dxfId="128" priority="4">
      <formula>C$1="SL3"</formula>
    </cfRule>
    <cfRule type="expression" dxfId="127" priority="5">
      <formula>C$1="SL2"</formula>
    </cfRule>
    <cfRule type="expression" dxfId="126" priority="6">
      <formula>C$1="SL1"</formula>
    </cfRule>
  </conditionalFormatting>
  <conditionalFormatting sqref="C92:BJ97">
    <cfRule type="expression" dxfId="125" priority="7">
      <formula>BN$1="SL3"</formula>
    </cfRule>
    <cfRule type="expression" dxfId="124" priority="8">
      <formula>BN$1="SL2"</formula>
    </cfRule>
    <cfRule type="expression" dxfId="123" priority="9">
      <formula>BN$1="SL1"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31"/>
  <sheetViews>
    <sheetView showGridLines="0" workbookViewId="0">
      <pane xSplit="2" ySplit="3" topLeftCell="C27" activePane="bottomRight" state="frozen"/>
      <selection pane="topRight" activeCell="C1" sqref="C1"/>
      <selection pane="bottomLeft" activeCell="A3" sqref="A3"/>
      <selection pane="bottomRight" activeCell="J30" sqref="J30"/>
    </sheetView>
  </sheetViews>
  <sheetFormatPr defaultRowHeight="14.5" x14ac:dyDescent="0.35"/>
  <cols>
    <col min="1" max="1" width="20.54296875" bestFit="1" customWidth="1"/>
    <col min="2" max="2" width="11.1796875" bestFit="1" customWidth="1"/>
    <col min="40" max="62" width="0" hidden="1" customWidth="1"/>
  </cols>
  <sheetData>
    <row r="1" spans="1:62" x14ac:dyDescent="0.35">
      <c r="A1" s="122" t="s">
        <v>117</v>
      </c>
      <c r="C1" s="28" t="str">
        <f>LOOKUP(C3,'Input-Stress Parameters'!$C$9:$BJ$9,'Input-Stress Parameters'!$C$11:$BJ$11)</f>
        <v>N</v>
      </c>
      <c r="D1" s="28" t="str">
        <f>LOOKUP(D3,'Input-Stress Parameters'!$C$9:$BJ$9,'Input-Stress Parameters'!$C$11:$BJ$11)</f>
        <v>SL1</v>
      </c>
      <c r="E1" s="28" t="str">
        <f>LOOKUP(E3,'Input-Stress Parameters'!$C$9:$BJ$9,'Input-Stress Parameters'!$C$11:$BJ$11)</f>
        <v>SL1</v>
      </c>
      <c r="F1" s="28" t="str">
        <f>LOOKUP(F3,'Input-Stress Parameters'!$C$9:$BJ$9,'Input-Stress Parameters'!$C$11:$BJ$11)</f>
        <v>SL1</v>
      </c>
      <c r="G1" s="28" t="str">
        <f>LOOKUP(G3,'Input-Stress Parameters'!$C$9:$BJ$9,'Input-Stress Parameters'!$C$11:$BJ$11)</f>
        <v>SL1</v>
      </c>
      <c r="H1" s="28" t="str">
        <f>LOOKUP(H3,'Input-Stress Parameters'!$C$9:$BJ$9,'Input-Stress Parameters'!$C$11:$BJ$11)</f>
        <v>SL1</v>
      </c>
      <c r="I1" s="28" t="str">
        <f>LOOKUP(I3,'Input-Stress Parameters'!$C$9:$BJ$9,'Input-Stress Parameters'!$C$11:$BJ$11)</f>
        <v>SL1</v>
      </c>
      <c r="J1" s="28" t="str">
        <f>LOOKUP(J3,'Input-Stress Parameters'!$C$9:$BJ$9,'Input-Stress Parameters'!$C$11:$BJ$11)</f>
        <v>SL2</v>
      </c>
      <c r="K1" s="28" t="str">
        <f>LOOKUP(K3,'Input-Stress Parameters'!$C$9:$BJ$9,'Input-Stress Parameters'!$C$11:$BJ$11)</f>
        <v>SL2</v>
      </c>
      <c r="L1" s="28" t="str">
        <f>LOOKUP(L3,'Input-Stress Parameters'!$C$9:$BJ$9,'Input-Stress Parameters'!$C$11:$BJ$11)</f>
        <v>SL2</v>
      </c>
      <c r="M1" s="28" t="str">
        <f>LOOKUP(M3,'Input-Stress Parameters'!$C$9:$BJ$9,'Input-Stress Parameters'!$C$11:$BJ$11)</f>
        <v>SL2</v>
      </c>
      <c r="N1" s="28" t="str">
        <f>LOOKUP(N3,'Input-Stress Parameters'!$C$9:$BJ$9,'Input-Stress Parameters'!$C$11:$BJ$11)</f>
        <v>SL2</v>
      </c>
      <c r="O1" s="28" t="str">
        <f>LOOKUP(O3,'Input-Stress Parameters'!$C$9:$BJ$9,'Input-Stress Parameters'!$C$11:$BJ$11)</f>
        <v>SL2</v>
      </c>
      <c r="P1" s="28" t="str">
        <f>LOOKUP(P3,'Input-Stress Parameters'!$C$9:$BJ$9,'Input-Stress Parameters'!$C$11:$BJ$11)</f>
        <v>SL2</v>
      </c>
      <c r="Q1" s="28" t="str">
        <f>LOOKUP(Q3,'Input-Stress Parameters'!$C$9:$BJ$9,'Input-Stress Parameters'!$C$11:$BJ$11)</f>
        <v>SL2</v>
      </c>
      <c r="R1" s="28" t="str">
        <f>LOOKUP(R3,'Input-Stress Parameters'!$C$9:$BJ$9,'Input-Stress Parameters'!$C$11:$BJ$11)</f>
        <v>SL2</v>
      </c>
      <c r="S1" s="28" t="str">
        <f>LOOKUP(S3,'Input-Stress Parameters'!$C$9:$BJ$9,'Input-Stress Parameters'!$C$11:$BJ$11)</f>
        <v>SL2</v>
      </c>
      <c r="T1" s="28" t="str">
        <f>LOOKUP(T3,'Input-Stress Parameters'!$C$9:$BJ$9,'Input-Stress Parameters'!$C$11:$BJ$11)</f>
        <v>SL2</v>
      </c>
      <c r="U1" s="28" t="str">
        <f>LOOKUP(U3,'Input-Stress Parameters'!$C$9:$BJ$9,'Input-Stress Parameters'!$C$11:$BJ$11)</f>
        <v>SL2</v>
      </c>
      <c r="V1" s="28" t="str">
        <f>LOOKUP(V3,'Input-Stress Parameters'!$C$9:$BJ$9,'Input-Stress Parameters'!$C$11:$BJ$11)</f>
        <v>SL3</v>
      </c>
      <c r="W1" s="28" t="str">
        <f>LOOKUP(W3,'Input-Stress Parameters'!$C$9:$BJ$9,'Input-Stress Parameters'!$C$11:$BJ$11)</f>
        <v>SL3</v>
      </c>
      <c r="X1" s="28" t="str">
        <f>LOOKUP(X3,'Input-Stress Parameters'!$C$9:$BJ$9,'Input-Stress Parameters'!$C$11:$BJ$11)</f>
        <v>SL3</v>
      </c>
      <c r="Y1" s="28" t="str">
        <f>LOOKUP(Y3,'Input-Stress Parameters'!$C$9:$BJ$9,'Input-Stress Parameters'!$C$11:$BJ$11)</f>
        <v>SL3</v>
      </c>
      <c r="Z1" s="28" t="str">
        <f>LOOKUP(Z3,'Input-Stress Parameters'!$C$9:$BJ$9,'Input-Stress Parameters'!$C$11:$BJ$11)</f>
        <v>SL3</v>
      </c>
      <c r="AA1" s="28" t="str">
        <f>LOOKUP(AA3,'Input-Stress Parameters'!$C$9:$BJ$9,'Input-Stress Parameters'!$C$11:$BJ$11)</f>
        <v>SL3</v>
      </c>
      <c r="AB1" s="28" t="str">
        <f>LOOKUP(AB3,'Input-Stress Parameters'!$C$9:$BJ$9,'Input-Stress Parameters'!$C$11:$BJ$11)</f>
        <v>SL3</v>
      </c>
      <c r="AC1" s="28" t="str">
        <f>LOOKUP(AC3,'Input-Stress Parameters'!$C$9:$BJ$9,'Input-Stress Parameters'!$C$11:$BJ$11)</f>
        <v>SL3</v>
      </c>
      <c r="AD1" s="28" t="str">
        <f>LOOKUP(AD3,'Input-Stress Parameters'!$C$9:$BJ$9,'Input-Stress Parameters'!$C$11:$BJ$11)</f>
        <v>SL3</v>
      </c>
      <c r="AE1" s="28" t="str">
        <f>LOOKUP(AE3,'Input-Stress Parameters'!$C$9:$BJ$9,'Input-Stress Parameters'!$C$11:$BJ$11)</f>
        <v>SL3</v>
      </c>
      <c r="AF1" s="28" t="str">
        <f>LOOKUP(AF3,'Input-Stress Parameters'!$C$9:$BJ$9,'Input-Stress Parameters'!$C$11:$BJ$11)</f>
        <v>SL3</v>
      </c>
      <c r="AG1" s="28" t="str">
        <f>LOOKUP(AG3,'Input-Stress Parameters'!$C$9:$BJ$9,'Input-Stress Parameters'!$C$11:$BJ$11)</f>
        <v>SL3</v>
      </c>
      <c r="AH1" s="28" t="str">
        <f>LOOKUP(AH3,'Input-Stress Parameters'!$C$9:$BJ$9,'Input-Stress Parameters'!$C$11:$BJ$11)</f>
        <v>N</v>
      </c>
      <c r="AI1" s="28" t="str">
        <f>LOOKUP(AI3,'Input-Stress Parameters'!$C$9:$BJ$9,'Input-Stress Parameters'!$C$11:$BJ$11)</f>
        <v>N</v>
      </c>
      <c r="AJ1" s="28" t="str">
        <f>LOOKUP(AJ3,'Input-Stress Parameters'!$C$9:$BJ$9,'Input-Stress Parameters'!$C$11:$BJ$11)</f>
        <v>N</v>
      </c>
      <c r="AK1" s="28" t="str">
        <f>LOOKUP(AK3,'Input-Stress Parameters'!$C$9:$BJ$9,'Input-Stress Parameters'!$C$11:$BJ$11)</f>
        <v>N</v>
      </c>
      <c r="AL1" s="28" t="str">
        <f>LOOKUP(AL3,'Input-Stress Parameters'!$C$9:$BJ$9,'Input-Stress Parameters'!$C$11:$BJ$11)</f>
        <v>N</v>
      </c>
      <c r="AM1" s="28" t="str">
        <f>LOOKUP(AM3,'Input-Stress Parameters'!$C$9:$BJ$9,'Input-Stress Parameters'!$C$11:$BJ$11)</f>
        <v>N</v>
      </c>
      <c r="AN1" s="28" t="str">
        <f>LOOKUP(AN3,'Input-Stress Parameters'!$C$9:$BJ$9,'Input-Stress Parameters'!$C$11:$BJ$11)</f>
        <v>N</v>
      </c>
      <c r="AO1" s="28" t="str">
        <f>LOOKUP(AO3,'Input-Stress Parameters'!$C$9:$BJ$9,'Input-Stress Parameters'!$C$11:$BJ$11)</f>
        <v>N</v>
      </c>
      <c r="AP1" s="28" t="str">
        <f>LOOKUP(AP3,'Input-Stress Parameters'!$C$9:$BJ$9,'Input-Stress Parameters'!$C$11:$BJ$11)</f>
        <v>N</v>
      </c>
      <c r="AQ1" s="28" t="str">
        <f>LOOKUP(AQ3,'Input-Stress Parameters'!$C$9:$BJ$9,'Input-Stress Parameters'!$C$11:$BJ$11)</f>
        <v>N</v>
      </c>
      <c r="AR1" s="28" t="str">
        <f>LOOKUP(AR3,'Input-Stress Parameters'!$C$9:$BJ$9,'Input-Stress Parameters'!$C$11:$BJ$11)</f>
        <v>N</v>
      </c>
      <c r="AS1" s="28" t="str">
        <f>LOOKUP(AS3,'Input-Stress Parameters'!$C$9:$BJ$9,'Input-Stress Parameters'!$C$11:$BJ$11)</f>
        <v>N</v>
      </c>
      <c r="AT1" s="28" t="str">
        <f>LOOKUP(AT3,'Input-Stress Parameters'!$C$9:$BJ$9,'Input-Stress Parameters'!$C$11:$BJ$11)</f>
        <v>N</v>
      </c>
      <c r="AU1" s="28" t="str">
        <f>LOOKUP(AU3,'Input-Stress Parameters'!$C$9:$BJ$9,'Input-Stress Parameters'!$C$11:$BJ$11)</f>
        <v>N</v>
      </c>
      <c r="AV1" s="28" t="str">
        <f>LOOKUP(AV3,'Input-Stress Parameters'!$C$9:$BJ$9,'Input-Stress Parameters'!$C$11:$BJ$11)</f>
        <v>N</v>
      </c>
      <c r="AW1" s="28" t="str">
        <f>LOOKUP(AW3,'Input-Stress Parameters'!$C$9:$BJ$9,'Input-Stress Parameters'!$C$11:$BJ$11)</f>
        <v>N</v>
      </c>
      <c r="AX1" s="28" t="str">
        <f>LOOKUP(AX3,'Input-Stress Parameters'!$C$9:$BJ$9,'Input-Stress Parameters'!$C$11:$BJ$11)</f>
        <v>N</v>
      </c>
      <c r="AY1" s="28" t="str">
        <f>LOOKUP(AY3,'Input-Stress Parameters'!$C$9:$BJ$9,'Input-Stress Parameters'!$C$11:$BJ$11)</f>
        <v>N</v>
      </c>
      <c r="AZ1" s="28" t="str">
        <f>LOOKUP(AZ3,'Input-Stress Parameters'!$C$9:$BJ$9,'Input-Stress Parameters'!$C$11:$BJ$11)</f>
        <v>N</v>
      </c>
      <c r="BA1" s="28" t="str">
        <f>LOOKUP(BA3,'Input-Stress Parameters'!$C$9:$BJ$9,'Input-Stress Parameters'!$C$11:$BJ$11)</f>
        <v>N</v>
      </c>
      <c r="BB1" s="28" t="str">
        <f>LOOKUP(BB3,'Input-Stress Parameters'!$C$9:$BJ$9,'Input-Stress Parameters'!$C$11:$BJ$11)</f>
        <v>N</v>
      </c>
      <c r="BC1" s="28" t="str">
        <f>LOOKUP(BC3,'Input-Stress Parameters'!$C$9:$BJ$9,'Input-Stress Parameters'!$C$11:$BJ$11)</f>
        <v>N</v>
      </c>
      <c r="BD1" s="28" t="str">
        <f>LOOKUP(BD3,'Input-Stress Parameters'!$C$9:$BJ$9,'Input-Stress Parameters'!$C$11:$BJ$11)</f>
        <v>N</v>
      </c>
      <c r="BE1" s="28" t="str">
        <f>LOOKUP(BE3,'Input-Stress Parameters'!$C$9:$BJ$9,'Input-Stress Parameters'!$C$11:$BJ$11)</f>
        <v>N</v>
      </c>
      <c r="BF1" s="28" t="str">
        <f>LOOKUP(BF3,'Input-Stress Parameters'!$C$9:$BJ$9,'Input-Stress Parameters'!$C$11:$BJ$11)</f>
        <v>N</v>
      </c>
      <c r="BG1" s="28" t="str">
        <f>LOOKUP(BG3,'Input-Stress Parameters'!$C$9:$BJ$9,'Input-Stress Parameters'!$C$11:$BJ$11)</f>
        <v>N</v>
      </c>
      <c r="BH1" s="28" t="str">
        <f>LOOKUP(BH3,'Input-Stress Parameters'!$C$9:$BJ$9,'Input-Stress Parameters'!$C$11:$BJ$11)</f>
        <v>N</v>
      </c>
      <c r="BI1" s="28" t="str">
        <f>LOOKUP(BI3,'Input-Stress Parameters'!$C$9:$BJ$9,'Input-Stress Parameters'!$C$11:$BJ$11)</f>
        <v>N</v>
      </c>
      <c r="BJ1" s="28" t="str">
        <f>LOOKUP(BJ3,'Input-Stress Parameters'!$C$9:$BJ$9,'Input-Stress Parameters'!$C$11:$BJ$11)</f>
        <v>N</v>
      </c>
    </row>
    <row r="2" spans="1:62" x14ac:dyDescent="0.35">
      <c r="A2" s="122"/>
      <c r="C2" s="28" t="str">
        <f>LOOKUP($C$3:$BJ$3,'Input-Stress Parameters'!$C$27:$BJ$27,'Input-Stress Parameters'!$C$28:$BJ$28)</f>
        <v>N</v>
      </c>
      <c r="D2" s="28" t="str">
        <f>LOOKUP($C$3:$BJ$3,'Input-Stress Parameters'!$C$27:$BJ$27,'Input-Stress Parameters'!$C$28:$BJ$28)</f>
        <v>SL1</v>
      </c>
      <c r="E2" s="28" t="str">
        <f>LOOKUP($C$3:$BJ$3,'Input-Stress Parameters'!$C$27:$BJ$27,'Input-Stress Parameters'!$C$28:$BJ$28)</f>
        <v>SL1</v>
      </c>
      <c r="F2" s="28" t="str">
        <f>LOOKUP($C$3:$BJ$3,'Input-Stress Parameters'!$C$27:$BJ$27,'Input-Stress Parameters'!$C$28:$BJ$28)</f>
        <v>SL1</v>
      </c>
      <c r="G2" s="28" t="str">
        <f>LOOKUP($C$3:$BJ$3,'Input-Stress Parameters'!$C$27:$BJ$27,'Input-Stress Parameters'!$C$28:$BJ$28)</f>
        <v>SL1</v>
      </c>
      <c r="H2" s="28" t="str">
        <f>LOOKUP($C$3:$BJ$3,'Input-Stress Parameters'!$C$27:$BJ$27,'Input-Stress Parameters'!$C$28:$BJ$28)</f>
        <v>SL1</v>
      </c>
      <c r="I2" s="28" t="str">
        <f>LOOKUP($C$3:$BJ$3,'Input-Stress Parameters'!$C$27:$BJ$27,'Input-Stress Parameters'!$C$28:$BJ$28)</f>
        <v>SL1</v>
      </c>
      <c r="J2" s="28" t="str">
        <f>LOOKUP($C$3:$BJ$3,'Input-Stress Parameters'!$C$27:$BJ$27,'Input-Stress Parameters'!$C$28:$BJ$28)</f>
        <v>SL2</v>
      </c>
      <c r="K2" s="28" t="str">
        <f>LOOKUP($C$3:$BJ$3,'Input-Stress Parameters'!$C$27:$BJ$27,'Input-Stress Parameters'!$C$28:$BJ$28)</f>
        <v>SL2</v>
      </c>
      <c r="L2" s="28" t="str">
        <f>LOOKUP($C$3:$BJ$3,'Input-Stress Parameters'!$C$27:$BJ$27,'Input-Stress Parameters'!$C$28:$BJ$28)</f>
        <v>SL2</v>
      </c>
      <c r="M2" s="28" t="str">
        <f>LOOKUP($C$3:$BJ$3,'Input-Stress Parameters'!$C$27:$BJ$27,'Input-Stress Parameters'!$C$28:$BJ$28)</f>
        <v>SL2</v>
      </c>
      <c r="N2" s="28" t="str">
        <f>LOOKUP($C$3:$BJ$3,'Input-Stress Parameters'!$C$27:$BJ$27,'Input-Stress Parameters'!$C$28:$BJ$28)</f>
        <v>SL2</v>
      </c>
      <c r="O2" s="28" t="str">
        <f>LOOKUP($C$3:$BJ$3,'Input-Stress Parameters'!$C$27:$BJ$27,'Input-Stress Parameters'!$C$28:$BJ$28)</f>
        <v>SL2</v>
      </c>
      <c r="P2" s="28" t="str">
        <f>LOOKUP($C$3:$BJ$3,'Input-Stress Parameters'!$C$27:$BJ$27,'Input-Stress Parameters'!$C$28:$BJ$28)</f>
        <v>SL2</v>
      </c>
      <c r="Q2" s="28" t="str">
        <f>LOOKUP($C$3:$BJ$3,'Input-Stress Parameters'!$C$27:$BJ$27,'Input-Stress Parameters'!$C$28:$BJ$28)</f>
        <v>SL2</v>
      </c>
      <c r="R2" s="28" t="str">
        <f>LOOKUP($C$3:$BJ$3,'Input-Stress Parameters'!$C$27:$BJ$27,'Input-Stress Parameters'!$C$28:$BJ$28)</f>
        <v>SL2</v>
      </c>
      <c r="S2" s="28" t="str">
        <f>LOOKUP($C$3:$BJ$3,'Input-Stress Parameters'!$C$27:$BJ$27,'Input-Stress Parameters'!$C$28:$BJ$28)</f>
        <v>SL2</v>
      </c>
      <c r="T2" s="28" t="str">
        <f>LOOKUP($C$3:$BJ$3,'Input-Stress Parameters'!$C$27:$BJ$27,'Input-Stress Parameters'!$C$28:$BJ$28)</f>
        <v>SL2</v>
      </c>
      <c r="U2" s="28" t="str">
        <f>LOOKUP($C$3:$BJ$3,'Input-Stress Parameters'!$C$27:$BJ$27,'Input-Stress Parameters'!$C$28:$BJ$28)</f>
        <v>SL2</v>
      </c>
      <c r="V2" s="28" t="str">
        <f>LOOKUP($C$3:$BJ$3,'Input-Stress Parameters'!$C$27:$BJ$27,'Input-Stress Parameters'!$C$28:$BJ$28)</f>
        <v>SL31</v>
      </c>
      <c r="W2" s="28" t="str">
        <f>LOOKUP($C$3:$BJ$3,'Input-Stress Parameters'!$C$27:$BJ$27,'Input-Stress Parameters'!$C$28:$BJ$28)</f>
        <v>SL31</v>
      </c>
      <c r="X2" s="28" t="str">
        <f>LOOKUP($C$3:$BJ$3,'Input-Stress Parameters'!$C$27:$BJ$27,'Input-Stress Parameters'!$C$28:$BJ$28)</f>
        <v>SL31</v>
      </c>
      <c r="Y2" s="28" t="str">
        <f>LOOKUP($C$3:$BJ$3,'Input-Stress Parameters'!$C$27:$BJ$27,'Input-Stress Parameters'!$C$28:$BJ$28)</f>
        <v>SL31</v>
      </c>
      <c r="Z2" s="28" t="str">
        <f>LOOKUP($C$3:$BJ$3,'Input-Stress Parameters'!$C$27:$BJ$27,'Input-Stress Parameters'!$C$28:$BJ$28)</f>
        <v>SL31</v>
      </c>
      <c r="AA2" s="28" t="str">
        <f>LOOKUP($C$3:$BJ$3,'Input-Stress Parameters'!$C$27:$BJ$27,'Input-Stress Parameters'!$C$28:$BJ$28)</f>
        <v>SL31</v>
      </c>
      <c r="AB2" s="28" t="str">
        <f>LOOKUP($C$3:$BJ$3,'Input-Stress Parameters'!$C$27:$BJ$27,'Input-Stress Parameters'!$C$28:$BJ$28)</f>
        <v>SL32</v>
      </c>
      <c r="AC2" s="28" t="str">
        <f>LOOKUP($C$3:$BJ$3,'Input-Stress Parameters'!$C$27:$BJ$27,'Input-Stress Parameters'!$C$28:$BJ$28)</f>
        <v>SL32</v>
      </c>
      <c r="AD2" s="28" t="str">
        <f>LOOKUP($C$3:$BJ$3,'Input-Stress Parameters'!$C$27:$BJ$27,'Input-Stress Parameters'!$C$28:$BJ$28)</f>
        <v>SL32</v>
      </c>
      <c r="AE2" s="28" t="str">
        <f>LOOKUP($C$3:$BJ$3,'Input-Stress Parameters'!$C$27:$BJ$27,'Input-Stress Parameters'!$C$28:$BJ$28)</f>
        <v>SL32</v>
      </c>
      <c r="AF2" s="28" t="str">
        <f>LOOKUP($C$3:$BJ$3,'Input-Stress Parameters'!$C$27:$BJ$27,'Input-Stress Parameters'!$C$28:$BJ$28)</f>
        <v>SL32</v>
      </c>
      <c r="AG2" s="28" t="str">
        <f>LOOKUP($C$3:$BJ$3,'Input-Stress Parameters'!$C$27:$BJ$27,'Input-Stress Parameters'!$C$28:$BJ$28)</f>
        <v>SL32</v>
      </c>
      <c r="AH2" s="28" t="str">
        <f>LOOKUP($C$3:$BJ$3,'Input-Stress Parameters'!$C$27:$BJ$27,'Input-Stress Parameters'!$C$28:$BJ$28)</f>
        <v>N</v>
      </c>
      <c r="AI2" s="28" t="str">
        <f>LOOKUP($C$3:$BJ$3,'Input-Stress Parameters'!$C$27:$BJ$27,'Input-Stress Parameters'!$C$28:$BJ$28)</f>
        <v>N</v>
      </c>
      <c r="AJ2" s="28" t="str">
        <f>LOOKUP($C$3:$BJ$3,'Input-Stress Parameters'!$C$27:$BJ$27,'Input-Stress Parameters'!$C$28:$BJ$28)</f>
        <v>N</v>
      </c>
      <c r="AK2" s="28" t="str">
        <f>LOOKUP($C$3:$BJ$3,'Input-Stress Parameters'!$C$27:$BJ$27,'Input-Stress Parameters'!$C$28:$BJ$28)</f>
        <v>N</v>
      </c>
      <c r="AL2" s="28" t="str">
        <f>LOOKUP($C$3:$BJ$3,'Input-Stress Parameters'!$C$27:$BJ$27,'Input-Stress Parameters'!$C$28:$BJ$28)</f>
        <v>N</v>
      </c>
      <c r="AM2" s="28" t="str">
        <f>LOOKUP($C$3:$BJ$3,'Input-Stress Parameters'!$C$27:$BJ$27,'Input-Stress Parameters'!$C$28:$BJ$28)</f>
        <v>N</v>
      </c>
      <c r="AN2" s="28" t="str">
        <f>LOOKUP($C$3:$BJ$3,'Input-Stress Parameters'!$C$27:$BJ$27,'Input-Stress Parameters'!$C$28:$BJ$28)</f>
        <v>N</v>
      </c>
      <c r="AO2" s="28" t="str">
        <f>LOOKUP($C$3:$BJ$3,'Input-Stress Parameters'!$C$27:$BJ$27,'Input-Stress Parameters'!$C$28:$BJ$28)</f>
        <v>N</v>
      </c>
      <c r="AP2" s="28" t="str">
        <f>LOOKUP($C$3:$BJ$3,'Input-Stress Parameters'!$C$27:$BJ$27,'Input-Stress Parameters'!$C$28:$BJ$28)</f>
        <v>N</v>
      </c>
      <c r="AQ2" s="28" t="str">
        <f>LOOKUP($C$3:$BJ$3,'Input-Stress Parameters'!$C$27:$BJ$27,'Input-Stress Parameters'!$C$28:$BJ$28)</f>
        <v>N</v>
      </c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</row>
    <row r="3" spans="1:62" x14ac:dyDescent="0.35">
      <c r="A3" s="25" t="s">
        <v>193</v>
      </c>
      <c r="B3" s="4" t="s">
        <v>3</v>
      </c>
      <c r="C3" s="19">
        <f>'Input-Stress Parameters'!C2</f>
        <v>45352</v>
      </c>
      <c r="D3" s="20">
        <f>EDATE(C3,1)</f>
        <v>45383</v>
      </c>
      <c r="E3" s="20">
        <f>EDATE(D3,1)</f>
        <v>45413</v>
      </c>
      <c r="F3" s="20">
        <f>EDATE(E3,1)</f>
        <v>45444</v>
      </c>
      <c r="G3" s="20">
        <f t="shared" ref="G3:BJ3" si="0">EDATE(F3,1)</f>
        <v>45474</v>
      </c>
      <c r="H3" s="20">
        <f t="shared" si="0"/>
        <v>45505</v>
      </c>
      <c r="I3" s="20">
        <f t="shared" si="0"/>
        <v>45536</v>
      </c>
      <c r="J3" s="20">
        <f t="shared" si="0"/>
        <v>45566</v>
      </c>
      <c r="K3" s="20">
        <f t="shared" si="0"/>
        <v>45597</v>
      </c>
      <c r="L3" s="20">
        <f t="shared" si="0"/>
        <v>45627</v>
      </c>
      <c r="M3" s="20">
        <f t="shared" si="0"/>
        <v>45658</v>
      </c>
      <c r="N3" s="20">
        <f t="shared" si="0"/>
        <v>45689</v>
      </c>
      <c r="O3" s="21">
        <f t="shared" si="0"/>
        <v>45717</v>
      </c>
      <c r="P3" s="20">
        <f t="shared" si="0"/>
        <v>45748</v>
      </c>
      <c r="Q3" s="20">
        <f t="shared" si="0"/>
        <v>45778</v>
      </c>
      <c r="R3" s="20">
        <f t="shared" si="0"/>
        <v>45809</v>
      </c>
      <c r="S3" s="20">
        <f t="shared" si="0"/>
        <v>45839</v>
      </c>
      <c r="T3" s="20">
        <f t="shared" si="0"/>
        <v>45870</v>
      </c>
      <c r="U3" s="20">
        <f t="shared" si="0"/>
        <v>45901</v>
      </c>
      <c r="V3" s="20">
        <f t="shared" si="0"/>
        <v>45931</v>
      </c>
      <c r="W3" s="20">
        <f t="shared" si="0"/>
        <v>45962</v>
      </c>
      <c r="X3" s="20">
        <f t="shared" si="0"/>
        <v>45992</v>
      </c>
      <c r="Y3" s="20">
        <f t="shared" si="0"/>
        <v>46023</v>
      </c>
      <c r="Z3" s="20">
        <f t="shared" si="0"/>
        <v>46054</v>
      </c>
      <c r="AA3" s="21">
        <f t="shared" si="0"/>
        <v>46082</v>
      </c>
      <c r="AB3" s="20">
        <f t="shared" si="0"/>
        <v>46113</v>
      </c>
      <c r="AC3" s="20">
        <f t="shared" si="0"/>
        <v>46143</v>
      </c>
      <c r="AD3" s="20">
        <f t="shared" si="0"/>
        <v>46174</v>
      </c>
      <c r="AE3" s="20">
        <f t="shared" si="0"/>
        <v>46204</v>
      </c>
      <c r="AF3" s="20">
        <f t="shared" si="0"/>
        <v>46235</v>
      </c>
      <c r="AG3" s="20">
        <f t="shared" si="0"/>
        <v>46266</v>
      </c>
      <c r="AH3" s="20">
        <f t="shared" si="0"/>
        <v>46296</v>
      </c>
      <c r="AI3" s="20">
        <f t="shared" si="0"/>
        <v>46327</v>
      </c>
      <c r="AJ3" s="20">
        <f t="shared" si="0"/>
        <v>46357</v>
      </c>
      <c r="AK3" s="20">
        <f t="shared" si="0"/>
        <v>46388</v>
      </c>
      <c r="AL3" s="20">
        <f t="shared" si="0"/>
        <v>46419</v>
      </c>
      <c r="AM3" s="21">
        <f t="shared" si="0"/>
        <v>46447</v>
      </c>
      <c r="AN3" s="20">
        <f t="shared" si="0"/>
        <v>46478</v>
      </c>
      <c r="AO3" s="20">
        <f t="shared" si="0"/>
        <v>46508</v>
      </c>
      <c r="AP3" s="20">
        <f t="shared" si="0"/>
        <v>46539</v>
      </c>
      <c r="AQ3" s="20">
        <f t="shared" si="0"/>
        <v>46569</v>
      </c>
      <c r="AR3" s="20">
        <f t="shared" si="0"/>
        <v>46600</v>
      </c>
      <c r="AS3" s="20">
        <f t="shared" si="0"/>
        <v>46631</v>
      </c>
      <c r="AT3" s="20">
        <f t="shared" si="0"/>
        <v>46661</v>
      </c>
      <c r="AU3" s="20">
        <f t="shared" si="0"/>
        <v>46692</v>
      </c>
      <c r="AV3" s="20">
        <f t="shared" si="0"/>
        <v>46722</v>
      </c>
      <c r="AW3" s="20">
        <f t="shared" si="0"/>
        <v>46753</v>
      </c>
      <c r="AX3" s="21">
        <f t="shared" si="0"/>
        <v>46784</v>
      </c>
      <c r="AY3" s="20">
        <f t="shared" si="0"/>
        <v>46813</v>
      </c>
      <c r="AZ3" s="20">
        <f t="shared" si="0"/>
        <v>46844</v>
      </c>
      <c r="BA3" s="20">
        <f t="shared" si="0"/>
        <v>46874</v>
      </c>
      <c r="BB3" s="20">
        <f t="shared" si="0"/>
        <v>46905</v>
      </c>
      <c r="BC3" s="20">
        <f t="shared" si="0"/>
        <v>46935</v>
      </c>
      <c r="BD3" s="20">
        <f t="shared" si="0"/>
        <v>46966</v>
      </c>
      <c r="BE3" s="20">
        <f t="shared" si="0"/>
        <v>46997</v>
      </c>
      <c r="BF3" s="20">
        <f t="shared" si="0"/>
        <v>47027</v>
      </c>
      <c r="BG3" s="20">
        <f t="shared" si="0"/>
        <v>47058</v>
      </c>
      <c r="BH3" s="20">
        <f t="shared" si="0"/>
        <v>47088</v>
      </c>
      <c r="BI3" s="20">
        <f t="shared" si="0"/>
        <v>47119</v>
      </c>
      <c r="BJ3" s="21">
        <f t="shared" si="0"/>
        <v>47150</v>
      </c>
    </row>
    <row r="4" spans="1:62" x14ac:dyDescent="0.35">
      <c r="A4" s="15" t="s">
        <v>193</v>
      </c>
      <c r="B4" s="15" t="s">
        <v>188</v>
      </c>
      <c r="C4" s="16">
        <f>SUM(C5:C7)</f>
        <v>1487.6655342739648</v>
      </c>
      <c r="D4" s="17">
        <f t="shared" ref="D4:BJ4" si="1">SUM(D5:D7)</f>
        <v>1503.3148321236697</v>
      </c>
      <c r="E4" s="17">
        <f t="shared" si="1"/>
        <v>1531.3693461793864</v>
      </c>
      <c r="F4" s="17">
        <f t="shared" si="1"/>
        <v>1550.9181100218555</v>
      </c>
      <c r="G4" s="17">
        <f t="shared" si="1"/>
        <v>1573.5846640884834</v>
      </c>
      <c r="H4" s="17">
        <f t="shared" si="1"/>
        <v>1601.6234953603941</v>
      </c>
      <c r="I4" s="17">
        <f t="shared" si="1"/>
        <v>1625.7097062862867</v>
      </c>
      <c r="J4" s="17">
        <f t="shared" si="1"/>
        <v>1644.1528398064095</v>
      </c>
      <c r="K4" s="17">
        <f t="shared" si="1"/>
        <v>1671.4799471391179</v>
      </c>
      <c r="L4" s="17">
        <f t="shared" si="1"/>
        <v>1675.3012126780141</v>
      </c>
      <c r="M4" s="17">
        <f t="shared" si="1"/>
        <v>1691.9374317709098</v>
      </c>
      <c r="N4" s="17">
        <f t="shared" si="1"/>
        <v>1706.1619368821073</v>
      </c>
      <c r="O4" s="18">
        <f t="shared" si="1"/>
        <v>1700.1574642873293</v>
      </c>
      <c r="P4" s="17">
        <f t="shared" si="1"/>
        <v>1732.151325353808</v>
      </c>
      <c r="Q4" s="17">
        <f t="shared" si="1"/>
        <v>1763.4599776808709</v>
      </c>
      <c r="R4" s="17">
        <f t="shared" si="1"/>
        <v>1779.6640226070849</v>
      </c>
      <c r="S4" s="17">
        <f t="shared" si="1"/>
        <v>1786.547547229545</v>
      </c>
      <c r="T4" s="17">
        <f t="shared" si="1"/>
        <v>1817.9366336420962</v>
      </c>
      <c r="U4" s="17">
        <f t="shared" si="1"/>
        <v>1839.1188104748812</v>
      </c>
      <c r="V4" s="17">
        <f t="shared" si="1"/>
        <v>1874.8449476632297</v>
      </c>
      <c r="W4" s="17">
        <f t="shared" si="1"/>
        <v>1908.6766400854069</v>
      </c>
      <c r="X4" s="17">
        <f t="shared" si="1"/>
        <v>1931.4468611139619</v>
      </c>
      <c r="Y4" s="17">
        <f t="shared" si="1"/>
        <v>1965.9365070706247</v>
      </c>
      <c r="Z4" s="17">
        <f t="shared" si="1"/>
        <v>1987.5952711592497</v>
      </c>
      <c r="AA4" s="18">
        <f t="shared" si="1"/>
        <v>2017.8866326384987</v>
      </c>
      <c r="AB4" s="17">
        <f t="shared" si="1"/>
        <v>2036.9079047440609</v>
      </c>
      <c r="AC4" s="17">
        <f t="shared" si="1"/>
        <v>2086.2021214685115</v>
      </c>
      <c r="AD4" s="17">
        <f t="shared" si="1"/>
        <v>2115.2444092207393</v>
      </c>
      <c r="AE4" s="17">
        <f t="shared" si="1"/>
        <v>2148.1259165076276</v>
      </c>
      <c r="AF4" s="17">
        <f t="shared" si="1"/>
        <v>2187.0520496132262</v>
      </c>
      <c r="AG4" s="17">
        <f t="shared" si="1"/>
        <v>2218.3763313981422</v>
      </c>
      <c r="AH4" s="17">
        <f t="shared" si="1"/>
        <v>2250.3521616339467</v>
      </c>
      <c r="AI4" s="17">
        <f t="shared" si="1"/>
        <v>2287.8424239176629</v>
      </c>
      <c r="AJ4" s="17">
        <f t="shared" si="1"/>
        <v>2314.2760192788951</v>
      </c>
      <c r="AK4" s="17">
        <f t="shared" si="1"/>
        <v>2351.019085582876</v>
      </c>
      <c r="AL4" s="17">
        <f t="shared" si="1"/>
        <v>2372.4832228795913</v>
      </c>
      <c r="AM4" s="18">
        <f t="shared" si="1"/>
        <v>2411.468607162943</v>
      </c>
      <c r="AN4" s="17" t="e">
        <f t="shared" si="1"/>
        <v>#DIV/0!</v>
      </c>
      <c r="AO4" s="17" t="e">
        <f t="shared" si="1"/>
        <v>#DIV/0!</v>
      </c>
      <c r="AP4" s="17" t="e">
        <f t="shared" si="1"/>
        <v>#DIV/0!</v>
      </c>
      <c r="AQ4" s="17" t="e">
        <f t="shared" si="1"/>
        <v>#DIV/0!</v>
      </c>
      <c r="AR4" s="17" t="e">
        <f t="shared" si="1"/>
        <v>#DIV/0!</v>
      </c>
      <c r="AS4" s="17" t="e">
        <f t="shared" si="1"/>
        <v>#DIV/0!</v>
      </c>
      <c r="AT4" s="17" t="e">
        <f t="shared" si="1"/>
        <v>#DIV/0!</v>
      </c>
      <c r="AU4" s="17" t="e">
        <f t="shared" si="1"/>
        <v>#DIV/0!</v>
      </c>
      <c r="AV4" s="17" t="e">
        <f t="shared" si="1"/>
        <v>#DIV/0!</v>
      </c>
      <c r="AW4" s="17" t="e">
        <f t="shared" si="1"/>
        <v>#DIV/0!</v>
      </c>
      <c r="AX4" s="18" t="e">
        <f t="shared" si="1"/>
        <v>#DIV/0!</v>
      </c>
      <c r="AY4" s="17" t="e">
        <f t="shared" si="1"/>
        <v>#DIV/0!</v>
      </c>
      <c r="AZ4" s="17" t="e">
        <f t="shared" si="1"/>
        <v>#DIV/0!</v>
      </c>
      <c r="BA4" s="17" t="e">
        <f t="shared" si="1"/>
        <v>#DIV/0!</v>
      </c>
      <c r="BB4" s="17" t="e">
        <f t="shared" si="1"/>
        <v>#DIV/0!</v>
      </c>
      <c r="BC4" s="17" t="e">
        <f t="shared" si="1"/>
        <v>#DIV/0!</v>
      </c>
      <c r="BD4" s="17" t="e">
        <f t="shared" si="1"/>
        <v>#DIV/0!</v>
      </c>
      <c r="BE4" s="17" t="e">
        <f t="shared" si="1"/>
        <v>#DIV/0!</v>
      </c>
      <c r="BF4" s="17" t="e">
        <f t="shared" si="1"/>
        <v>#DIV/0!</v>
      </c>
      <c r="BG4" s="17" t="e">
        <f t="shared" si="1"/>
        <v>#DIV/0!</v>
      </c>
      <c r="BH4" s="17" t="e">
        <f t="shared" si="1"/>
        <v>#DIV/0!</v>
      </c>
      <c r="BI4" s="17" t="e">
        <f t="shared" si="1"/>
        <v>#DIV/0!</v>
      </c>
      <c r="BJ4" s="18" t="e">
        <f t="shared" si="1"/>
        <v>#DIV/0!</v>
      </c>
    </row>
    <row r="5" spans="1:62" x14ac:dyDescent="0.35">
      <c r="A5" s="1" t="s">
        <v>193</v>
      </c>
      <c r="B5" s="1" t="s">
        <v>157</v>
      </c>
      <c r="C5" s="251">
        <v>907.44038769530005</v>
      </c>
      <c r="D5" s="44">
        <v>917.51188835820528</v>
      </c>
      <c r="E5" s="44">
        <v>937.83747510090473</v>
      </c>
      <c r="F5" s="44">
        <v>958.66877312529664</v>
      </c>
      <c r="G5" s="44">
        <v>975.89784333854845</v>
      </c>
      <c r="H5" s="44">
        <v>997.06894915678049</v>
      </c>
      <c r="I5" s="44">
        <v>1023.3865129416214</v>
      </c>
      <c r="J5" s="44">
        <v>1037.3877801006538</v>
      </c>
      <c r="K5" s="44">
        <v>1058.2383308553722</v>
      </c>
      <c r="L5" s="44">
        <v>1080.7872189769309</v>
      </c>
      <c r="M5" s="44">
        <v>1102.5091593940747</v>
      </c>
      <c r="N5" s="44">
        <v>1124.8494241992514</v>
      </c>
      <c r="O5" s="45">
        <v>1120.6285781506899</v>
      </c>
      <c r="P5" s="44">
        <v>1148.28847775233</v>
      </c>
      <c r="Q5" s="44">
        <v>1174.4871626712386</v>
      </c>
      <c r="R5" s="44">
        <v>1201.7544238717378</v>
      </c>
      <c r="S5" s="44">
        <v>1201.73426463442</v>
      </c>
      <c r="T5" s="44">
        <v>1226.5973238989855</v>
      </c>
      <c r="U5" s="44">
        <v>1254.1957182322933</v>
      </c>
      <c r="V5" s="44">
        <v>1279.2971851667903</v>
      </c>
      <c r="W5" s="44">
        <v>1301.944469823321</v>
      </c>
      <c r="X5" s="44">
        <v>1328.9407166695539</v>
      </c>
      <c r="Y5" s="44">
        <v>1352.6173080352141</v>
      </c>
      <c r="Z5" s="44">
        <v>1378.2596200794253</v>
      </c>
      <c r="AA5" s="45">
        <v>1392.7474739969948</v>
      </c>
      <c r="AB5" s="44">
        <v>1403.9136340399248</v>
      </c>
      <c r="AC5" s="44">
        <v>1443.0816064227515</v>
      </c>
      <c r="AD5" s="44">
        <v>1477.6189387889353</v>
      </c>
      <c r="AE5" s="44">
        <v>1500.5650544974465</v>
      </c>
      <c r="AF5" s="44">
        <v>1525.993708060669</v>
      </c>
      <c r="AG5" s="44">
        <v>1557.3342233119074</v>
      </c>
      <c r="AH5" s="44">
        <v>1577.4365989831313</v>
      </c>
      <c r="AI5" s="44">
        <v>1602.3559426162656</v>
      </c>
      <c r="AJ5" s="44">
        <v>1629.0269861694494</v>
      </c>
      <c r="AK5" s="44">
        <v>1651.419043889241</v>
      </c>
      <c r="AL5" s="44">
        <v>1673.7324147968247</v>
      </c>
      <c r="AM5" s="45">
        <v>1694.6282963714011</v>
      </c>
      <c r="AN5" s="44" t="e">
        <f>'Input - ENR'!AN4*AN11/'Input - ENR'!AN10</f>
        <v>#DIV/0!</v>
      </c>
      <c r="AO5" s="44" t="e">
        <f>'Input - ENR'!AO4*AO11/'Input - ENR'!AO10</f>
        <v>#DIV/0!</v>
      </c>
      <c r="AP5" s="44" t="e">
        <f>'Input - ENR'!AP4*AP11/'Input - ENR'!AP10</f>
        <v>#DIV/0!</v>
      </c>
      <c r="AQ5" s="44" t="e">
        <f>'Input - ENR'!AQ4*AQ11/'Input - ENR'!AQ10</f>
        <v>#DIV/0!</v>
      </c>
      <c r="AR5" s="44" t="e">
        <f>'Input - ENR'!AR4*AR11/'Input - ENR'!AR10</f>
        <v>#DIV/0!</v>
      </c>
      <c r="AS5" s="44" t="e">
        <f>'Input - ENR'!AS4*AS11/'Input - ENR'!AS10</f>
        <v>#DIV/0!</v>
      </c>
      <c r="AT5" s="44" t="e">
        <f>'Input - ENR'!AT4*AT11/'Input - ENR'!AT10</f>
        <v>#DIV/0!</v>
      </c>
      <c r="AU5" s="44" t="e">
        <f>'Input - ENR'!AU4*AU11/'Input - ENR'!AU10</f>
        <v>#DIV/0!</v>
      </c>
      <c r="AV5" s="44" t="e">
        <f>'Input - ENR'!AV4*AV11/'Input - ENR'!AV10</f>
        <v>#DIV/0!</v>
      </c>
      <c r="AW5" s="44" t="e">
        <f>'Input - ENR'!AW4*AW11/'Input - ENR'!AW10</f>
        <v>#DIV/0!</v>
      </c>
      <c r="AX5" s="45" t="e">
        <f>'Input - ENR'!AX4*AX11/'Input - ENR'!AX10</f>
        <v>#DIV/0!</v>
      </c>
      <c r="AY5" s="44" t="e">
        <f>'Input - ENR'!AY4*AY11/'Input - ENR'!AY10</f>
        <v>#DIV/0!</v>
      </c>
      <c r="AZ5" s="44" t="e">
        <f>'Input - ENR'!AZ4*AZ11/'Input - ENR'!AZ10</f>
        <v>#DIV/0!</v>
      </c>
      <c r="BA5" s="44" t="e">
        <f>'Input - ENR'!BA4*BA11/'Input - ENR'!BA10</f>
        <v>#DIV/0!</v>
      </c>
      <c r="BB5" s="44" t="e">
        <f>'Input - ENR'!BB4*BB11/'Input - ENR'!BB10</f>
        <v>#DIV/0!</v>
      </c>
      <c r="BC5" s="44" t="e">
        <f>'Input - ENR'!BC4*BC11/'Input - ENR'!BC10</f>
        <v>#DIV/0!</v>
      </c>
      <c r="BD5" s="44" t="e">
        <f>'Input - ENR'!BD4*BD11/'Input - ENR'!BD10</f>
        <v>#DIV/0!</v>
      </c>
      <c r="BE5" s="44" t="e">
        <f>'Input - ENR'!BE4*BE11/'Input - ENR'!BE10</f>
        <v>#DIV/0!</v>
      </c>
      <c r="BF5" s="44" t="e">
        <f>'Input - ENR'!BF4*BF11/'Input - ENR'!BF10</f>
        <v>#DIV/0!</v>
      </c>
      <c r="BG5" s="44" t="e">
        <f>'Input - ENR'!BG4*BG11/'Input - ENR'!BG10</f>
        <v>#DIV/0!</v>
      </c>
      <c r="BH5" s="44" t="e">
        <f>'Input - ENR'!BH4*BH11/'Input - ENR'!BH10</f>
        <v>#DIV/0!</v>
      </c>
      <c r="BI5" s="44" t="e">
        <f>'Input - ENR'!BI4*BI11/'Input - ENR'!BI10</f>
        <v>#DIV/0!</v>
      </c>
      <c r="BJ5" s="45" t="e">
        <f>'Input - ENR'!BJ4*BJ11/'Input - ENR'!BJ10</f>
        <v>#DIV/0!</v>
      </c>
    </row>
    <row r="6" spans="1:62" x14ac:dyDescent="0.35">
      <c r="A6" s="2" t="s">
        <v>193</v>
      </c>
      <c r="B6" s="2" t="s">
        <v>158</v>
      </c>
      <c r="C6" s="249">
        <v>498.84429181541651</v>
      </c>
      <c r="D6" s="47">
        <v>504.77160089794216</v>
      </c>
      <c r="E6" s="47">
        <v>512.32337552415197</v>
      </c>
      <c r="F6" s="47">
        <v>510.37084555438872</v>
      </c>
      <c r="G6" s="47">
        <v>514.42503027490216</v>
      </c>
      <c r="H6" s="47">
        <v>519.2419603482075</v>
      </c>
      <c r="I6" s="47">
        <v>514.58729107582644</v>
      </c>
      <c r="J6" s="47">
        <v>516.25724264185385</v>
      </c>
      <c r="K6" s="47">
        <v>520.13989196140108</v>
      </c>
      <c r="L6" s="47">
        <v>498.48071878538798</v>
      </c>
      <c r="M6" s="47">
        <v>490.14748639932822</v>
      </c>
      <c r="N6" s="47">
        <v>478.74065537453276</v>
      </c>
      <c r="O6" s="48">
        <v>471.60831644185129</v>
      </c>
      <c r="P6" s="47">
        <v>477.23979472921815</v>
      </c>
      <c r="Q6" s="47">
        <v>482.97569856373184</v>
      </c>
      <c r="R6" s="47">
        <v>471.90996604209732</v>
      </c>
      <c r="S6" s="47">
        <v>477.92891105239778</v>
      </c>
      <c r="T6" s="47">
        <v>482.74463154655029</v>
      </c>
      <c r="U6" s="47">
        <v>474.1396841769639</v>
      </c>
      <c r="V6" s="47">
        <v>482.12792485149959</v>
      </c>
      <c r="W6" s="47">
        <v>490.84520995004937</v>
      </c>
      <c r="X6" s="47">
        <v>483.72223965526655</v>
      </c>
      <c r="Y6" s="47">
        <v>491.23613036660385</v>
      </c>
      <c r="Z6" s="47">
        <v>483.87115702146184</v>
      </c>
      <c r="AA6" s="48">
        <v>493.86323586475118</v>
      </c>
      <c r="AB6" s="47">
        <v>503.7593755091587</v>
      </c>
      <c r="AC6" s="47">
        <v>515.12328348175515</v>
      </c>
      <c r="AD6" s="47">
        <v>510.11412918060591</v>
      </c>
      <c r="AE6" s="47">
        <v>519.49576896722454</v>
      </c>
      <c r="AF6" s="47">
        <v>531.46661861710868</v>
      </c>
      <c r="AG6" s="47">
        <v>529.34950005197106</v>
      </c>
      <c r="AH6" s="47">
        <v>538.5846919798214</v>
      </c>
      <c r="AI6" s="47">
        <v>548.68677262164408</v>
      </c>
      <c r="AJ6" s="47">
        <v>545.46673817754345</v>
      </c>
      <c r="AK6" s="47">
        <v>556.35440428290883</v>
      </c>
      <c r="AL6" s="47">
        <v>551.92809165197946</v>
      </c>
      <c r="AM6" s="48">
        <v>563.64491189363196</v>
      </c>
      <c r="AN6" s="47" t="e">
        <f>'Input - ENR'!AN5*AN12/'Input - ENR'!AN11</f>
        <v>#DIV/0!</v>
      </c>
      <c r="AO6" s="47" t="e">
        <f>'Input - ENR'!AO5*AO12/'Input - ENR'!AO11</f>
        <v>#DIV/0!</v>
      </c>
      <c r="AP6" s="47" t="e">
        <f>'Input - ENR'!AP5*AP12/'Input - ENR'!AP11</f>
        <v>#DIV/0!</v>
      </c>
      <c r="AQ6" s="47" t="e">
        <f>'Input - ENR'!AQ5*AQ12/'Input - ENR'!AQ11</f>
        <v>#DIV/0!</v>
      </c>
      <c r="AR6" s="47" t="e">
        <f>'Input - ENR'!AR5*AR12/'Input - ENR'!AR11</f>
        <v>#DIV/0!</v>
      </c>
      <c r="AS6" s="47" t="e">
        <f>'Input - ENR'!AS5*AS12/'Input - ENR'!AS11</f>
        <v>#DIV/0!</v>
      </c>
      <c r="AT6" s="47" t="e">
        <f>'Input - ENR'!AT5*AT12/'Input - ENR'!AT11</f>
        <v>#DIV/0!</v>
      </c>
      <c r="AU6" s="47" t="e">
        <f>'Input - ENR'!AU5*AU12/'Input - ENR'!AU11</f>
        <v>#DIV/0!</v>
      </c>
      <c r="AV6" s="47" t="e">
        <f>'Input - ENR'!AV5*AV12/'Input - ENR'!AV11</f>
        <v>#DIV/0!</v>
      </c>
      <c r="AW6" s="47" t="e">
        <f>'Input - ENR'!AW5*AW12/'Input - ENR'!AW11</f>
        <v>#DIV/0!</v>
      </c>
      <c r="AX6" s="48" t="e">
        <f>'Input - ENR'!AX5*AX12/'Input - ENR'!AX11</f>
        <v>#DIV/0!</v>
      </c>
      <c r="AY6" s="47" t="e">
        <f>'Input - ENR'!AY5*AY12/'Input - ENR'!AY11</f>
        <v>#DIV/0!</v>
      </c>
      <c r="AZ6" s="47" t="e">
        <f>'Input - ENR'!AZ5*AZ12/'Input - ENR'!AZ11</f>
        <v>#DIV/0!</v>
      </c>
      <c r="BA6" s="47" t="e">
        <f>'Input - ENR'!BA5*BA12/'Input - ENR'!BA11</f>
        <v>#DIV/0!</v>
      </c>
      <c r="BB6" s="47" t="e">
        <f>'Input - ENR'!BB5*BB12/'Input - ENR'!BB11</f>
        <v>#DIV/0!</v>
      </c>
      <c r="BC6" s="47" t="e">
        <f>'Input - ENR'!BC5*BC12/'Input - ENR'!BC11</f>
        <v>#DIV/0!</v>
      </c>
      <c r="BD6" s="47" t="e">
        <f>'Input - ENR'!BD5*BD12/'Input - ENR'!BD11</f>
        <v>#DIV/0!</v>
      </c>
      <c r="BE6" s="47" t="e">
        <f>'Input - ENR'!BE5*BE12/'Input - ENR'!BE11</f>
        <v>#DIV/0!</v>
      </c>
      <c r="BF6" s="47" t="e">
        <f>'Input - ENR'!BF5*BF12/'Input - ENR'!BF11</f>
        <v>#DIV/0!</v>
      </c>
      <c r="BG6" s="47" t="e">
        <f>'Input - ENR'!BG5*BG12/'Input - ENR'!BG11</f>
        <v>#DIV/0!</v>
      </c>
      <c r="BH6" s="47" t="e">
        <f>'Input - ENR'!BH5*BH12/'Input - ENR'!BH11</f>
        <v>#DIV/0!</v>
      </c>
      <c r="BI6" s="47" t="e">
        <f>'Input - ENR'!BI5*BI12/'Input - ENR'!BI11</f>
        <v>#DIV/0!</v>
      </c>
      <c r="BJ6" s="48" t="e">
        <f>'Input - ENR'!BJ5*BJ12/'Input - ENR'!BJ11</f>
        <v>#DIV/0!</v>
      </c>
    </row>
    <row r="7" spans="1:62" x14ac:dyDescent="0.35">
      <c r="A7" s="3" t="s">
        <v>193</v>
      </c>
      <c r="B7" s="3" t="s">
        <v>159</v>
      </c>
      <c r="C7" s="250">
        <v>81.380854763248266</v>
      </c>
      <c r="D7" s="50">
        <v>81.031342867522184</v>
      </c>
      <c r="E7" s="50">
        <v>81.208495554329616</v>
      </c>
      <c r="F7" s="50">
        <v>81.878491342170136</v>
      </c>
      <c r="G7" s="50">
        <v>83.261790475032683</v>
      </c>
      <c r="H7" s="50">
        <v>85.312585855405942</v>
      </c>
      <c r="I7" s="50">
        <v>87.735902268838771</v>
      </c>
      <c r="J7" s="50">
        <v>90.507817063901854</v>
      </c>
      <c r="K7" s="50">
        <v>93.101724322344552</v>
      </c>
      <c r="L7" s="50">
        <v>96.033274915695145</v>
      </c>
      <c r="M7" s="50">
        <v>99.280785977506852</v>
      </c>
      <c r="N7" s="50">
        <v>102.5718573083232</v>
      </c>
      <c r="O7" s="51">
        <v>107.92056969478813</v>
      </c>
      <c r="P7" s="50">
        <v>106.62305287225985</v>
      </c>
      <c r="Q7" s="50">
        <v>105.99711644590046</v>
      </c>
      <c r="R7" s="50">
        <v>105.99963269324982</v>
      </c>
      <c r="S7" s="50">
        <v>106.88437154272712</v>
      </c>
      <c r="T7" s="50">
        <v>108.59467819656031</v>
      </c>
      <c r="U7" s="50">
        <v>110.78340806562396</v>
      </c>
      <c r="V7" s="50">
        <v>113.41983764493988</v>
      </c>
      <c r="W7" s="50">
        <v>115.88696031203651</v>
      </c>
      <c r="X7" s="50">
        <v>118.78390478914149</v>
      </c>
      <c r="Y7" s="50">
        <v>122.08306866880658</v>
      </c>
      <c r="Z7" s="50">
        <v>125.46449405836246</v>
      </c>
      <c r="AA7" s="51">
        <v>131.27592277675274</v>
      </c>
      <c r="AB7" s="50">
        <v>129.23489519497761</v>
      </c>
      <c r="AC7" s="50">
        <v>127.99723156400486</v>
      </c>
      <c r="AD7" s="50">
        <v>127.51134125119799</v>
      </c>
      <c r="AE7" s="50">
        <v>128.06509304295665</v>
      </c>
      <c r="AF7" s="50">
        <v>129.59172293544853</v>
      </c>
      <c r="AG7" s="50">
        <v>131.69260803426388</v>
      </c>
      <c r="AH7" s="50">
        <v>134.33087067099422</v>
      </c>
      <c r="AI7" s="50">
        <v>136.79970867975317</v>
      </c>
      <c r="AJ7" s="50">
        <v>139.78229493190187</v>
      </c>
      <c r="AK7" s="50">
        <v>143.24563741072618</v>
      </c>
      <c r="AL7" s="50">
        <v>146.82271643078732</v>
      </c>
      <c r="AM7" s="51">
        <v>153.19539889790977</v>
      </c>
      <c r="AN7" s="50">
        <f>IFERROR('Input - ENR'!AN18*AN13/'Input - ENR'!AN12,0)</f>
        <v>0</v>
      </c>
      <c r="AO7" s="50">
        <f>IFERROR('Input - ENR'!AO18*AO13/'Input - ENR'!AO12,0)</f>
        <v>0</v>
      </c>
      <c r="AP7" s="50">
        <f>IFERROR('Input - ENR'!AP18*AP13/'Input - ENR'!AP12,0)</f>
        <v>0</v>
      </c>
      <c r="AQ7" s="50">
        <f>IFERROR('Input - ENR'!AQ18*AQ13/'Input - ENR'!AQ12,0)</f>
        <v>0</v>
      </c>
      <c r="AR7" s="50">
        <f>IFERROR('Input - ENR'!AR18*AR13/'Input - ENR'!AR12,0)</f>
        <v>0</v>
      </c>
      <c r="AS7" s="50">
        <f>IFERROR('Input - ENR'!AS18*AS13/'Input - ENR'!AS12,0)</f>
        <v>0</v>
      </c>
      <c r="AT7" s="50">
        <f>IFERROR('Input - ENR'!AT18*AT13/'Input - ENR'!AT12,0)</f>
        <v>0</v>
      </c>
      <c r="AU7" s="50">
        <f>IFERROR('Input - ENR'!AU18*AU13/'Input - ENR'!AU12,0)</f>
        <v>0</v>
      </c>
      <c r="AV7" s="50">
        <f>IFERROR('Input - ENR'!AV18*AV13/'Input - ENR'!AV12,0)</f>
        <v>0</v>
      </c>
      <c r="AW7" s="50">
        <f>IFERROR('Input - ENR'!AW18*AW13/'Input - ENR'!AW12,0)</f>
        <v>0</v>
      </c>
      <c r="AX7" s="51">
        <f>IFERROR('Input - ENR'!AX18*AX13/'Input - ENR'!AX12,0)</f>
        <v>0</v>
      </c>
      <c r="AY7" s="50">
        <f>IFERROR('Input - ENR'!AY18*AY13/'Input - ENR'!AY12,0)</f>
        <v>0</v>
      </c>
      <c r="AZ7" s="50">
        <f>IFERROR('Input - ENR'!AZ18*AZ13/'Input - ENR'!AZ12,0)</f>
        <v>0</v>
      </c>
      <c r="BA7" s="50">
        <f>IFERROR('Input - ENR'!BA18*BA13/'Input - ENR'!BA12,0)</f>
        <v>0</v>
      </c>
      <c r="BB7" s="50">
        <f>IFERROR('Input - ENR'!BB18*BB13/'Input - ENR'!BB12,0)</f>
        <v>0</v>
      </c>
      <c r="BC7" s="50">
        <f>IFERROR('Input - ENR'!BC18*BC13/'Input - ENR'!BC12,0)</f>
        <v>0</v>
      </c>
      <c r="BD7" s="50">
        <f>IFERROR('Input - ENR'!BD18*BD13/'Input - ENR'!BD12,0)</f>
        <v>0</v>
      </c>
      <c r="BE7" s="50">
        <f>IFERROR('Input - ENR'!BE18*BE13/'Input - ENR'!BE12,0)</f>
        <v>0</v>
      </c>
      <c r="BF7" s="50">
        <f>IFERROR('Input - ENR'!BF18*BF13/'Input - ENR'!BF12,0)</f>
        <v>0</v>
      </c>
      <c r="BG7" s="50">
        <f>IFERROR('Input - ENR'!BG18*BG13/'Input - ENR'!BG12,0)</f>
        <v>0</v>
      </c>
      <c r="BH7" s="50">
        <f>IFERROR('Input - ENR'!BH18*BH13/'Input - ENR'!BH12,0)</f>
        <v>0</v>
      </c>
      <c r="BI7" s="50">
        <f>IFERROR('Input - ENR'!BI18*BI13/'Input - ENR'!BI12,0)</f>
        <v>0</v>
      </c>
      <c r="BJ7" s="51">
        <f>IFERROR('Input - ENR'!BJ18*BJ13/'Input - ENR'!BJ12,0)</f>
        <v>0</v>
      </c>
    </row>
    <row r="9" spans="1:62" x14ac:dyDescent="0.35">
      <c r="A9" s="25" t="s">
        <v>194</v>
      </c>
      <c r="B9" s="4" t="s">
        <v>3</v>
      </c>
      <c r="C9" s="19">
        <f>$C$3</f>
        <v>45352</v>
      </c>
      <c r="D9" s="20">
        <f>EDATE(C9,1)</f>
        <v>45383</v>
      </c>
      <c r="E9" s="20">
        <f>EDATE(D9,1)</f>
        <v>45413</v>
      </c>
      <c r="F9" s="20">
        <f>EDATE(E9,1)</f>
        <v>45444</v>
      </c>
      <c r="G9" s="20">
        <f t="shared" ref="G9:BJ9" si="2">EDATE(F9,1)</f>
        <v>45474</v>
      </c>
      <c r="H9" s="20">
        <f t="shared" si="2"/>
        <v>45505</v>
      </c>
      <c r="I9" s="20">
        <f t="shared" si="2"/>
        <v>45536</v>
      </c>
      <c r="J9" s="20">
        <f t="shared" si="2"/>
        <v>45566</v>
      </c>
      <c r="K9" s="20">
        <f t="shared" si="2"/>
        <v>45597</v>
      </c>
      <c r="L9" s="20">
        <f t="shared" si="2"/>
        <v>45627</v>
      </c>
      <c r="M9" s="20">
        <f t="shared" si="2"/>
        <v>45658</v>
      </c>
      <c r="N9" s="20">
        <f t="shared" si="2"/>
        <v>45689</v>
      </c>
      <c r="O9" s="21">
        <f t="shared" si="2"/>
        <v>45717</v>
      </c>
      <c r="P9" s="20">
        <f t="shared" si="2"/>
        <v>45748</v>
      </c>
      <c r="Q9" s="20">
        <f t="shared" si="2"/>
        <v>45778</v>
      </c>
      <c r="R9" s="20">
        <f t="shared" si="2"/>
        <v>45809</v>
      </c>
      <c r="S9" s="20">
        <f t="shared" si="2"/>
        <v>45839</v>
      </c>
      <c r="T9" s="20">
        <f t="shared" si="2"/>
        <v>45870</v>
      </c>
      <c r="U9" s="20">
        <f t="shared" si="2"/>
        <v>45901</v>
      </c>
      <c r="V9" s="20">
        <f t="shared" si="2"/>
        <v>45931</v>
      </c>
      <c r="W9" s="20">
        <f t="shared" si="2"/>
        <v>45962</v>
      </c>
      <c r="X9" s="20">
        <f t="shared" si="2"/>
        <v>45992</v>
      </c>
      <c r="Y9" s="20">
        <f t="shared" si="2"/>
        <v>46023</v>
      </c>
      <c r="Z9" s="20">
        <f t="shared" si="2"/>
        <v>46054</v>
      </c>
      <c r="AA9" s="21">
        <f t="shared" si="2"/>
        <v>46082</v>
      </c>
      <c r="AB9" s="20">
        <f t="shared" si="2"/>
        <v>46113</v>
      </c>
      <c r="AC9" s="20">
        <f t="shared" si="2"/>
        <v>46143</v>
      </c>
      <c r="AD9" s="20">
        <f t="shared" si="2"/>
        <v>46174</v>
      </c>
      <c r="AE9" s="20">
        <f t="shared" si="2"/>
        <v>46204</v>
      </c>
      <c r="AF9" s="20">
        <f t="shared" si="2"/>
        <v>46235</v>
      </c>
      <c r="AG9" s="20">
        <f t="shared" si="2"/>
        <v>46266</v>
      </c>
      <c r="AH9" s="20">
        <f t="shared" si="2"/>
        <v>46296</v>
      </c>
      <c r="AI9" s="20">
        <f t="shared" si="2"/>
        <v>46327</v>
      </c>
      <c r="AJ9" s="20">
        <f t="shared" si="2"/>
        <v>46357</v>
      </c>
      <c r="AK9" s="20">
        <f t="shared" si="2"/>
        <v>46388</v>
      </c>
      <c r="AL9" s="20">
        <f t="shared" si="2"/>
        <v>46419</v>
      </c>
      <c r="AM9" s="21">
        <f t="shared" si="2"/>
        <v>46447</v>
      </c>
      <c r="AN9" s="20">
        <f t="shared" si="2"/>
        <v>46478</v>
      </c>
      <c r="AO9" s="20">
        <f t="shared" si="2"/>
        <v>46508</v>
      </c>
      <c r="AP9" s="20">
        <f t="shared" si="2"/>
        <v>46539</v>
      </c>
      <c r="AQ9" s="20">
        <f t="shared" si="2"/>
        <v>46569</v>
      </c>
      <c r="AR9" s="20">
        <f t="shared" si="2"/>
        <v>46600</v>
      </c>
      <c r="AS9" s="20">
        <f t="shared" si="2"/>
        <v>46631</v>
      </c>
      <c r="AT9" s="20">
        <f t="shared" si="2"/>
        <v>46661</v>
      </c>
      <c r="AU9" s="20">
        <f t="shared" si="2"/>
        <v>46692</v>
      </c>
      <c r="AV9" s="20">
        <f t="shared" si="2"/>
        <v>46722</v>
      </c>
      <c r="AW9" s="20">
        <f t="shared" si="2"/>
        <v>46753</v>
      </c>
      <c r="AX9" s="21">
        <f t="shared" si="2"/>
        <v>46784</v>
      </c>
      <c r="AY9" s="20">
        <f t="shared" si="2"/>
        <v>46813</v>
      </c>
      <c r="AZ9" s="20">
        <f t="shared" si="2"/>
        <v>46844</v>
      </c>
      <c r="BA9" s="20">
        <f t="shared" si="2"/>
        <v>46874</v>
      </c>
      <c r="BB9" s="20">
        <f t="shared" si="2"/>
        <v>46905</v>
      </c>
      <c r="BC9" s="20">
        <f t="shared" si="2"/>
        <v>46935</v>
      </c>
      <c r="BD9" s="20">
        <f t="shared" si="2"/>
        <v>46966</v>
      </c>
      <c r="BE9" s="20">
        <f t="shared" si="2"/>
        <v>46997</v>
      </c>
      <c r="BF9" s="20">
        <f t="shared" si="2"/>
        <v>47027</v>
      </c>
      <c r="BG9" s="20">
        <f t="shared" si="2"/>
        <v>47058</v>
      </c>
      <c r="BH9" s="20">
        <f t="shared" si="2"/>
        <v>47088</v>
      </c>
      <c r="BI9" s="20">
        <f t="shared" si="2"/>
        <v>47119</v>
      </c>
      <c r="BJ9" s="21">
        <f t="shared" si="2"/>
        <v>47150</v>
      </c>
    </row>
    <row r="10" spans="1:62" x14ac:dyDescent="0.35">
      <c r="A10" s="15" t="s">
        <v>194</v>
      </c>
      <c r="B10" s="15" t="s">
        <v>188</v>
      </c>
      <c r="C10" s="16">
        <f>SUM(C11:C13)</f>
        <v>180.93665133446015</v>
      </c>
      <c r="D10" s="17">
        <f t="shared" ref="D10:BJ10" si="3">SUM(D11:D13)</f>
        <v>175.8359445247554</v>
      </c>
      <c r="E10" s="17">
        <f t="shared" si="3"/>
        <v>174.26936287871285</v>
      </c>
      <c r="F10" s="17">
        <f t="shared" si="3"/>
        <v>172.8391887436307</v>
      </c>
      <c r="G10" s="17">
        <f t="shared" si="3"/>
        <v>172.18710501792162</v>
      </c>
      <c r="H10" s="17">
        <f t="shared" si="3"/>
        <v>169.40537519732234</v>
      </c>
      <c r="I10" s="17">
        <f t="shared" si="3"/>
        <v>167.03446886283172</v>
      </c>
      <c r="J10" s="17">
        <f t="shared" si="3"/>
        <v>157.44569227759217</v>
      </c>
      <c r="K10" s="17">
        <f t="shared" si="3"/>
        <v>156.14459652501057</v>
      </c>
      <c r="L10" s="17">
        <f t="shared" si="3"/>
        <v>151.90597819700054</v>
      </c>
      <c r="M10" s="17">
        <f t="shared" si="3"/>
        <v>141.67519821864565</v>
      </c>
      <c r="N10" s="17">
        <f t="shared" si="3"/>
        <v>140.21312464838238</v>
      </c>
      <c r="O10" s="18">
        <f t="shared" si="3"/>
        <v>139.11765863238341</v>
      </c>
      <c r="P10" s="17">
        <f t="shared" si="3"/>
        <v>137.64166483842442</v>
      </c>
      <c r="Q10" s="17">
        <f t="shared" si="3"/>
        <v>134.76386694611941</v>
      </c>
      <c r="R10" s="17">
        <f t="shared" si="3"/>
        <v>132.53994059608794</v>
      </c>
      <c r="S10" s="17">
        <f t="shared" si="3"/>
        <v>124.20676770787533</v>
      </c>
      <c r="T10" s="17">
        <f t="shared" si="3"/>
        <v>121.0332571067255</v>
      </c>
      <c r="U10" s="17">
        <f t="shared" si="3"/>
        <v>114.51103362133033</v>
      </c>
      <c r="V10" s="17">
        <f t="shared" si="3"/>
        <v>113.10872429706919</v>
      </c>
      <c r="W10" s="17">
        <f t="shared" si="3"/>
        <v>111.03615430485091</v>
      </c>
      <c r="X10" s="17">
        <f t="shared" si="3"/>
        <v>106.90618398868021</v>
      </c>
      <c r="Y10" s="17">
        <f t="shared" si="3"/>
        <v>105.53897758108296</v>
      </c>
      <c r="Z10" s="17">
        <f t="shared" si="3"/>
        <v>102.49896476264432</v>
      </c>
      <c r="AA10" s="18">
        <f t="shared" si="3"/>
        <v>100.84594831674514</v>
      </c>
      <c r="AB10" s="17">
        <f t="shared" si="3"/>
        <v>92.14226917829339</v>
      </c>
      <c r="AC10" s="17">
        <f t="shared" si="3"/>
        <v>90.831630826675649</v>
      </c>
      <c r="AD10" s="17">
        <f t="shared" si="3"/>
        <v>88.636049671706076</v>
      </c>
      <c r="AE10" s="17">
        <f t="shared" si="3"/>
        <v>85.69582792341663</v>
      </c>
      <c r="AF10" s="17">
        <f t="shared" si="3"/>
        <v>79.558182140454676</v>
      </c>
      <c r="AG10" s="17">
        <f t="shared" si="3"/>
        <v>75.47528919764278</v>
      </c>
      <c r="AH10" s="17">
        <f t="shared" si="3"/>
        <v>72.162826818216914</v>
      </c>
      <c r="AI10" s="17">
        <f t="shared" si="3"/>
        <v>67.698230255922496</v>
      </c>
      <c r="AJ10" s="17">
        <f t="shared" si="3"/>
        <v>62.828204068870271</v>
      </c>
      <c r="AK10" s="17">
        <f t="shared" si="3"/>
        <v>57.78491523542526</v>
      </c>
      <c r="AL10" s="17">
        <f t="shared" si="3"/>
        <v>53.91713091824117</v>
      </c>
      <c r="AM10" s="18">
        <f t="shared" si="3"/>
        <v>52.108517854285594</v>
      </c>
      <c r="AN10" s="17">
        <f t="shared" si="3"/>
        <v>0</v>
      </c>
      <c r="AO10" s="17">
        <f t="shared" si="3"/>
        <v>0</v>
      </c>
      <c r="AP10" s="17">
        <f t="shared" si="3"/>
        <v>0</v>
      </c>
      <c r="AQ10" s="17">
        <f t="shared" si="3"/>
        <v>0</v>
      </c>
      <c r="AR10" s="17">
        <f t="shared" si="3"/>
        <v>0</v>
      </c>
      <c r="AS10" s="17">
        <f t="shared" si="3"/>
        <v>0</v>
      </c>
      <c r="AT10" s="17">
        <f t="shared" si="3"/>
        <v>0</v>
      </c>
      <c r="AU10" s="17">
        <f t="shared" si="3"/>
        <v>0</v>
      </c>
      <c r="AV10" s="17">
        <f t="shared" si="3"/>
        <v>0</v>
      </c>
      <c r="AW10" s="17">
        <f t="shared" si="3"/>
        <v>0</v>
      </c>
      <c r="AX10" s="18">
        <f t="shared" si="3"/>
        <v>0</v>
      </c>
      <c r="AY10" s="17">
        <f t="shared" si="3"/>
        <v>0</v>
      </c>
      <c r="AZ10" s="17">
        <f t="shared" si="3"/>
        <v>0</v>
      </c>
      <c r="BA10" s="17">
        <f t="shared" si="3"/>
        <v>0</v>
      </c>
      <c r="BB10" s="17">
        <f t="shared" si="3"/>
        <v>0</v>
      </c>
      <c r="BC10" s="17">
        <f t="shared" si="3"/>
        <v>0</v>
      </c>
      <c r="BD10" s="17">
        <f t="shared" si="3"/>
        <v>0</v>
      </c>
      <c r="BE10" s="17">
        <f t="shared" si="3"/>
        <v>0</v>
      </c>
      <c r="BF10" s="17">
        <f t="shared" si="3"/>
        <v>0</v>
      </c>
      <c r="BG10" s="17">
        <f t="shared" si="3"/>
        <v>0</v>
      </c>
      <c r="BH10" s="17">
        <f t="shared" si="3"/>
        <v>0</v>
      </c>
      <c r="BI10" s="17">
        <f t="shared" si="3"/>
        <v>0</v>
      </c>
      <c r="BJ10" s="18">
        <f t="shared" si="3"/>
        <v>0</v>
      </c>
    </row>
    <row r="11" spans="1:62" x14ac:dyDescent="0.35">
      <c r="A11" s="1" t="s">
        <v>194</v>
      </c>
      <c r="B11" s="1" t="s">
        <v>157</v>
      </c>
      <c r="C11" s="52">
        <v>113.63738036913716</v>
      </c>
      <c r="D11" s="53">
        <v>108.30207205902809</v>
      </c>
      <c r="E11" s="53">
        <v>108.09806701297288</v>
      </c>
      <c r="F11" s="53">
        <v>106.76678354389114</v>
      </c>
      <c r="G11" s="53">
        <v>106.29418818951201</v>
      </c>
      <c r="H11" s="53">
        <v>104.54814903151336</v>
      </c>
      <c r="I11" s="53">
        <v>103.0323144762155</v>
      </c>
      <c r="J11" s="53">
        <v>97.09014114801893</v>
      </c>
      <c r="K11" s="53">
        <v>95.993894314332977</v>
      </c>
      <c r="L11" s="53">
        <v>95.133157610587119</v>
      </c>
      <c r="M11" s="53">
        <v>93.236248004493717</v>
      </c>
      <c r="N11" s="53">
        <v>91.799779482132436</v>
      </c>
      <c r="O11" s="54">
        <v>90.882577698344079</v>
      </c>
      <c r="P11" s="53">
        <v>89.965236348597216</v>
      </c>
      <c r="Q11" s="53">
        <v>88.764346271123415</v>
      </c>
      <c r="R11" s="53">
        <v>87.574541735752362</v>
      </c>
      <c r="S11" s="53">
        <v>79.833053589307724</v>
      </c>
      <c r="T11" s="53">
        <v>77.24788084153289</v>
      </c>
      <c r="U11" s="53">
        <v>73.517524577910308</v>
      </c>
      <c r="V11" s="53">
        <v>72.702891129293377</v>
      </c>
      <c r="W11" s="53">
        <v>71.216395413091931</v>
      </c>
      <c r="X11" s="53">
        <v>70.45486372717761</v>
      </c>
      <c r="Y11" s="53">
        <v>69.720909202383638</v>
      </c>
      <c r="Z11" s="53">
        <v>69.014766724865666</v>
      </c>
      <c r="AA11" s="54">
        <v>67.932474158945141</v>
      </c>
      <c r="AB11" s="53">
        <v>60.260343652280021</v>
      </c>
      <c r="AC11" s="53">
        <v>59.636694438305717</v>
      </c>
      <c r="AD11" s="53">
        <v>57.993351682672483</v>
      </c>
      <c r="AE11" s="53">
        <v>55.938511095979237</v>
      </c>
      <c r="AF11" s="53">
        <v>51.508500077635418</v>
      </c>
      <c r="AG11" s="53">
        <v>48.270846156417583</v>
      </c>
      <c r="AH11" s="53">
        <v>46.457671828281178</v>
      </c>
      <c r="AI11" s="53">
        <v>43.601674874830181</v>
      </c>
      <c r="AJ11" s="53">
        <v>41.317151350904737</v>
      </c>
      <c r="AK11" s="53">
        <v>35.987569500983106</v>
      </c>
      <c r="AL11" s="53">
        <v>32.636023575982783</v>
      </c>
      <c r="AM11" s="54">
        <v>31.332841481116013</v>
      </c>
      <c r="AN11" s="53">
        <f>'Plan - CoC'!AN4-'Plan - CoC'!AN10</f>
        <v>0</v>
      </c>
      <c r="AO11" s="53">
        <f>'Plan - CoC'!AO4-'Plan - CoC'!AO10</f>
        <v>0</v>
      </c>
      <c r="AP11" s="53">
        <f>'Plan - CoC'!AP4-'Plan - CoC'!AP10</f>
        <v>0</v>
      </c>
      <c r="AQ11" s="53">
        <f>'Plan - CoC'!AQ4-'Plan - CoC'!AQ10</f>
        <v>0</v>
      </c>
      <c r="AR11" s="53">
        <f>'Plan - CoC'!AR4-'Plan - CoC'!AR10</f>
        <v>0</v>
      </c>
      <c r="AS11" s="53">
        <f>'Plan - CoC'!AS4-'Plan - CoC'!AS10</f>
        <v>0</v>
      </c>
      <c r="AT11" s="53">
        <f>'Plan - CoC'!AT4-'Plan - CoC'!AT10</f>
        <v>0</v>
      </c>
      <c r="AU11" s="53">
        <f>'Plan - CoC'!AU4-'Plan - CoC'!AU10</f>
        <v>0</v>
      </c>
      <c r="AV11" s="53">
        <f>'Plan - CoC'!AV4-'Plan - CoC'!AV10</f>
        <v>0</v>
      </c>
      <c r="AW11" s="53">
        <f>'Plan - CoC'!AW4-'Plan - CoC'!AW10</f>
        <v>0</v>
      </c>
      <c r="AX11" s="54">
        <f>'Plan - CoC'!AX4-'Plan - CoC'!AX10</f>
        <v>0</v>
      </c>
      <c r="AY11" s="53">
        <f>'Plan - CoC'!AY4-'Plan - CoC'!AY10</f>
        <v>0</v>
      </c>
      <c r="AZ11" s="53">
        <f>'Plan - CoC'!AZ4-'Plan - CoC'!AZ10</f>
        <v>0</v>
      </c>
      <c r="BA11" s="53">
        <f>'Plan - CoC'!BA4-'Plan - CoC'!BA10</f>
        <v>0</v>
      </c>
      <c r="BB11" s="53">
        <f>'Plan - CoC'!BB4-'Plan - CoC'!BB10</f>
        <v>0</v>
      </c>
      <c r="BC11" s="53">
        <f>'Plan - CoC'!BC4-'Plan - CoC'!BC10</f>
        <v>0</v>
      </c>
      <c r="BD11" s="53">
        <f>'Plan - CoC'!BD4-'Plan - CoC'!BD10</f>
        <v>0</v>
      </c>
      <c r="BE11" s="53">
        <f>'Plan - CoC'!BE4-'Plan - CoC'!BE10</f>
        <v>0</v>
      </c>
      <c r="BF11" s="53">
        <f>'Plan - CoC'!BF4-'Plan - CoC'!BF10</f>
        <v>0</v>
      </c>
      <c r="BG11" s="53">
        <f>'Plan - CoC'!BG4-'Plan - CoC'!BG10</f>
        <v>0</v>
      </c>
      <c r="BH11" s="53">
        <f>'Plan - CoC'!BH4-'Plan - CoC'!BH10</f>
        <v>0</v>
      </c>
      <c r="BI11" s="53">
        <f>'Plan - CoC'!BI4-'Plan - CoC'!BI10</f>
        <v>0</v>
      </c>
      <c r="BJ11" s="54">
        <f>'Plan - CoC'!BJ4-'Plan - CoC'!BJ10</f>
        <v>0</v>
      </c>
    </row>
    <row r="12" spans="1:62" x14ac:dyDescent="0.35">
      <c r="A12" s="2" t="s">
        <v>194</v>
      </c>
      <c r="B12" s="2" t="s">
        <v>158</v>
      </c>
      <c r="C12" s="55">
        <v>65.586836649228303</v>
      </c>
      <c r="D12" s="56">
        <v>65.821438149632641</v>
      </c>
      <c r="E12" s="56">
        <v>64.458861549645277</v>
      </c>
      <c r="F12" s="56">
        <v>64.359970883644877</v>
      </c>
      <c r="G12" s="56">
        <v>64.180482512314939</v>
      </c>
      <c r="H12" s="56">
        <v>63.144791849714295</v>
      </c>
      <c r="I12" s="56">
        <v>62.289720070521533</v>
      </c>
      <c r="J12" s="56">
        <v>58.643116813478542</v>
      </c>
      <c r="K12" s="56">
        <v>58.438267894582921</v>
      </c>
      <c r="L12" s="56">
        <v>55.060386270318716</v>
      </c>
      <c r="M12" s="56">
        <v>46.726515898057251</v>
      </c>
      <c r="N12" s="56">
        <v>46.70091085015526</v>
      </c>
      <c r="O12" s="57">
        <v>46.522646617944652</v>
      </c>
      <c r="P12" s="56">
        <v>45.963994173732516</v>
      </c>
      <c r="Q12" s="56">
        <v>44.287086358901306</v>
      </c>
      <c r="R12" s="56">
        <v>43.252964544240882</v>
      </c>
      <c r="S12" s="56">
        <v>42.661279802472919</v>
      </c>
      <c r="T12" s="56">
        <v>42.072941949097924</v>
      </c>
      <c r="U12" s="56">
        <v>39.281074727325333</v>
      </c>
      <c r="V12" s="56">
        <v>38.693398851681124</v>
      </c>
      <c r="W12" s="56">
        <v>38.107324575664293</v>
      </c>
      <c r="X12" s="56">
        <v>34.738885945407915</v>
      </c>
      <c r="Y12" s="56">
        <v>34.105634062604636</v>
      </c>
      <c r="Z12" s="56">
        <v>31.771763721683971</v>
      </c>
      <c r="AA12" s="57">
        <v>31.201039841705303</v>
      </c>
      <c r="AB12" s="56">
        <v>30.169491209918689</v>
      </c>
      <c r="AC12" s="56">
        <v>29.482502072275246</v>
      </c>
      <c r="AD12" s="56">
        <v>28.930263672938906</v>
      </c>
      <c r="AE12" s="56">
        <v>28.044882511342706</v>
      </c>
      <c r="AF12" s="56">
        <v>26.337247746724564</v>
      </c>
      <c r="AG12" s="56">
        <v>25.492008725130511</v>
      </c>
      <c r="AH12" s="56">
        <v>23.992720673841049</v>
      </c>
      <c r="AI12" s="56">
        <v>22.384121064997633</v>
      </c>
      <c r="AJ12" s="56">
        <v>19.798618401870847</v>
      </c>
      <c r="AK12" s="56">
        <v>20.084911418347467</v>
      </c>
      <c r="AL12" s="56">
        <v>19.568673026163697</v>
      </c>
      <c r="AM12" s="57">
        <v>19.063242057074891</v>
      </c>
      <c r="AN12" s="56">
        <f>'Plan - CoC'!AN5-'Plan - CoC'!AN11</f>
        <v>0</v>
      </c>
      <c r="AO12" s="56">
        <f>'Plan - CoC'!AO5-'Plan - CoC'!AO11</f>
        <v>0</v>
      </c>
      <c r="AP12" s="56">
        <f>'Plan - CoC'!AP5-'Plan - CoC'!AP11</f>
        <v>0</v>
      </c>
      <c r="AQ12" s="56">
        <f>'Plan - CoC'!AQ5-'Plan - CoC'!AQ11</f>
        <v>0</v>
      </c>
      <c r="AR12" s="56">
        <f>'Plan - CoC'!AR5-'Plan - CoC'!AR11</f>
        <v>0</v>
      </c>
      <c r="AS12" s="56">
        <f>'Plan - CoC'!AS5-'Plan - CoC'!AS11</f>
        <v>0</v>
      </c>
      <c r="AT12" s="56">
        <f>'Plan - CoC'!AT5-'Plan - CoC'!AT11</f>
        <v>0</v>
      </c>
      <c r="AU12" s="56">
        <f>'Plan - CoC'!AU5-'Plan - CoC'!AU11</f>
        <v>0</v>
      </c>
      <c r="AV12" s="56">
        <f>'Plan - CoC'!AV5-'Plan - CoC'!AV11</f>
        <v>0</v>
      </c>
      <c r="AW12" s="56">
        <f>'Plan - CoC'!AW5-'Plan - CoC'!AW11</f>
        <v>0</v>
      </c>
      <c r="AX12" s="57">
        <f>'Plan - CoC'!AX5-'Plan - CoC'!AX11</f>
        <v>0</v>
      </c>
      <c r="AY12" s="56">
        <f>'Plan - CoC'!AY5-'Plan - CoC'!AY11</f>
        <v>0</v>
      </c>
      <c r="AZ12" s="56">
        <f>'Plan - CoC'!AZ5-'Plan - CoC'!AZ11</f>
        <v>0</v>
      </c>
      <c r="BA12" s="56">
        <f>'Plan - CoC'!BA5-'Plan - CoC'!BA11</f>
        <v>0</v>
      </c>
      <c r="BB12" s="56">
        <f>'Plan - CoC'!BB5-'Plan - CoC'!BB11</f>
        <v>0</v>
      </c>
      <c r="BC12" s="56">
        <f>'Plan - CoC'!BC5-'Plan - CoC'!BC11</f>
        <v>0</v>
      </c>
      <c r="BD12" s="56">
        <f>'Plan - CoC'!BD5-'Plan - CoC'!BD11</f>
        <v>0</v>
      </c>
      <c r="BE12" s="56">
        <f>'Plan - CoC'!BE5-'Plan - CoC'!BE11</f>
        <v>0</v>
      </c>
      <c r="BF12" s="56">
        <f>'Plan - CoC'!BF5-'Plan - CoC'!BF11</f>
        <v>0</v>
      </c>
      <c r="BG12" s="56">
        <f>'Plan - CoC'!BG5-'Plan - CoC'!BG11</f>
        <v>0</v>
      </c>
      <c r="BH12" s="56">
        <f>'Plan - CoC'!BH5-'Plan - CoC'!BH11</f>
        <v>0</v>
      </c>
      <c r="BI12" s="56">
        <f>'Plan - CoC'!BI5-'Plan - CoC'!BI11</f>
        <v>0</v>
      </c>
      <c r="BJ12" s="57">
        <f>'Plan - CoC'!BJ5-'Plan - CoC'!BJ11</f>
        <v>0</v>
      </c>
    </row>
    <row r="13" spans="1:62" x14ac:dyDescent="0.35">
      <c r="A13" s="3" t="s">
        <v>194</v>
      </c>
      <c r="B13" s="3" t="s">
        <v>159</v>
      </c>
      <c r="C13" s="58">
        <v>1.7124343160946849</v>
      </c>
      <c r="D13" s="59">
        <v>1.7124343160946849</v>
      </c>
      <c r="E13" s="59">
        <v>1.7124343160946849</v>
      </c>
      <c r="F13" s="59">
        <v>1.7124343160946849</v>
      </c>
      <c r="G13" s="59">
        <v>1.7124343160946849</v>
      </c>
      <c r="H13" s="59">
        <v>1.7124343160946849</v>
      </c>
      <c r="I13" s="59">
        <v>1.7124343160946849</v>
      </c>
      <c r="J13" s="59">
        <v>1.7124343160946849</v>
      </c>
      <c r="K13" s="59">
        <v>1.7124343160946849</v>
      </c>
      <c r="L13" s="59">
        <v>1.7124343160946849</v>
      </c>
      <c r="M13" s="59">
        <v>1.7124343160946849</v>
      </c>
      <c r="N13" s="59">
        <v>1.7124343160946849</v>
      </c>
      <c r="O13" s="60">
        <v>1.7124343160946849</v>
      </c>
      <c r="P13" s="59">
        <v>1.7124343160946849</v>
      </c>
      <c r="Q13" s="59">
        <v>1.7124343160946849</v>
      </c>
      <c r="R13" s="59">
        <v>1.7124343160946849</v>
      </c>
      <c r="S13" s="59">
        <v>1.7124343160946849</v>
      </c>
      <c r="T13" s="59">
        <v>1.7124343160946849</v>
      </c>
      <c r="U13" s="59">
        <v>1.7124343160946849</v>
      </c>
      <c r="V13" s="59">
        <v>1.7124343160946849</v>
      </c>
      <c r="W13" s="59">
        <v>1.7124343160946849</v>
      </c>
      <c r="X13" s="59">
        <v>1.7124343160946849</v>
      </c>
      <c r="Y13" s="59">
        <v>1.7124343160946849</v>
      </c>
      <c r="Z13" s="59">
        <v>1.7124343160946849</v>
      </c>
      <c r="AA13" s="60">
        <v>1.7124343160946849</v>
      </c>
      <c r="AB13" s="59">
        <v>1.7124343160946849</v>
      </c>
      <c r="AC13" s="59">
        <v>1.7124343160946849</v>
      </c>
      <c r="AD13" s="59">
        <v>1.7124343160946849</v>
      </c>
      <c r="AE13" s="59">
        <v>1.7124343160946849</v>
      </c>
      <c r="AF13" s="59">
        <v>1.7124343160946849</v>
      </c>
      <c r="AG13" s="59">
        <v>1.7124343160946849</v>
      </c>
      <c r="AH13" s="59">
        <v>1.7124343160946849</v>
      </c>
      <c r="AI13" s="59">
        <v>1.7124343160946849</v>
      </c>
      <c r="AJ13" s="59">
        <v>1.7124343160946849</v>
      </c>
      <c r="AK13" s="59">
        <v>1.7124343160946849</v>
      </c>
      <c r="AL13" s="59">
        <v>1.7124343160946849</v>
      </c>
      <c r="AM13" s="60">
        <v>1.7124343160946849</v>
      </c>
      <c r="AN13" s="59">
        <f>'Plan - CoC'!AN6-'Plan - CoC'!AN12</f>
        <v>0</v>
      </c>
      <c r="AO13" s="59">
        <f>'Plan - CoC'!AO6-'Plan - CoC'!AO12</f>
        <v>0</v>
      </c>
      <c r="AP13" s="59">
        <f>'Plan - CoC'!AP6-'Plan - CoC'!AP12</f>
        <v>0</v>
      </c>
      <c r="AQ13" s="59">
        <f>'Plan - CoC'!AQ6-'Plan - CoC'!AQ12</f>
        <v>0</v>
      </c>
      <c r="AR13" s="59">
        <f>'Plan - CoC'!AR6-'Plan - CoC'!AR12</f>
        <v>0</v>
      </c>
      <c r="AS13" s="59">
        <f>'Plan - CoC'!AS6-'Plan - CoC'!AS12</f>
        <v>0</v>
      </c>
      <c r="AT13" s="59">
        <f>'Plan - CoC'!AT6-'Plan - CoC'!AT12</f>
        <v>0</v>
      </c>
      <c r="AU13" s="59">
        <f>'Plan - CoC'!AU6-'Plan - CoC'!AU12</f>
        <v>0</v>
      </c>
      <c r="AV13" s="59">
        <f>'Plan - CoC'!AV6-'Plan - CoC'!AV12</f>
        <v>0</v>
      </c>
      <c r="AW13" s="59">
        <f>'Plan - CoC'!AW6-'Plan - CoC'!AW12</f>
        <v>0</v>
      </c>
      <c r="AX13" s="60">
        <f>'Plan - CoC'!AX6-'Plan - CoC'!AX12</f>
        <v>0</v>
      </c>
      <c r="AY13" s="59">
        <f>'Plan - CoC'!AY6-'Plan - CoC'!AY12</f>
        <v>0</v>
      </c>
      <c r="AZ13" s="59">
        <f>'Plan - CoC'!AZ6-'Plan - CoC'!AZ12</f>
        <v>0</v>
      </c>
      <c r="BA13" s="59">
        <f>'Plan - CoC'!BA6-'Plan - CoC'!BA12</f>
        <v>0</v>
      </c>
      <c r="BB13" s="59">
        <f>'Plan - CoC'!BB6-'Plan - CoC'!BB12</f>
        <v>0</v>
      </c>
      <c r="BC13" s="59">
        <f>'Plan - CoC'!BC6-'Plan - CoC'!BC12</f>
        <v>0</v>
      </c>
      <c r="BD13" s="59">
        <f>'Plan - CoC'!BD6-'Plan - CoC'!BD12</f>
        <v>0</v>
      </c>
      <c r="BE13" s="59">
        <f>'Plan - CoC'!BE6-'Plan - CoC'!BE12</f>
        <v>0</v>
      </c>
      <c r="BF13" s="59">
        <f>'Plan - CoC'!BF6-'Plan - CoC'!BF12</f>
        <v>0</v>
      </c>
      <c r="BG13" s="59">
        <f>'Plan - CoC'!BG6-'Plan - CoC'!BG12</f>
        <v>0</v>
      </c>
      <c r="BH13" s="59">
        <f>'Plan - CoC'!BH6-'Plan - CoC'!BH12</f>
        <v>0</v>
      </c>
      <c r="BI13" s="59">
        <f>'Plan - CoC'!BI6-'Plan - CoC'!BI12</f>
        <v>0</v>
      </c>
      <c r="BJ13" s="60">
        <f>'Plan - CoC'!BJ6-'Plan - CoC'!BJ12</f>
        <v>0</v>
      </c>
    </row>
    <row r="14" spans="1:62" x14ac:dyDescent="0.35">
      <c r="O14" s="231"/>
    </row>
    <row r="15" spans="1:62" x14ac:dyDescent="0.35">
      <c r="A15" s="25" t="s">
        <v>196</v>
      </c>
      <c r="B15" s="4" t="s">
        <v>3</v>
      </c>
      <c r="C15" s="19">
        <f>$C$3</f>
        <v>45352</v>
      </c>
      <c r="D15" s="20">
        <f>EDATE(C15,1)</f>
        <v>45383</v>
      </c>
      <c r="E15" s="20">
        <f>EDATE(D15,1)</f>
        <v>45413</v>
      </c>
      <c r="F15" s="20">
        <f>EDATE(E15,1)</f>
        <v>45444</v>
      </c>
      <c r="G15" s="20">
        <f t="shared" ref="G15" si="4">EDATE(F15,1)</f>
        <v>45474</v>
      </c>
      <c r="H15" s="20">
        <f t="shared" ref="H15" si="5">EDATE(G15,1)</f>
        <v>45505</v>
      </c>
      <c r="I15" s="20">
        <f t="shared" ref="I15" si="6">EDATE(H15,1)</f>
        <v>45536</v>
      </c>
      <c r="J15" s="20">
        <f t="shared" ref="J15" si="7">EDATE(I15,1)</f>
        <v>45566</v>
      </c>
      <c r="K15" s="20">
        <f t="shared" ref="K15" si="8">EDATE(J15,1)</f>
        <v>45597</v>
      </c>
      <c r="L15" s="20">
        <f t="shared" ref="L15" si="9">EDATE(K15,1)</f>
        <v>45627</v>
      </c>
      <c r="M15" s="20">
        <f t="shared" ref="M15" si="10">EDATE(L15,1)</f>
        <v>45658</v>
      </c>
      <c r="N15" s="20">
        <f t="shared" ref="N15" si="11">EDATE(M15,1)</f>
        <v>45689</v>
      </c>
      <c r="O15" s="21">
        <f t="shared" ref="O15" si="12">EDATE(N15,1)</f>
        <v>45717</v>
      </c>
      <c r="P15" s="20">
        <f t="shared" ref="P15" si="13">EDATE(O15,1)</f>
        <v>45748</v>
      </c>
      <c r="Q15" s="20">
        <f t="shared" ref="Q15" si="14">EDATE(P15,1)</f>
        <v>45778</v>
      </c>
      <c r="R15" s="20">
        <f t="shared" ref="R15" si="15">EDATE(Q15,1)</f>
        <v>45809</v>
      </c>
      <c r="S15" s="20">
        <f t="shared" ref="S15" si="16">EDATE(R15,1)</f>
        <v>45839</v>
      </c>
      <c r="T15" s="20">
        <f t="shared" ref="T15" si="17">EDATE(S15,1)</f>
        <v>45870</v>
      </c>
      <c r="U15" s="20">
        <f t="shared" ref="U15" si="18">EDATE(T15,1)</f>
        <v>45901</v>
      </c>
      <c r="V15" s="20">
        <f t="shared" ref="V15" si="19">EDATE(U15,1)</f>
        <v>45931</v>
      </c>
      <c r="W15" s="20">
        <f t="shared" ref="W15" si="20">EDATE(V15,1)</f>
        <v>45962</v>
      </c>
      <c r="X15" s="20">
        <f t="shared" ref="X15" si="21">EDATE(W15,1)</f>
        <v>45992</v>
      </c>
      <c r="Y15" s="20">
        <f t="shared" ref="Y15" si="22">EDATE(X15,1)</f>
        <v>46023</v>
      </c>
      <c r="Z15" s="20">
        <f t="shared" ref="Z15" si="23">EDATE(Y15,1)</f>
        <v>46054</v>
      </c>
      <c r="AA15" s="21">
        <f t="shared" ref="AA15" si="24">EDATE(Z15,1)</f>
        <v>46082</v>
      </c>
      <c r="AB15" s="20">
        <f t="shared" ref="AB15" si="25">EDATE(AA15,1)</f>
        <v>46113</v>
      </c>
      <c r="AC15" s="20">
        <f t="shared" ref="AC15" si="26">EDATE(AB15,1)</f>
        <v>46143</v>
      </c>
      <c r="AD15" s="20">
        <f t="shared" ref="AD15" si="27">EDATE(AC15,1)</f>
        <v>46174</v>
      </c>
      <c r="AE15" s="20">
        <f t="shared" ref="AE15" si="28">EDATE(AD15,1)</f>
        <v>46204</v>
      </c>
      <c r="AF15" s="20">
        <f t="shared" ref="AF15" si="29">EDATE(AE15,1)</f>
        <v>46235</v>
      </c>
      <c r="AG15" s="20">
        <f t="shared" ref="AG15" si="30">EDATE(AF15,1)</f>
        <v>46266</v>
      </c>
      <c r="AH15" s="20">
        <f t="shared" ref="AH15" si="31">EDATE(AG15,1)</f>
        <v>46296</v>
      </c>
      <c r="AI15" s="20">
        <f t="shared" ref="AI15" si="32">EDATE(AH15,1)</f>
        <v>46327</v>
      </c>
      <c r="AJ15" s="20">
        <f t="shared" ref="AJ15" si="33">EDATE(AI15,1)</f>
        <v>46357</v>
      </c>
      <c r="AK15" s="20">
        <f t="shared" ref="AK15" si="34">EDATE(AJ15,1)</f>
        <v>46388</v>
      </c>
      <c r="AL15" s="20">
        <f t="shared" ref="AL15" si="35">EDATE(AK15,1)</f>
        <v>46419</v>
      </c>
      <c r="AM15" s="21">
        <f t="shared" ref="AM15" si="36">EDATE(AL15,1)</f>
        <v>46447</v>
      </c>
    </row>
    <row r="16" spans="1:62" x14ac:dyDescent="0.35">
      <c r="A16" s="15" t="s">
        <v>196</v>
      </c>
      <c r="B16" s="15" t="s">
        <v>188</v>
      </c>
      <c r="C16" s="16">
        <f>SUM(C17:C19)</f>
        <v>1487.6655342739648</v>
      </c>
      <c r="D16" s="17">
        <f t="shared" ref="D16:AM16" si="37">SUM(D17:D19)</f>
        <v>1544.6435249572107</v>
      </c>
      <c r="E16" s="17">
        <f t="shared" si="37"/>
        <v>1597.9350666433033</v>
      </c>
      <c r="F16" s="17">
        <f t="shared" si="37"/>
        <v>1656.2622156635775</v>
      </c>
      <c r="G16" s="17">
        <f t="shared" si="37"/>
        <v>1712.6382258914059</v>
      </c>
      <c r="H16" s="17">
        <f t="shared" si="37"/>
        <v>1767.6397101359355</v>
      </c>
      <c r="I16" s="17">
        <f t="shared" si="37"/>
        <v>1774.0139312060405</v>
      </c>
      <c r="J16" s="17">
        <f t="shared" si="37"/>
        <v>1832.4358028337742</v>
      </c>
      <c r="K16" s="17">
        <f t="shared" si="37"/>
        <v>1897.9506474443917</v>
      </c>
      <c r="L16" s="17">
        <f t="shared" si="37"/>
        <v>1882.662673958027</v>
      </c>
      <c r="M16" s="17">
        <f t="shared" si="37"/>
        <v>1948.8933970277797</v>
      </c>
      <c r="N16" s="17">
        <f t="shared" si="37"/>
        <v>1927.5994827395784</v>
      </c>
      <c r="O16" s="18">
        <f t="shared" si="37"/>
        <v>1956.3010648576658</v>
      </c>
      <c r="P16" s="17">
        <f t="shared" si="37"/>
        <v>2022.8281921988221</v>
      </c>
      <c r="Q16" s="17">
        <f t="shared" si="37"/>
        <v>2091.2737300682252</v>
      </c>
      <c r="R16" s="17">
        <f t="shared" si="37"/>
        <v>2163.6966179483393</v>
      </c>
      <c r="S16" s="17">
        <f t="shared" si="37"/>
        <v>2229.7118124830681</v>
      </c>
      <c r="T16" s="17">
        <f t="shared" si="37"/>
        <v>2301.5596323338409</v>
      </c>
      <c r="U16" s="17">
        <f t="shared" si="37"/>
        <v>2368.6774064356714</v>
      </c>
      <c r="V16" s="17">
        <f t="shared" si="37"/>
        <v>2334.4116277994967</v>
      </c>
      <c r="W16" s="17">
        <f t="shared" si="37"/>
        <v>2308.4600198123003</v>
      </c>
      <c r="X16" s="17">
        <f t="shared" si="37"/>
        <v>2192.3673062711377</v>
      </c>
      <c r="Y16" s="17">
        <f t="shared" si="37"/>
        <v>2191.9366826973865</v>
      </c>
      <c r="Z16" s="17">
        <f t="shared" si="37"/>
        <v>2099.1663447488299</v>
      </c>
      <c r="AA16" s="18">
        <f t="shared" si="37"/>
        <v>2109.3793238813728</v>
      </c>
      <c r="AB16" s="17">
        <f t="shared" si="37"/>
        <v>2082.2362024455592</v>
      </c>
      <c r="AC16" s="17">
        <f t="shared" si="37"/>
        <v>2088.0843859245292</v>
      </c>
      <c r="AD16" s="17">
        <f t="shared" si="37"/>
        <v>2084.4185076070626</v>
      </c>
      <c r="AE16" s="17">
        <f t="shared" si="37"/>
        <v>2084.5843837815942</v>
      </c>
      <c r="AF16" s="17">
        <f t="shared" si="37"/>
        <v>2100.49111353129</v>
      </c>
      <c r="AG16" s="17">
        <f t="shared" si="37"/>
        <v>2109.6670278640813</v>
      </c>
      <c r="AH16" s="17">
        <f t="shared" si="37"/>
        <v>2149.6173062424327</v>
      </c>
      <c r="AI16" s="17">
        <f t="shared" si="37"/>
        <v>2198.7351460680643</v>
      </c>
      <c r="AJ16" s="17">
        <f t="shared" si="37"/>
        <v>2182.0135679212822</v>
      </c>
      <c r="AK16" s="17">
        <f t="shared" si="37"/>
        <v>2234.4872554026538</v>
      </c>
      <c r="AL16" s="17">
        <f t="shared" si="37"/>
        <v>2212.1713224652449</v>
      </c>
      <c r="AM16" s="18">
        <f t="shared" si="37"/>
        <v>2260.0720307806891</v>
      </c>
    </row>
    <row r="17" spans="1:39" x14ac:dyDescent="0.35">
      <c r="A17" s="1" t="s">
        <v>196</v>
      </c>
      <c r="B17" s="1" t="s">
        <v>157</v>
      </c>
      <c r="C17" s="52">
        <f>'Calculation - Stagewise ECL'!C23</f>
        <v>907.44038769530005</v>
      </c>
      <c r="D17" s="53">
        <f>'Calculation - Stagewise ECL'!D23</f>
        <v>933.63155106720455</v>
      </c>
      <c r="E17" s="53">
        <f>'Calculation - Stagewise ECL'!E23</f>
        <v>965.80873382971072</v>
      </c>
      <c r="F17" s="53">
        <f>'Calculation - Stagewise ECL'!F23</f>
        <v>997.14321301343671</v>
      </c>
      <c r="G17" s="53">
        <f>'Calculation - Stagewise ECL'!G23</f>
        <v>1026.9540485648761</v>
      </c>
      <c r="H17" s="53">
        <f>'Calculation - Stagewise ECL'!H23</f>
        <v>1057.985115174444</v>
      </c>
      <c r="I17" s="53">
        <f>'Calculation - Stagewise ECL'!I23</f>
        <v>1090.3136759436334</v>
      </c>
      <c r="J17" s="53">
        <f>'Calculation - Stagewise ECL'!J23</f>
        <v>1123.4997095532353</v>
      </c>
      <c r="K17" s="53">
        <f>'Calculation - Stagewise ECL'!K23</f>
        <v>1160.7250238736065</v>
      </c>
      <c r="L17" s="53">
        <f>'Calculation - Stagewise ECL'!L23</f>
        <v>1200.392660033179</v>
      </c>
      <c r="M17" s="53">
        <f>'Calculation - Stagewise ECL'!M23</f>
        <v>1239.2438401084751</v>
      </c>
      <c r="N17" s="53">
        <f>'Calculation - Stagewise ECL'!N23</f>
        <v>1277.7996045743344</v>
      </c>
      <c r="O17" s="54">
        <f>'Calculation - Stagewise ECL'!O23</f>
        <v>1287.8644686607536</v>
      </c>
      <c r="P17" s="53">
        <f>'Calculation - Stagewise ECL'!P23</f>
        <v>1326.8656903577644</v>
      </c>
      <c r="Q17" s="53">
        <f>'Calculation - Stagewise ECL'!Q23</f>
        <v>1366.1050697989635</v>
      </c>
      <c r="R17" s="53">
        <f>'Calculation - Stagewise ECL'!R23</f>
        <v>1405.219243337187</v>
      </c>
      <c r="S17" s="53">
        <f>'Calculation - Stagewise ECL'!S23</f>
        <v>1440.7472789704739</v>
      </c>
      <c r="T17" s="53">
        <f>'Calculation - Stagewise ECL'!T23</f>
        <v>1480.2561770567277</v>
      </c>
      <c r="U17" s="53">
        <f>'Calculation - Stagewise ECL'!U23</f>
        <v>1509.4535489803386</v>
      </c>
      <c r="V17" s="53">
        <f>'Calculation - Stagewise ECL'!V23</f>
        <v>1486.9802535393133</v>
      </c>
      <c r="W17" s="53">
        <f>'Calculation - Stagewise ECL'!W23</f>
        <v>1466.2653359884985</v>
      </c>
      <c r="X17" s="53">
        <f>'Calculation - Stagewise ECL'!X23</f>
        <v>1453.6448527719645</v>
      </c>
      <c r="Y17" s="53">
        <f>'Calculation - Stagewise ECL'!Y23</f>
        <v>1445.7314516286103</v>
      </c>
      <c r="Z17" s="53">
        <f>'Calculation - Stagewise ECL'!Z23</f>
        <v>1440.9828604288546</v>
      </c>
      <c r="AA17" s="54">
        <f>'Calculation - Stagewise ECL'!AA23</f>
        <v>1432.6467104205467</v>
      </c>
      <c r="AB17" s="53">
        <f>'Calculation - Stagewise ECL'!AB23</f>
        <v>1408.4343245196869</v>
      </c>
      <c r="AC17" s="53">
        <f>'Calculation - Stagewise ECL'!AC23</f>
        <v>1412.5510630436731</v>
      </c>
      <c r="AD17" s="53">
        <f>'Calculation - Stagewise ECL'!AD23</f>
        <v>1401.0841248862321</v>
      </c>
      <c r="AE17" s="53">
        <f>'Calculation - Stagewise ECL'!AE23</f>
        <v>1393.4545755450295</v>
      </c>
      <c r="AF17" s="53">
        <f>'Calculation - Stagewise ECL'!AF23</f>
        <v>1394.1153612791622</v>
      </c>
      <c r="AG17" s="53">
        <f>'Calculation - Stagewise ECL'!AG23</f>
        <v>1403.8766199961406</v>
      </c>
      <c r="AH17" s="53">
        <f>'Calculation - Stagewise ECL'!AH23</f>
        <v>1417.119900337274</v>
      </c>
      <c r="AI17" s="53">
        <f>'Calculation - Stagewise ECL'!AI23</f>
        <v>1437.3254977409165</v>
      </c>
      <c r="AJ17" s="53">
        <f>'Calculation - Stagewise ECL'!AJ23</f>
        <v>1461.0840592105692</v>
      </c>
      <c r="AK17" s="53">
        <f>'Calculation - Stagewise ECL'!AK23</f>
        <v>1482.4229520370593</v>
      </c>
      <c r="AL17" s="53">
        <f>'Calculation - Stagewise ECL'!AL23</f>
        <v>1498.6369876960348</v>
      </c>
      <c r="AM17" s="54">
        <f>'Calculation - Stagewise ECL'!AM23</f>
        <v>1515.5746186715978</v>
      </c>
    </row>
    <row r="18" spans="1:39" x14ac:dyDescent="0.35">
      <c r="A18" s="2" t="s">
        <v>196</v>
      </c>
      <c r="B18" s="2" t="s">
        <v>158</v>
      </c>
      <c r="C18" s="55">
        <f>'Calculation - Stagewise ECL'!C47</f>
        <v>498.84429181541651</v>
      </c>
      <c r="D18" s="56">
        <f>'Calculation - Stagewise ECL'!D47</f>
        <v>530.12258971938286</v>
      </c>
      <c r="E18" s="56">
        <f>'Calculation - Stagewise ECL'!E47</f>
        <v>554.01645569888797</v>
      </c>
      <c r="F18" s="56">
        <f>'Calculation - Stagewise ECL'!F47</f>
        <v>583.57686479643098</v>
      </c>
      <c r="G18" s="56">
        <f>'Calculation - Stagewise ECL'!G47</f>
        <v>612.44969962609707</v>
      </c>
      <c r="H18" s="56">
        <f>'Calculation - Stagewise ECL'!H47</f>
        <v>638.52562212087162</v>
      </c>
      <c r="I18" s="56">
        <f>'Calculation - Stagewise ECL'!I47</f>
        <v>614.54411975156563</v>
      </c>
      <c r="J18" s="56">
        <f>'Calculation - Stagewise ECL'!J47</f>
        <v>641.7775488221439</v>
      </c>
      <c r="K18" s="56">
        <f>'Calculation - Stagewise ECL'!K47</f>
        <v>672.20466905397029</v>
      </c>
      <c r="L18" s="56">
        <f>'Calculation - Stagewise ECL'!L47</f>
        <v>619.17776838713394</v>
      </c>
      <c r="M18" s="56">
        <f>'Calculation - Stagewise ECL'!M47</f>
        <v>648.51641618733061</v>
      </c>
      <c r="N18" s="56">
        <f>'Calculation - Stagewise ECL'!N47</f>
        <v>590.58115157650172</v>
      </c>
      <c r="O18" s="57">
        <f>'Calculation - Stagewise ECL'!O47</f>
        <v>610.73068192645303</v>
      </c>
      <c r="P18" s="56">
        <f>'Calculation - Stagewise ECL'!P47</f>
        <v>640.89817097287096</v>
      </c>
      <c r="Q18" s="56">
        <f>'Calculation - Stagewise ECL'!Q47</f>
        <v>672.57223493949755</v>
      </c>
      <c r="R18" s="56">
        <f>'Calculation - Stagewise ECL'!R47</f>
        <v>708.20317482346297</v>
      </c>
      <c r="S18" s="56">
        <f>'Calculation - Stagewise ECL'!S47</f>
        <v>740.85635959860861</v>
      </c>
      <c r="T18" s="56">
        <f>'Calculation - Stagewise ECL'!T47</f>
        <v>775.19620138957623</v>
      </c>
      <c r="U18" s="56">
        <f>'Calculation - Stagewise ECL'!U47</f>
        <v>815.00921151498289</v>
      </c>
      <c r="V18" s="56">
        <f>'Calculation - Stagewise ECL'!V47</f>
        <v>804.52476137659437</v>
      </c>
      <c r="W18" s="56">
        <f>'Calculation - Stagewise ECL'!W47</f>
        <v>800.11293387381306</v>
      </c>
      <c r="X18" s="56">
        <f>'Calculation - Stagewise ECL'!X47</f>
        <v>696.87726635008812</v>
      </c>
      <c r="Y18" s="56">
        <f>'Calculation - Stagewise ECL'!Y47</f>
        <v>703.99771048014054</v>
      </c>
      <c r="Z18" s="56">
        <f>'Calculation - Stagewise ECL'!Z47</f>
        <v>615.09918509328054</v>
      </c>
      <c r="AA18" s="57">
        <f>'Calculation - Stagewise ECL'!AA47</f>
        <v>631.41865997863567</v>
      </c>
      <c r="AB18" s="56">
        <f>'Calculation - Stagewise ECL'!AB47</f>
        <v>628.60694306207381</v>
      </c>
      <c r="AC18" s="56">
        <f>'Calculation - Stagewise ECL'!AC47</f>
        <v>629.92777356926126</v>
      </c>
      <c r="AD18" s="56">
        <f>'Calculation - Stagewise ECL'!AD47</f>
        <v>636.60057027986818</v>
      </c>
      <c r="AE18" s="56">
        <f>'Calculation - Stagewise ECL'!AE47</f>
        <v>642.32187009416793</v>
      </c>
      <c r="AF18" s="56">
        <f>'Calculation - Stagewise ECL'!AF47</f>
        <v>654.49506556786582</v>
      </c>
      <c r="AG18" s="56">
        <f>'Calculation - Stagewise ECL'!AG47</f>
        <v>649.8681809633581</v>
      </c>
      <c r="AH18" s="56">
        <f>'Calculation - Stagewise ECL'!AH47</f>
        <v>669.01303304731471</v>
      </c>
      <c r="AI18" s="56">
        <f>'Calculation - Stagewise ECL'!AI47</f>
        <v>690.85794619193234</v>
      </c>
      <c r="AJ18" s="56">
        <f>'Calculation - Stagewise ECL'!AJ47</f>
        <v>643.08789863433083</v>
      </c>
      <c r="AK18" s="56">
        <f>'Calculation - Stagewise ECL'!AK47</f>
        <v>666.72673798186781</v>
      </c>
      <c r="AL18" s="56">
        <f>'Calculation - Stagewise ECL'!AL47</f>
        <v>620.85052172152905</v>
      </c>
      <c r="AM18" s="57">
        <f>'Calculation - Stagewise ECL'!AM47</f>
        <v>641.88581863552156</v>
      </c>
    </row>
    <row r="19" spans="1:39" x14ac:dyDescent="0.35">
      <c r="A19" s="3" t="s">
        <v>196</v>
      </c>
      <c r="B19" s="3" t="s">
        <v>159</v>
      </c>
      <c r="C19" s="58">
        <f>'Calculation - Stagewise ECL'!C71</f>
        <v>81.380854763248266</v>
      </c>
      <c r="D19" s="59">
        <f>'Calculation - Stagewise ECL'!D71</f>
        <v>80.889384170623416</v>
      </c>
      <c r="E19" s="59">
        <f>'Calculation - Stagewise ECL'!E71</f>
        <v>78.109877114704759</v>
      </c>
      <c r="F19" s="59">
        <f>'Calculation - Stagewise ECL'!F71</f>
        <v>75.542137853709846</v>
      </c>
      <c r="G19" s="59">
        <f>'Calculation - Stagewise ECL'!G71</f>
        <v>73.234477700432805</v>
      </c>
      <c r="H19" s="59">
        <f>'Calculation - Stagewise ECL'!H71</f>
        <v>71.128972840619767</v>
      </c>
      <c r="I19" s="59">
        <f>'Calculation - Stagewise ECL'!I71</f>
        <v>69.156135510841608</v>
      </c>
      <c r="J19" s="59">
        <f>'Calculation - Stagewise ECL'!J71</f>
        <v>67.158544458394886</v>
      </c>
      <c r="K19" s="59">
        <f>'Calculation - Stagewise ECL'!K71</f>
        <v>65.020954516814896</v>
      </c>
      <c r="L19" s="59">
        <f>'Calculation - Stagewise ECL'!L71</f>
        <v>63.092245537714064</v>
      </c>
      <c r="M19" s="59">
        <f>'Calculation - Stagewise ECL'!M71</f>
        <v>61.133140731974088</v>
      </c>
      <c r="N19" s="59">
        <f>'Calculation - Stagewise ECL'!N71</f>
        <v>59.218726588742264</v>
      </c>
      <c r="O19" s="60">
        <f>'Calculation - Stagewise ECL'!O71</f>
        <v>57.705914270459147</v>
      </c>
      <c r="P19" s="59">
        <f>'Calculation - Stagewise ECL'!P71</f>
        <v>55.064330868186651</v>
      </c>
      <c r="Q19" s="59">
        <f>'Calculation - Stagewise ECL'!Q71</f>
        <v>52.596425329763896</v>
      </c>
      <c r="R19" s="59">
        <f>'Calculation - Stagewise ECL'!R71</f>
        <v>50.274199787689021</v>
      </c>
      <c r="S19" s="59">
        <f>'Calculation - Stagewise ECL'!S71</f>
        <v>48.108173913986015</v>
      </c>
      <c r="T19" s="59">
        <f>'Calculation - Stagewise ECL'!T71</f>
        <v>46.107253887536856</v>
      </c>
      <c r="U19" s="59">
        <f>'Calculation - Stagewise ECL'!U71</f>
        <v>44.214645940349605</v>
      </c>
      <c r="V19" s="59">
        <f>'Calculation - Stagewise ECL'!V71</f>
        <v>42.90661288358875</v>
      </c>
      <c r="W19" s="59">
        <f>'Calculation - Stagewise ECL'!W71</f>
        <v>42.081749949988669</v>
      </c>
      <c r="X19" s="59">
        <f>'Calculation - Stagewise ECL'!X71</f>
        <v>41.845187149085241</v>
      </c>
      <c r="Y19" s="59">
        <f>'Calculation - Stagewise ECL'!Y71</f>
        <v>42.207520588635589</v>
      </c>
      <c r="Z19" s="59">
        <f>'Calculation - Stagewise ECL'!Z71</f>
        <v>43.084299226694789</v>
      </c>
      <c r="AA19" s="60">
        <f>'Calculation - Stagewise ECL'!AA71</f>
        <v>45.313953482190115</v>
      </c>
      <c r="AB19" s="59">
        <f>'Calculation - Stagewise ECL'!AB71</f>
        <v>45.194934863798416</v>
      </c>
      <c r="AC19" s="59">
        <f>'Calculation - Stagewise ECL'!AC71</f>
        <v>45.605549311594707</v>
      </c>
      <c r="AD19" s="59">
        <f>'Calculation - Stagewise ECL'!AD71</f>
        <v>46.733812440962211</v>
      </c>
      <c r="AE19" s="59">
        <f>'Calculation - Stagewise ECL'!AE71</f>
        <v>48.807938142396814</v>
      </c>
      <c r="AF19" s="59">
        <f>'Calculation - Stagewise ECL'!AF71</f>
        <v>51.880686684262074</v>
      </c>
      <c r="AG19" s="59">
        <f>'Calculation - Stagewise ECL'!AG71</f>
        <v>55.922226904582573</v>
      </c>
      <c r="AH19" s="59">
        <f>'Calculation - Stagewise ECL'!AH71</f>
        <v>63.484372857844022</v>
      </c>
      <c r="AI19" s="59">
        <f>'Calculation - Stagewise ECL'!AI71</f>
        <v>70.551702135215493</v>
      </c>
      <c r="AJ19" s="59">
        <f>'Calculation - Stagewise ECL'!AJ71</f>
        <v>77.841610076382054</v>
      </c>
      <c r="AK19" s="59">
        <f>'Calculation - Stagewise ECL'!AK71</f>
        <v>85.337565383726329</v>
      </c>
      <c r="AL19" s="59">
        <f>'Calculation - Stagewise ECL'!AL71</f>
        <v>92.683813047680786</v>
      </c>
      <c r="AM19" s="60">
        <f>'Calculation - Stagewise ECL'!AM71</f>
        <v>102.6115934735697</v>
      </c>
    </row>
    <row r="21" spans="1:39" x14ac:dyDescent="0.35">
      <c r="A21" s="25" t="s">
        <v>195</v>
      </c>
      <c r="B21" s="4" t="s">
        <v>3</v>
      </c>
      <c r="C21" s="19">
        <f>$C$3</f>
        <v>45352</v>
      </c>
      <c r="D21" s="20">
        <f>EDATE(C21,1)</f>
        <v>45383</v>
      </c>
      <c r="E21" s="20">
        <f>EDATE(D21,1)</f>
        <v>45413</v>
      </c>
      <c r="F21" s="20">
        <f>EDATE(E21,1)</f>
        <v>45444</v>
      </c>
      <c r="G21" s="20">
        <f t="shared" ref="G21" si="38">EDATE(F21,1)</f>
        <v>45474</v>
      </c>
      <c r="H21" s="20">
        <f t="shared" ref="H21" si="39">EDATE(G21,1)</f>
        <v>45505</v>
      </c>
      <c r="I21" s="20">
        <f t="shared" ref="I21" si="40">EDATE(H21,1)</f>
        <v>45536</v>
      </c>
      <c r="J21" s="20">
        <f t="shared" ref="J21" si="41">EDATE(I21,1)</f>
        <v>45566</v>
      </c>
      <c r="K21" s="20">
        <f t="shared" ref="K21" si="42">EDATE(J21,1)</f>
        <v>45597</v>
      </c>
      <c r="L21" s="20">
        <f t="shared" ref="L21" si="43">EDATE(K21,1)</f>
        <v>45627</v>
      </c>
      <c r="M21" s="20">
        <f t="shared" ref="M21" si="44">EDATE(L21,1)</f>
        <v>45658</v>
      </c>
      <c r="N21" s="20">
        <f t="shared" ref="N21" si="45">EDATE(M21,1)</f>
        <v>45689</v>
      </c>
      <c r="O21" s="21">
        <f t="shared" ref="O21" si="46">EDATE(N21,1)</f>
        <v>45717</v>
      </c>
      <c r="P21" s="20">
        <f t="shared" ref="P21" si="47">EDATE(O21,1)</f>
        <v>45748</v>
      </c>
      <c r="Q21" s="20">
        <f t="shared" ref="Q21" si="48">EDATE(P21,1)</f>
        <v>45778</v>
      </c>
      <c r="R21" s="20">
        <f t="shared" ref="R21" si="49">EDATE(Q21,1)</f>
        <v>45809</v>
      </c>
      <c r="S21" s="20">
        <f t="shared" ref="S21" si="50">EDATE(R21,1)</f>
        <v>45839</v>
      </c>
      <c r="T21" s="20">
        <f t="shared" ref="T21" si="51">EDATE(S21,1)</f>
        <v>45870</v>
      </c>
      <c r="U21" s="20">
        <f t="shared" ref="U21" si="52">EDATE(T21,1)</f>
        <v>45901</v>
      </c>
      <c r="V21" s="20">
        <f t="shared" ref="V21" si="53">EDATE(U21,1)</f>
        <v>45931</v>
      </c>
      <c r="W21" s="20">
        <f t="shared" ref="W21" si="54">EDATE(V21,1)</f>
        <v>45962</v>
      </c>
      <c r="X21" s="20">
        <f t="shared" ref="X21" si="55">EDATE(W21,1)</f>
        <v>45992</v>
      </c>
      <c r="Y21" s="20">
        <f t="shared" ref="Y21" si="56">EDATE(X21,1)</f>
        <v>46023</v>
      </c>
      <c r="Z21" s="20">
        <f t="shared" ref="Z21" si="57">EDATE(Y21,1)</f>
        <v>46054</v>
      </c>
      <c r="AA21" s="21">
        <f t="shared" ref="AA21" si="58">EDATE(Z21,1)</f>
        <v>46082</v>
      </c>
      <c r="AB21" s="20">
        <f t="shared" ref="AB21" si="59">EDATE(AA21,1)</f>
        <v>46113</v>
      </c>
      <c r="AC21" s="20">
        <f t="shared" ref="AC21" si="60">EDATE(AB21,1)</f>
        <v>46143</v>
      </c>
      <c r="AD21" s="20">
        <f t="shared" ref="AD21" si="61">EDATE(AC21,1)</f>
        <v>46174</v>
      </c>
      <c r="AE21" s="20">
        <f t="shared" ref="AE21" si="62">EDATE(AD21,1)</f>
        <v>46204</v>
      </c>
      <c r="AF21" s="20">
        <f t="shared" ref="AF21" si="63">EDATE(AE21,1)</f>
        <v>46235</v>
      </c>
      <c r="AG21" s="20">
        <f t="shared" ref="AG21" si="64">EDATE(AF21,1)</f>
        <v>46266</v>
      </c>
      <c r="AH21" s="20">
        <f t="shared" ref="AH21" si="65">EDATE(AG21,1)</f>
        <v>46296</v>
      </c>
      <c r="AI21" s="20">
        <f t="shared" ref="AI21" si="66">EDATE(AH21,1)</f>
        <v>46327</v>
      </c>
      <c r="AJ21" s="20">
        <f t="shared" ref="AJ21" si="67">EDATE(AI21,1)</f>
        <v>46357</v>
      </c>
      <c r="AK21" s="20">
        <f t="shared" ref="AK21" si="68">EDATE(AJ21,1)</f>
        <v>46388</v>
      </c>
      <c r="AL21" s="20">
        <f t="shared" ref="AL21" si="69">EDATE(AK21,1)</f>
        <v>46419</v>
      </c>
      <c r="AM21" s="21">
        <f t="shared" ref="AM21" si="70">EDATE(AL21,1)</f>
        <v>46447</v>
      </c>
    </row>
    <row r="22" spans="1:39" x14ac:dyDescent="0.35">
      <c r="A22" s="15" t="s">
        <v>195</v>
      </c>
      <c r="B22" s="15" t="s">
        <v>188</v>
      </c>
      <c r="C22" s="16">
        <f>SUM(C23:C25)</f>
        <v>180.93665133446015</v>
      </c>
      <c r="D22" s="17">
        <f t="shared" ref="D22:AM22" si="71">SUM(D23:D25)</f>
        <v>175.8359445247554</v>
      </c>
      <c r="E22" s="17">
        <f t="shared" si="71"/>
        <v>174.26936287871285</v>
      </c>
      <c r="F22" s="17">
        <f t="shared" si="71"/>
        <v>172.8391887436307</v>
      </c>
      <c r="G22" s="17">
        <f t="shared" si="71"/>
        <v>172.18710501792162</v>
      </c>
      <c r="H22" s="17">
        <f t="shared" si="71"/>
        <v>169.40537519732234</v>
      </c>
      <c r="I22" s="17">
        <f t="shared" si="71"/>
        <v>167.03446886283172</v>
      </c>
      <c r="J22" s="17">
        <f t="shared" si="71"/>
        <v>157.44569227759217</v>
      </c>
      <c r="K22" s="17">
        <f t="shared" si="71"/>
        <v>156.14459652501057</v>
      </c>
      <c r="L22" s="17">
        <f t="shared" si="71"/>
        <v>151.90597819700054</v>
      </c>
      <c r="M22" s="17">
        <f t="shared" si="71"/>
        <v>141.67519821864565</v>
      </c>
      <c r="N22" s="17">
        <f t="shared" si="71"/>
        <v>140.21312464838238</v>
      </c>
      <c r="O22" s="18">
        <f t="shared" si="71"/>
        <v>139.11765863238341</v>
      </c>
      <c r="P22" s="17">
        <f t="shared" si="71"/>
        <v>137.64166483842442</v>
      </c>
      <c r="Q22" s="17">
        <f t="shared" si="71"/>
        <v>134.76386694611941</v>
      </c>
      <c r="R22" s="17">
        <f t="shared" si="71"/>
        <v>132.53994059608794</v>
      </c>
      <c r="S22" s="17">
        <f t="shared" si="71"/>
        <v>124.20676770787533</v>
      </c>
      <c r="T22" s="17">
        <f t="shared" si="71"/>
        <v>121.0332571067255</v>
      </c>
      <c r="U22" s="17">
        <f t="shared" si="71"/>
        <v>114.51103362133033</v>
      </c>
      <c r="V22" s="17">
        <f t="shared" si="71"/>
        <v>113.10872429706919</v>
      </c>
      <c r="W22" s="17">
        <f t="shared" si="71"/>
        <v>111.03615430485091</v>
      </c>
      <c r="X22" s="17">
        <f t="shared" si="71"/>
        <v>106.90618398868021</v>
      </c>
      <c r="Y22" s="17">
        <f t="shared" si="71"/>
        <v>105.53897758108296</v>
      </c>
      <c r="Z22" s="17">
        <f t="shared" si="71"/>
        <v>102.49896476264432</v>
      </c>
      <c r="AA22" s="18">
        <f t="shared" si="71"/>
        <v>100.84594831674514</v>
      </c>
      <c r="AB22" s="17">
        <f t="shared" si="71"/>
        <v>92.14226917829339</v>
      </c>
      <c r="AC22" s="17">
        <f t="shared" si="71"/>
        <v>90.831630826675649</v>
      </c>
      <c r="AD22" s="17">
        <f t="shared" si="71"/>
        <v>88.636049671706076</v>
      </c>
      <c r="AE22" s="17">
        <f t="shared" si="71"/>
        <v>85.69582792341663</v>
      </c>
      <c r="AF22" s="17">
        <f t="shared" si="71"/>
        <v>79.558182140454676</v>
      </c>
      <c r="AG22" s="17">
        <f t="shared" si="71"/>
        <v>75.47528919764278</v>
      </c>
      <c r="AH22" s="17">
        <f t="shared" si="71"/>
        <v>72.162826818216914</v>
      </c>
      <c r="AI22" s="17">
        <f t="shared" si="71"/>
        <v>67.698230255922496</v>
      </c>
      <c r="AJ22" s="17">
        <f t="shared" si="71"/>
        <v>62.828204068870271</v>
      </c>
      <c r="AK22" s="17">
        <f t="shared" si="71"/>
        <v>57.78491523542526</v>
      </c>
      <c r="AL22" s="17">
        <f t="shared" si="71"/>
        <v>53.91713091824117</v>
      </c>
      <c r="AM22" s="18">
        <f t="shared" si="71"/>
        <v>52.108517854285594</v>
      </c>
    </row>
    <row r="23" spans="1:39" x14ac:dyDescent="0.35">
      <c r="A23" s="1" t="s">
        <v>195</v>
      </c>
      <c r="B23" s="1" t="s">
        <v>157</v>
      </c>
      <c r="C23" s="52">
        <f>C11</f>
        <v>113.63738036913716</v>
      </c>
      <c r="D23" s="53">
        <f t="shared" ref="D23:AM23" si="72">D11</f>
        <v>108.30207205902809</v>
      </c>
      <c r="E23" s="53">
        <f t="shared" si="72"/>
        <v>108.09806701297288</v>
      </c>
      <c r="F23" s="53">
        <f t="shared" si="72"/>
        <v>106.76678354389114</v>
      </c>
      <c r="G23" s="53">
        <f t="shared" si="72"/>
        <v>106.29418818951201</v>
      </c>
      <c r="H23" s="53">
        <f t="shared" si="72"/>
        <v>104.54814903151336</v>
      </c>
      <c r="I23" s="53">
        <f t="shared" si="72"/>
        <v>103.0323144762155</v>
      </c>
      <c r="J23" s="53">
        <f t="shared" si="72"/>
        <v>97.09014114801893</v>
      </c>
      <c r="K23" s="53">
        <f t="shared" si="72"/>
        <v>95.993894314332977</v>
      </c>
      <c r="L23" s="53">
        <f t="shared" si="72"/>
        <v>95.133157610587119</v>
      </c>
      <c r="M23" s="53">
        <f t="shared" si="72"/>
        <v>93.236248004493717</v>
      </c>
      <c r="N23" s="53">
        <f t="shared" si="72"/>
        <v>91.799779482132436</v>
      </c>
      <c r="O23" s="54">
        <f t="shared" si="72"/>
        <v>90.882577698344079</v>
      </c>
      <c r="P23" s="53">
        <f t="shared" si="72"/>
        <v>89.965236348597216</v>
      </c>
      <c r="Q23" s="53">
        <f t="shared" si="72"/>
        <v>88.764346271123415</v>
      </c>
      <c r="R23" s="53">
        <f t="shared" si="72"/>
        <v>87.574541735752362</v>
      </c>
      <c r="S23" s="53">
        <f t="shared" si="72"/>
        <v>79.833053589307724</v>
      </c>
      <c r="T23" s="53">
        <f t="shared" si="72"/>
        <v>77.24788084153289</v>
      </c>
      <c r="U23" s="53">
        <f t="shared" si="72"/>
        <v>73.517524577910308</v>
      </c>
      <c r="V23" s="53">
        <f t="shared" si="72"/>
        <v>72.702891129293377</v>
      </c>
      <c r="W23" s="53">
        <f t="shared" si="72"/>
        <v>71.216395413091931</v>
      </c>
      <c r="X23" s="53">
        <f t="shared" si="72"/>
        <v>70.45486372717761</v>
      </c>
      <c r="Y23" s="53">
        <f t="shared" si="72"/>
        <v>69.720909202383638</v>
      </c>
      <c r="Z23" s="53">
        <f t="shared" si="72"/>
        <v>69.014766724865666</v>
      </c>
      <c r="AA23" s="54">
        <f t="shared" si="72"/>
        <v>67.932474158945141</v>
      </c>
      <c r="AB23" s="53">
        <f t="shared" si="72"/>
        <v>60.260343652280021</v>
      </c>
      <c r="AC23" s="53">
        <f t="shared" si="72"/>
        <v>59.636694438305717</v>
      </c>
      <c r="AD23" s="53">
        <f t="shared" si="72"/>
        <v>57.993351682672483</v>
      </c>
      <c r="AE23" s="53">
        <f t="shared" si="72"/>
        <v>55.938511095979237</v>
      </c>
      <c r="AF23" s="53">
        <f t="shared" si="72"/>
        <v>51.508500077635418</v>
      </c>
      <c r="AG23" s="53">
        <f t="shared" si="72"/>
        <v>48.270846156417583</v>
      </c>
      <c r="AH23" s="53">
        <f t="shared" si="72"/>
        <v>46.457671828281178</v>
      </c>
      <c r="AI23" s="53">
        <f t="shared" si="72"/>
        <v>43.601674874830181</v>
      </c>
      <c r="AJ23" s="53">
        <f t="shared" si="72"/>
        <v>41.317151350904737</v>
      </c>
      <c r="AK23" s="53">
        <f t="shared" si="72"/>
        <v>35.987569500983106</v>
      </c>
      <c r="AL23" s="53">
        <f t="shared" si="72"/>
        <v>32.636023575982783</v>
      </c>
      <c r="AM23" s="54">
        <f t="shared" si="72"/>
        <v>31.332841481116013</v>
      </c>
    </row>
    <row r="24" spans="1:39" x14ac:dyDescent="0.35">
      <c r="A24" s="2" t="s">
        <v>195</v>
      </c>
      <c r="B24" s="2" t="s">
        <v>158</v>
      </c>
      <c r="C24" s="55">
        <f t="shared" ref="C24:AM24" si="73">C12</f>
        <v>65.586836649228303</v>
      </c>
      <c r="D24" s="56">
        <f t="shared" si="73"/>
        <v>65.821438149632641</v>
      </c>
      <c r="E24" s="56">
        <f t="shared" si="73"/>
        <v>64.458861549645277</v>
      </c>
      <c r="F24" s="56">
        <f t="shared" si="73"/>
        <v>64.359970883644877</v>
      </c>
      <c r="G24" s="56">
        <f t="shared" si="73"/>
        <v>64.180482512314939</v>
      </c>
      <c r="H24" s="56">
        <f t="shared" si="73"/>
        <v>63.144791849714295</v>
      </c>
      <c r="I24" s="56">
        <f t="shared" si="73"/>
        <v>62.289720070521533</v>
      </c>
      <c r="J24" s="56">
        <f t="shared" si="73"/>
        <v>58.643116813478542</v>
      </c>
      <c r="K24" s="56">
        <f t="shared" si="73"/>
        <v>58.438267894582921</v>
      </c>
      <c r="L24" s="56">
        <f t="shared" si="73"/>
        <v>55.060386270318716</v>
      </c>
      <c r="M24" s="56">
        <f t="shared" si="73"/>
        <v>46.726515898057251</v>
      </c>
      <c r="N24" s="56">
        <f t="shared" si="73"/>
        <v>46.70091085015526</v>
      </c>
      <c r="O24" s="57">
        <f t="shared" si="73"/>
        <v>46.522646617944652</v>
      </c>
      <c r="P24" s="56">
        <f t="shared" si="73"/>
        <v>45.963994173732516</v>
      </c>
      <c r="Q24" s="56">
        <f t="shared" si="73"/>
        <v>44.287086358901306</v>
      </c>
      <c r="R24" s="56">
        <f t="shared" si="73"/>
        <v>43.252964544240882</v>
      </c>
      <c r="S24" s="56">
        <f t="shared" si="73"/>
        <v>42.661279802472919</v>
      </c>
      <c r="T24" s="56">
        <f t="shared" si="73"/>
        <v>42.072941949097924</v>
      </c>
      <c r="U24" s="56">
        <f t="shared" si="73"/>
        <v>39.281074727325333</v>
      </c>
      <c r="V24" s="56">
        <f t="shared" si="73"/>
        <v>38.693398851681124</v>
      </c>
      <c r="W24" s="56">
        <f t="shared" si="73"/>
        <v>38.107324575664293</v>
      </c>
      <c r="X24" s="56">
        <f t="shared" si="73"/>
        <v>34.738885945407915</v>
      </c>
      <c r="Y24" s="56">
        <f t="shared" si="73"/>
        <v>34.105634062604636</v>
      </c>
      <c r="Z24" s="56">
        <f t="shared" si="73"/>
        <v>31.771763721683971</v>
      </c>
      <c r="AA24" s="57">
        <f t="shared" si="73"/>
        <v>31.201039841705303</v>
      </c>
      <c r="AB24" s="56">
        <f t="shared" si="73"/>
        <v>30.169491209918689</v>
      </c>
      <c r="AC24" s="56">
        <f t="shared" si="73"/>
        <v>29.482502072275246</v>
      </c>
      <c r="AD24" s="56">
        <f t="shared" si="73"/>
        <v>28.930263672938906</v>
      </c>
      <c r="AE24" s="56">
        <f t="shared" si="73"/>
        <v>28.044882511342706</v>
      </c>
      <c r="AF24" s="56">
        <f t="shared" si="73"/>
        <v>26.337247746724564</v>
      </c>
      <c r="AG24" s="56">
        <f t="shared" si="73"/>
        <v>25.492008725130511</v>
      </c>
      <c r="AH24" s="56">
        <f t="shared" si="73"/>
        <v>23.992720673841049</v>
      </c>
      <c r="AI24" s="56">
        <f t="shared" si="73"/>
        <v>22.384121064997633</v>
      </c>
      <c r="AJ24" s="56">
        <f t="shared" si="73"/>
        <v>19.798618401870847</v>
      </c>
      <c r="AK24" s="56">
        <f t="shared" si="73"/>
        <v>20.084911418347467</v>
      </c>
      <c r="AL24" s="56">
        <f t="shared" si="73"/>
        <v>19.568673026163697</v>
      </c>
      <c r="AM24" s="57">
        <f t="shared" si="73"/>
        <v>19.063242057074891</v>
      </c>
    </row>
    <row r="25" spans="1:39" x14ac:dyDescent="0.35">
      <c r="A25" s="3" t="s">
        <v>195</v>
      </c>
      <c r="B25" s="3" t="s">
        <v>159</v>
      </c>
      <c r="C25" s="58">
        <f t="shared" ref="C25:AM25" si="74">C13</f>
        <v>1.7124343160946849</v>
      </c>
      <c r="D25" s="59">
        <f t="shared" si="74"/>
        <v>1.7124343160946849</v>
      </c>
      <c r="E25" s="59">
        <f t="shared" si="74"/>
        <v>1.7124343160946849</v>
      </c>
      <c r="F25" s="59">
        <f t="shared" si="74"/>
        <v>1.7124343160946849</v>
      </c>
      <c r="G25" s="59">
        <f t="shared" si="74"/>
        <v>1.7124343160946849</v>
      </c>
      <c r="H25" s="59">
        <f t="shared" si="74"/>
        <v>1.7124343160946849</v>
      </c>
      <c r="I25" s="59">
        <f t="shared" si="74"/>
        <v>1.7124343160946849</v>
      </c>
      <c r="J25" s="59">
        <f t="shared" si="74"/>
        <v>1.7124343160946849</v>
      </c>
      <c r="K25" s="59">
        <f t="shared" si="74"/>
        <v>1.7124343160946849</v>
      </c>
      <c r="L25" s="59">
        <f t="shared" si="74"/>
        <v>1.7124343160946849</v>
      </c>
      <c r="M25" s="59">
        <f t="shared" si="74"/>
        <v>1.7124343160946849</v>
      </c>
      <c r="N25" s="59">
        <f t="shared" si="74"/>
        <v>1.7124343160946849</v>
      </c>
      <c r="O25" s="60">
        <f t="shared" si="74"/>
        <v>1.7124343160946849</v>
      </c>
      <c r="P25" s="59">
        <f t="shared" si="74"/>
        <v>1.7124343160946849</v>
      </c>
      <c r="Q25" s="59">
        <f t="shared" si="74"/>
        <v>1.7124343160946849</v>
      </c>
      <c r="R25" s="59">
        <f t="shared" si="74"/>
        <v>1.7124343160946849</v>
      </c>
      <c r="S25" s="59">
        <f t="shared" si="74"/>
        <v>1.7124343160946849</v>
      </c>
      <c r="T25" s="59">
        <f t="shared" si="74"/>
        <v>1.7124343160946849</v>
      </c>
      <c r="U25" s="59">
        <f t="shared" si="74"/>
        <v>1.7124343160946849</v>
      </c>
      <c r="V25" s="59">
        <f t="shared" si="74"/>
        <v>1.7124343160946849</v>
      </c>
      <c r="W25" s="59">
        <f t="shared" si="74"/>
        <v>1.7124343160946849</v>
      </c>
      <c r="X25" s="59">
        <f t="shared" si="74"/>
        <v>1.7124343160946849</v>
      </c>
      <c r="Y25" s="59">
        <f t="shared" si="74"/>
        <v>1.7124343160946849</v>
      </c>
      <c r="Z25" s="59">
        <f t="shared" si="74"/>
        <v>1.7124343160946849</v>
      </c>
      <c r="AA25" s="60">
        <f t="shared" si="74"/>
        <v>1.7124343160946849</v>
      </c>
      <c r="AB25" s="59">
        <f t="shared" si="74"/>
        <v>1.7124343160946849</v>
      </c>
      <c r="AC25" s="59">
        <f t="shared" si="74"/>
        <v>1.7124343160946849</v>
      </c>
      <c r="AD25" s="59">
        <f t="shared" si="74"/>
        <v>1.7124343160946849</v>
      </c>
      <c r="AE25" s="59">
        <f t="shared" si="74"/>
        <v>1.7124343160946849</v>
      </c>
      <c r="AF25" s="59">
        <f t="shared" si="74"/>
        <v>1.7124343160946849</v>
      </c>
      <c r="AG25" s="59">
        <f t="shared" si="74"/>
        <v>1.7124343160946849</v>
      </c>
      <c r="AH25" s="59">
        <f t="shared" si="74"/>
        <v>1.7124343160946849</v>
      </c>
      <c r="AI25" s="59">
        <f t="shared" si="74"/>
        <v>1.7124343160946849</v>
      </c>
      <c r="AJ25" s="59">
        <f t="shared" si="74"/>
        <v>1.7124343160946849</v>
      </c>
      <c r="AK25" s="59">
        <f t="shared" si="74"/>
        <v>1.7124343160946849</v>
      </c>
      <c r="AL25" s="59">
        <f t="shared" si="74"/>
        <v>1.7124343160946849</v>
      </c>
      <c r="AM25" s="60">
        <f t="shared" si="74"/>
        <v>1.7124343160946849</v>
      </c>
    </row>
    <row r="27" spans="1:39" x14ac:dyDescent="0.35">
      <c r="A27" s="25" t="s">
        <v>267</v>
      </c>
      <c r="B27" s="4" t="s">
        <v>3</v>
      </c>
      <c r="C27" s="19">
        <f>$C$3</f>
        <v>45352</v>
      </c>
      <c r="D27" s="20">
        <f>EDATE(C27,1)</f>
        <v>45383</v>
      </c>
      <c r="E27" s="20">
        <f>EDATE(D27,1)</f>
        <v>45413</v>
      </c>
      <c r="F27" s="20">
        <f>EDATE(E27,1)</f>
        <v>45444</v>
      </c>
      <c r="G27" s="20">
        <f t="shared" ref="G27" si="75">EDATE(F27,1)</f>
        <v>45474</v>
      </c>
      <c r="H27" s="20">
        <f t="shared" ref="H27" si="76">EDATE(G27,1)</f>
        <v>45505</v>
      </c>
      <c r="I27" s="20">
        <f t="shared" ref="I27" si="77">EDATE(H27,1)</f>
        <v>45536</v>
      </c>
      <c r="J27" s="20">
        <f t="shared" ref="J27" si="78">EDATE(I27,1)</f>
        <v>45566</v>
      </c>
      <c r="K27" s="20">
        <f t="shared" ref="K27" si="79">EDATE(J27,1)</f>
        <v>45597</v>
      </c>
      <c r="L27" s="20">
        <f t="shared" ref="L27" si="80">EDATE(K27,1)</f>
        <v>45627</v>
      </c>
      <c r="M27" s="20">
        <f t="shared" ref="M27" si="81">EDATE(L27,1)</f>
        <v>45658</v>
      </c>
      <c r="N27" s="20">
        <f t="shared" ref="N27" si="82">EDATE(M27,1)</f>
        <v>45689</v>
      </c>
      <c r="O27" s="21">
        <f t="shared" ref="O27" si="83">EDATE(N27,1)</f>
        <v>45717</v>
      </c>
      <c r="P27" s="20">
        <f t="shared" ref="P27" si="84">EDATE(O27,1)</f>
        <v>45748</v>
      </c>
      <c r="Q27" s="20">
        <f t="shared" ref="Q27" si="85">EDATE(P27,1)</f>
        <v>45778</v>
      </c>
      <c r="R27" s="20">
        <f t="shared" ref="R27" si="86">EDATE(Q27,1)</f>
        <v>45809</v>
      </c>
      <c r="S27" s="20">
        <f t="shared" ref="S27" si="87">EDATE(R27,1)</f>
        <v>45839</v>
      </c>
      <c r="T27" s="20">
        <f t="shared" ref="T27" si="88">EDATE(S27,1)</f>
        <v>45870</v>
      </c>
      <c r="U27" s="20">
        <f t="shared" ref="U27" si="89">EDATE(T27,1)</f>
        <v>45901</v>
      </c>
      <c r="V27" s="20">
        <f t="shared" ref="V27" si="90">EDATE(U27,1)</f>
        <v>45931</v>
      </c>
      <c r="W27" s="20">
        <f t="shared" ref="W27" si="91">EDATE(V27,1)</f>
        <v>45962</v>
      </c>
      <c r="X27" s="20">
        <f t="shared" ref="X27" si="92">EDATE(W27,1)</f>
        <v>45992</v>
      </c>
      <c r="Y27" s="20">
        <f t="shared" ref="Y27" si="93">EDATE(X27,1)</f>
        <v>46023</v>
      </c>
      <c r="Z27" s="20">
        <f t="shared" ref="Z27" si="94">EDATE(Y27,1)</f>
        <v>46054</v>
      </c>
      <c r="AA27" s="21">
        <f t="shared" ref="AA27" si="95">EDATE(Z27,1)</f>
        <v>46082</v>
      </c>
      <c r="AB27" s="20">
        <f t="shared" ref="AB27" si="96">EDATE(AA27,1)</f>
        <v>46113</v>
      </c>
      <c r="AC27" s="20">
        <f t="shared" ref="AC27" si="97">EDATE(AB27,1)</f>
        <v>46143</v>
      </c>
      <c r="AD27" s="20">
        <f t="shared" ref="AD27" si="98">EDATE(AC27,1)</f>
        <v>46174</v>
      </c>
      <c r="AE27" s="20">
        <f t="shared" ref="AE27" si="99">EDATE(AD27,1)</f>
        <v>46204</v>
      </c>
      <c r="AF27" s="20">
        <f t="shared" ref="AF27" si="100">EDATE(AE27,1)</f>
        <v>46235</v>
      </c>
      <c r="AG27" s="20">
        <f t="shared" ref="AG27" si="101">EDATE(AF27,1)</f>
        <v>46266</v>
      </c>
      <c r="AH27" s="20">
        <f t="shared" ref="AH27" si="102">EDATE(AG27,1)</f>
        <v>46296</v>
      </c>
      <c r="AI27" s="20">
        <f t="shared" ref="AI27" si="103">EDATE(AH27,1)</f>
        <v>46327</v>
      </c>
      <c r="AJ27" s="20">
        <f t="shared" ref="AJ27" si="104">EDATE(AI27,1)</f>
        <v>46357</v>
      </c>
      <c r="AK27" s="20">
        <f t="shared" ref="AK27" si="105">EDATE(AJ27,1)</f>
        <v>46388</v>
      </c>
      <c r="AL27" s="20">
        <f t="shared" ref="AL27" si="106">EDATE(AK27,1)</f>
        <v>46419</v>
      </c>
      <c r="AM27" s="21">
        <f t="shared" ref="AM27" si="107">EDATE(AL27,1)</f>
        <v>46447</v>
      </c>
    </row>
    <row r="28" spans="1:39" x14ac:dyDescent="0.35">
      <c r="A28" s="15" t="s">
        <v>267</v>
      </c>
      <c r="B28" s="15" t="s">
        <v>188</v>
      </c>
      <c r="C28" s="16">
        <f>SUM(C29:C31)</f>
        <v>0</v>
      </c>
      <c r="D28" s="17">
        <f t="shared" ref="D28:AM28" si="108">SUM(D29:D31)</f>
        <v>0</v>
      </c>
      <c r="E28" s="17">
        <f t="shared" si="108"/>
        <v>0</v>
      </c>
      <c r="F28" s="17">
        <f t="shared" si="108"/>
        <v>0</v>
      </c>
      <c r="G28" s="17">
        <f t="shared" si="108"/>
        <v>0</v>
      </c>
      <c r="H28" s="17">
        <f t="shared" si="108"/>
        <v>0</v>
      </c>
      <c r="I28" s="17">
        <f t="shared" si="108"/>
        <v>0</v>
      </c>
      <c r="J28" s="17">
        <f t="shared" si="108"/>
        <v>123.85581460278414</v>
      </c>
      <c r="K28" s="17">
        <f t="shared" si="108"/>
        <v>131.34391435480194</v>
      </c>
      <c r="L28" s="17">
        <f t="shared" si="108"/>
        <v>132.0277755876582</v>
      </c>
      <c r="M28" s="17">
        <f t="shared" si="108"/>
        <v>140.35001352777579</v>
      </c>
      <c r="N28" s="17">
        <f t="shared" si="108"/>
        <v>140.46333785443244</v>
      </c>
      <c r="O28" s="18">
        <f t="shared" si="108"/>
        <v>169.22074332956691</v>
      </c>
      <c r="P28" s="17">
        <f t="shared" si="108"/>
        <v>153.08309410514329</v>
      </c>
      <c r="Q28" s="17">
        <f t="shared" si="108"/>
        <v>154.60836297545382</v>
      </c>
      <c r="R28" s="17">
        <f t="shared" si="108"/>
        <v>156.60948096889649</v>
      </c>
      <c r="S28" s="17">
        <f t="shared" si="108"/>
        <v>165.636375664339</v>
      </c>
      <c r="T28" s="17">
        <f t="shared" si="108"/>
        <v>171.45810272022703</v>
      </c>
      <c r="U28" s="17">
        <f t="shared" si="108"/>
        <v>178.44695488341108</v>
      </c>
      <c r="V28" s="17">
        <f t="shared" si="108"/>
        <v>180.60928500196684</v>
      </c>
      <c r="W28" s="17">
        <f t="shared" si="108"/>
        <v>182.39342843344483</v>
      </c>
      <c r="X28" s="17">
        <f t="shared" si="108"/>
        <v>176.87775804026955</v>
      </c>
      <c r="Y28" s="17">
        <f t="shared" si="108"/>
        <v>181.22094863006689</v>
      </c>
      <c r="Z28" s="17">
        <f t="shared" si="108"/>
        <v>176.54400511714047</v>
      </c>
      <c r="AA28" s="18">
        <f t="shared" si="108"/>
        <v>179.62216510695194</v>
      </c>
      <c r="AB28" s="17">
        <f t="shared" si="108"/>
        <v>182.51422768540479</v>
      </c>
      <c r="AC28" s="17">
        <f t="shared" si="108"/>
        <v>178.58386796308866</v>
      </c>
      <c r="AD28" s="17">
        <f t="shared" si="108"/>
        <v>174.32096949649335</v>
      </c>
      <c r="AE28" s="17">
        <f t="shared" si="108"/>
        <v>175.18899914946647</v>
      </c>
      <c r="AF28" s="17">
        <f t="shared" si="108"/>
        <v>175.76960792093658</v>
      </c>
      <c r="AG28" s="17">
        <f t="shared" si="108"/>
        <v>176.5072314125307</v>
      </c>
      <c r="AH28" s="17">
        <f t="shared" si="108"/>
        <v>182.38670359942637</v>
      </c>
      <c r="AI28" s="17">
        <f t="shared" si="108"/>
        <v>188.32217947134359</v>
      </c>
      <c r="AJ28" s="17">
        <f t="shared" si="108"/>
        <v>188.95224367066413</v>
      </c>
      <c r="AK28" s="17">
        <f t="shared" si="108"/>
        <v>196.15235477049313</v>
      </c>
      <c r="AL28" s="17">
        <f t="shared" si="108"/>
        <v>195.6978393132936</v>
      </c>
      <c r="AM28" s="18">
        <f t="shared" si="108"/>
        <v>199.26182251269978</v>
      </c>
    </row>
    <row r="29" spans="1:39" x14ac:dyDescent="0.35">
      <c r="A29" s="1" t="s">
        <v>267</v>
      </c>
      <c r="B29" s="1" t="s">
        <v>157</v>
      </c>
      <c r="C29" s="52">
        <f>'Input - GNPA'!C124</f>
        <v>0</v>
      </c>
      <c r="D29" s="53">
        <f>'Input - GNPA'!D124</f>
        <v>0</v>
      </c>
      <c r="E29" s="53">
        <f>'Input - GNPA'!E124</f>
        <v>0</v>
      </c>
      <c r="F29" s="53">
        <f>'Input - GNPA'!F124</f>
        <v>0</v>
      </c>
      <c r="G29" s="53">
        <f>'Input - GNPA'!G124</f>
        <v>0</v>
      </c>
      <c r="H29" s="53">
        <f>'Input - GNPA'!H124</f>
        <v>0</v>
      </c>
      <c r="I29" s="53">
        <f>'Input - GNPA'!I124</f>
        <v>0</v>
      </c>
      <c r="J29" s="53">
        <f>'Input - GNPA'!J124</f>
        <v>74.713709473704441</v>
      </c>
      <c r="K29" s="53">
        <f>'Input - GNPA'!K124</f>
        <v>79.148252013110479</v>
      </c>
      <c r="L29" s="53">
        <f>'Input - GNPA'!L124</f>
        <v>83.942584737038032</v>
      </c>
      <c r="M29" s="53">
        <f>'Input - GNPA'!M124</f>
        <v>89.10734058081789</v>
      </c>
      <c r="N29" s="53">
        <f>'Input - GNPA'!N124</f>
        <v>94.041724744812228</v>
      </c>
      <c r="O29" s="54">
        <f>'Input - GNPA'!O124</f>
        <v>111.91509461399971</v>
      </c>
      <c r="P29" s="53">
        <f>'Input - GNPA'!P124</f>
        <v>104.15499979742057</v>
      </c>
      <c r="Q29" s="53">
        <f>'Input - GNPA'!Q124</f>
        <v>104.5438903310619</v>
      </c>
      <c r="R29" s="53">
        <f>'Input - GNPA'!R124</f>
        <v>105.408902778765</v>
      </c>
      <c r="S29" s="53">
        <f>'Input - GNPA'!S124</f>
        <v>111.9305829325447</v>
      </c>
      <c r="T29" s="53">
        <f>'Input - GNPA'!T124</f>
        <v>115.32314417921337</v>
      </c>
      <c r="U29" s="53">
        <f>'Input - GNPA'!U124</f>
        <v>119.58653440502955</v>
      </c>
      <c r="V29" s="53">
        <f>'Input - GNPA'!V124</f>
        <v>120.69218684391647</v>
      </c>
      <c r="W29" s="53">
        <f>'Input - GNPA'!W124</f>
        <v>121.38106897100192</v>
      </c>
      <c r="X29" s="53">
        <f>'Input - GNPA'!X124</f>
        <v>122.73469803341962</v>
      </c>
      <c r="Y29" s="53">
        <f>'Input - GNPA'!Y124</f>
        <v>124.99096367333109</v>
      </c>
      <c r="Z29" s="53">
        <f>'Input - GNPA'!Z124</f>
        <v>126.758153409258</v>
      </c>
      <c r="AA29" s="54">
        <f>'Input - GNPA'!AA124</f>
        <v>127.77458654629008</v>
      </c>
      <c r="AB29" s="53">
        <f>'Input - GNPA'!AB124</f>
        <v>132.94773295297011</v>
      </c>
      <c r="AC29" s="53">
        <f>'Input - GNPA'!AC124</f>
        <v>129.71317229066852</v>
      </c>
      <c r="AD29" s="53">
        <f>'Input - GNPA'!AD124</f>
        <v>125.76079067007089</v>
      </c>
      <c r="AE29" s="53">
        <f>'Input - GNPA'!AE124</f>
        <v>125.28955302649929</v>
      </c>
      <c r="AF29" s="53">
        <f>'Input - GNPA'!AF124</f>
        <v>124.246467335102</v>
      </c>
      <c r="AG29" s="53">
        <f>'Input - GNPA'!AG124</f>
        <v>124.96718267236639</v>
      </c>
      <c r="AH29" s="53">
        <f>'Input - GNPA'!AH124</f>
        <v>128.35942257074441</v>
      </c>
      <c r="AI29" s="53">
        <f>'Input - GNPA'!AI124</f>
        <v>131.88307518914138</v>
      </c>
      <c r="AJ29" s="53">
        <f>'Input - GNPA'!AJ124</f>
        <v>135.79651958717434</v>
      </c>
      <c r="AK29" s="53">
        <f>'Input - GNPA'!AK124</f>
        <v>140.25770952551449</v>
      </c>
      <c r="AL29" s="53">
        <f>'Input - GNPA'!AL124</f>
        <v>143.50448971762836</v>
      </c>
      <c r="AM29" s="54">
        <f>'Input - GNPA'!AM124</f>
        <v>145.49825545481715</v>
      </c>
    </row>
    <row r="30" spans="1:39" x14ac:dyDescent="0.35">
      <c r="A30" s="2" t="s">
        <v>267</v>
      </c>
      <c r="B30" s="2" t="s">
        <v>158</v>
      </c>
      <c r="C30" s="55">
        <f>'Input - GNPA'!C125</f>
        <v>0</v>
      </c>
      <c r="D30" s="56">
        <f>'Input - GNPA'!D125</f>
        <v>0</v>
      </c>
      <c r="E30" s="56">
        <f>'Input - GNPA'!E125</f>
        <v>0</v>
      </c>
      <c r="F30" s="56">
        <f>'Input - GNPA'!F125</f>
        <v>0</v>
      </c>
      <c r="G30" s="56">
        <f>'Input - GNPA'!G125</f>
        <v>0</v>
      </c>
      <c r="H30" s="56">
        <f>'Input - GNPA'!H125</f>
        <v>0</v>
      </c>
      <c r="I30" s="56">
        <f>'Input - GNPA'!I125</f>
        <v>0</v>
      </c>
      <c r="J30" s="56">
        <f>'Input - GNPA'!J125</f>
        <v>49.142105129079688</v>
      </c>
      <c r="K30" s="56">
        <f>'Input - GNPA'!K125</f>
        <v>52.195662341691467</v>
      </c>
      <c r="L30" s="56">
        <f>'Input - GNPA'!L125</f>
        <v>48.08519085062018</v>
      </c>
      <c r="M30" s="56">
        <f>'Input - GNPA'!M125</f>
        <v>51.242672946957889</v>
      </c>
      <c r="N30" s="56">
        <f>'Input - GNPA'!N125</f>
        <v>46.421613109620196</v>
      </c>
      <c r="O30" s="57">
        <f>'Input - GNPA'!O125</f>
        <v>57.305648715567202</v>
      </c>
      <c r="P30" s="56">
        <f>'Input - GNPA'!P125</f>
        <v>48.928094307722723</v>
      </c>
      <c r="Q30" s="56">
        <f>'Input - GNPA'!Q125</f>
        <v>50.06447264439192</v>
      </c>
      <c r="R30" s="56">
        <f>'Input - GNPA'!R125</f>
        <v>51.200578190131488</v>
      </c>
      <c r="S30" s="56">
        <f>'Input - GNPA'!S125</f>
        <v>53.705792731794311</v>
      </c>
      <c r="T30" s="56">
        <f>'Input - GNPA'!T125</f>
        <v>56.134958541013674</v>
      </c>
      <c r="U30" s="56">
        <f>'Input - GNPA'!U125</f>
        <v>58.860420478381513</v>
      </c>
      <c r="V30" s="56">
        <f>'Input - GNPA'!V125</f>
        <v>59.917098158050351</v>
      </c>
      <c r="W30" s="56">
        <f>'Input - GNPA'!W125</f>
        <v>61.012359462442902</v>
      </c>
      <c r="X30" s="56">
        <f>'Input - GNPA'!X125</f>
        <v>54.143060006849922</v>
      </c>
      <c r="Y30" s="56">
        <f>'Input - GNPA'!Y125</f>
        <v>56.229984956735791</v>
      </c>
      <c r="Z30" s="56">
        <f>'Input - GNPA'!Z125</f>
        <v>49.785851707882472</v>
      </c>
      <c r="AA30" s="57">
        <f>'Input - GNPA'!AA125</f>
        <v>51.847578560661852</v>
      </c>
      <c r="AB30" s="56">
        <f>'Input - GNPA'!AB125</f>
        <v>49.566494732434684</v>
      </c>
      <c r="AC30" s="56">
        <f>'Input - GNPA'!AC125</f>
        <v>48.87069567242014</v>
      </c>
      <c r="AD30" s="56">
        <f>'Input - GNPA'!AD125</f>
        <v>48.560178826422451</v>
      </c>
      <c r="AE30" s="56">
        <f>'Input - GNPA'!AE125</f>
        <v>49.89944612296717</v>
      </c>
      <c r="AF30" s="56">
        <f>'Input - GNPA'!AF125</f>
        <v>51.523140585834575</v>
      </c>
      <c r="AG30" s="56">
        <f>'Input - GNPA'!AG125</f>
        <v>51.540048740164295</v>
      </c>
      <c r="AH30" s="56">
        <f>'Input - GNPA'!AH125</f>
        <v>54.027281028681941</v>
      </c>
      <c r="AI30" s="56">
        <f>'Input - GNPA'!AI125</f>
        <v>56.439104282202223</v>
      </c>
      <c r="AJ30" s="56">
        <f>'Input - GNPA'!AJ125</f>
        <v>53.155724083489773</v>
      </c>
      <c r="AK30" s="56">
        <f>'Input - GNPA'!AK125</f>
        <v>55.894645244978655</v>
      </c>
      <c r="AL30" s="56">
        <f>'Input - GNPA'!AL125</f>
        <v>52.193349595665232</v>
      </c>
      <c r="AM30" s="57">
        <f>'Input - GNPA'!AM125</f>
        <v>53.763567057882618</v>
      </c>
    </row>
    <row r="31" spans="1:39" x14ac:dyDescent="0.35">
      <c r="A31" s="3" t="s">
        <v>267</v>
      </c>
      <c r="B31" s="3" t="s">
        <v>159</v>
      </c>
      <c r="C31" s="58">
        <f>'Input - GNPA'!C126</f>
        <v>0</v>
      </c>
      <c r="D31" s="59">
        <f>'Input - GNPA'!D126</f>
        <v>0</v>
      </c>
      <c r="E31" s="59">
        <f>'Input - GNPA'!E126</f>
        <v>0</v>
      </c>
      <c r="F31" s="59">
        <f>'Input - GNPA'!F126</f>
        <v>0</v>
      </c>
      <c r="G31" s="59">
        <f>'Input - GNPA'!G126</f>
        <v>0</v>
      </c>
      <c r="H31" s="59">
        <f>'Input - GNPA'!H126</f>
        <v>0</v>
      </c>
      <c r="I31" s="59">
        <f>'Input - GNPA'!I126</f>
        <v>0</v>
      </c>
      <c r="J31" s="59">
        <f>'Input - GNPA'!J126</f>
        <v>0</v>
      </c>
      <c r="K31" s="59">
        <f>'Input - GNPA'!K126</f>
        <v>0</v>
      </c>
      <c r="L31" s="59">
        <f>'Input - GNPA'!L126</f>
        <v>0</v>
      </c>
      <c r="M31" s="59">
        <f>'Input - GNPA'!M126</f>
        <v>0</v>
      </c>
      <c r="N31" s="59">
        <f>'Input - GNPA'!N126</f>
        <v>0</v>
      </c>
      <c r="O31" s="60">
        <f>'Input - GNPA'!O126</f>
        <v>0</v>
      </c>
      <c r="P31" s="59">
        <f>'Input - GNPA'!P126</f>
        <v>0</v>
      </c>
      <c r="Q31" s="59">
        <f>'Input - GNPA'!Q126</f>
        <v>0</v>
      </c>
      <c r="R31" s="59">
        <f>'Input - GNPA'!R126</f>
        <v>0</v>
      </c>
      <c r="S31" s="59">
        <f>'Input - GNPA'!S126</f>
        <v>0</v>
      </c>
      <c r="T31" s="59">
        <f>'Input - GNPA'!T126</f>
        <v>0</v>
      </c>
      <c r="U31" s="59">
        <f>'Input - GNPA'!U126</f>
        <v>0</v>
      </c>
      <c r="V31" s="59">
        <f>'Input - GNPA'!V126</f>
        <v>0</v>
      </c>
      <c r="W31" s="59">
        <f>'Input - GNPA'!W126</f>
        <v>0</v>
      </c>
      <c r="X31" s="59">
        <f>'Input - GNPA'!X126</f>
        <v>0</v>
      </c>
      <c r="Y31" s="59">
        <f>'Input - GNPA'!Y126</f>
        <v>0</v>
      </c>
      <c r="Z31" s="59">
        <f>'Input - GNPA'!Z126</f>
        <v>0</v>
      </c>
      <c r="AA31" s="60">
        <f>'Input - GNPA'!AA126</f>
        <v>0</v>
      </c>
      <c r="AB31" s="59">
        <f>'Input - GNPA'!AB126</f>
        <v>0</v>
      </c>
      <c r="AC31" s="59">
        <f>'Input - GNPA'!AC126</f>
        <v>0</v>
      </c>
      <c r="AD31" s="59">
        <f>'Input - GNPA'!AD126</f>
        <v>0</v>
      </c>
      <c r="AE31" s="59">
        <f>'Input - GNPA'!AE126</f>
        <v>0</v>
      </c>
      <c r="AF31" s="59">
        <f>'Input - GNPA'!AF126</f>
        <v>0</v>
      </c>
      <c r="AG31" s="59">
        <f>'Input - GNPA'!AG126</f>
        <v>0</v>
      </c>
      <c r="AH31" s="59">
        <f>'Input - GNPA'!AH126</f>
        <v>0</v>
      </c>
      <c r="AI31" s="59">
        <f>'Input - GNPA'!AI126</f>
        <v>0</v>
      </c>
      <c r="AJ31" s="59">
        <f>'Input - GNPA'!AJ126</f>
        <v>0</v>
      </c>
      <c r="AK31" s="59">
        <f>'Input - GNPA'!AK126</f>
        <v>0</v>
      </c>
      <c r="AL31" s="59">
        <f>'Input - GNPA'!AL126</f>
        <v>0</v>
      </c>
      <c r="AM31" s="60">
        <f>'Input - GNPA'!AM126</f>
        <v>0</v>
      </c>
    </row>
  </sheetData>
  <conditionalFormatting sqref="C16:AM16">
    <cfRule type="expression" dxfId="122" priority="7">
      <formula>C$1="SL3"</formula>
    </cfRule>
    <cfRule type="expression" dxfId="121" priority="8">
      <formula>C$1="SL2"</formula>
    </cfRule>
    <cfRule type="expression" dxfId="120" priority="9">
      <formula>C$1="SL1"</formula>
    </cfRule>
  </conditionalFormatting>
  <conditionalFormatting sqref="C22:AM22">
    <cfRule type="expression" dxfId="119" priority="4">
      <formula>C$1="SL3"</formula>
    </cfRule>
    <cfRule type="expression" dxfId="118" priority="5">
      <formula>C$1="SL2"</formula>
    </cfRule>
    <cfRule type="expression" dxfId="117" priority="6">
      <formula>C$1="SL1"</formula>
    </cfRule>
  </conditionalFormatting>
  <conditionalFormatting sqref="C28:AM28">
    <cfRule type="expression" dxfId="116" priority="1">
      <formula>C$1="SL3"</formula>
    </cfRule>
    <cfRule type="expression" dxfId="115" priority="2">
      <formula>C$1="SL2"</formula>
    </cfRule>
    <cfRule type="expression" dxfId="114" priority="3">
      <formula>C$1="SL1"</formula>
    </cfRule>
  </conditionalFormatting>
  <conditionalFormatting sqref="C4:BJ4">
    <cfRule type="expression" dxfId="113" priority="13">
      <formula>C$1="SL3"</formula>
    </cfRule>
    <cfRule type="expression" dxfId="112" priority="14">
      <formula>C$1="SL2"</formula>
    </cfRule>
    <cfRule type="expression" dxfId="111" priority="15">
      <formula>C$1="SL1"</formula>
    </cfRule>
  </conditionalFormatting>
  <conditionalFormatting sqref="C10:BJ10">
    <cfRule type="expression" dxfId="110" priority="10">
      <formula>C$1="SL3"</formula>
    </cfRule>
    <cfRule type="expression" dxfId="109" priority="11">
      <formula>C$1="SL2"</formula>
    </cfRule>
    <cfRule type="expression" dxfId="108" priority="12">
      <formula>C$1="SL1"</formula>
    </cfRule>
  </conditionalFormatting>
  <hyperlinks>
    <hyperlink ref="A1" location="Index!C9" display="Back - Index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98"/>
  <sheetViews>
    <sheetView showGridLines="0" workbookViewId="0">
      <pane xSplit="2" ySplit="3" topLeftCell="C4" activePane="bottomRight" state="frozen"/>
      <selection pane="topRight" activeCell="C1" sqref="C1"/>
      <selection pane="bottomLeft" activeCell="A3" sqref="A3"/>
      <selection pane="bottomRight"/>
    </sheetView>
  </sheetViews>
  <sheetFormatPr defaultRowHeight="14.5" outlineLevelRow="1" x14ac:dyDescent="0.35"/>
  <cols>
    <col min="1" max="1" width="20.54296875" bestFit="1" customWidth="1"/>
    <col min="2" max="2" width="11.1796875" bestFit="1" customWidth="1"/>
    <col min="40" max="62" width="0" hidden="1" customWidth="1"/>
  </cols>
  <sheetData>
    <row r="1" spans="1:62" x14ac:dyDescent="0.35">
      <c r="A1" s="122" t="s">
        <v>117</v>
      </c>
      <c r="C1" s="28" t="str">
        <f>LOOKUP(C3,'Input-Stress Parameters'!$C$9:$BJ$9,'Input-Stress Parameters'!$C$11:$BJ$11)</f>
        <v>N</v>
      </c>
      <c r="D1" s="28" t="str">
        <f>LOOKUP(D3,'Input-Stress Parameters'!$C$9:$BJ$9,'Input-Stress Parameters'!$C$11:$BJ$11)</f>
        <v>SL1</v>
      </c>
      <c r="E1" s="28" t="str">
        <f>LOOKUP(E3,'Input-Stress Parameters'!$C$9:$BJ$9,'Input-Stress Parameters'!$C$11:$BJ$11)</f>
        <v>SL1</v>
      </c>
      <c r="F1" s="28" t="str">
        <f>LOOKUP(F3,'Input-Stress Parameters'!$C$9:$BJ$9,'Input-Stress Parameters'!$C$11:$BJ$11)</f>
        <v>SL1</v>
      </c>
      <c r="G1" s="28" t="str">
        <f>LOOKUP(G3,'Input-Stress Parameters'!$C$9:$BJ$9,'Input-Stress Parameters'!$C$11:$BJ$11)</f>
        <v>SL1</v>
      </c>
      <c r="H1" s="28" t="str">
        <f>LOOKUP(H3,'Input-Stress Parameters'!$C$9:$BJ$9,'Input-Stress Parameters'!$C$11:$BJ$11)</f>
        <v>SL1</v>
      </c>
      <c r="I1" s="28" t="str">
        <f>LOOKUP(I3,'Input-Stress Parameters'!$C$9:$BJ$9,'Input-Stress Parameters'!$C$11:$BJ$11)</f>
        <v>SL1</v>
      </c>
      <c r="J1" s="28" t="str">
        <f>LOOKUP(J3,'Input-Stress Parameters'!$C$9:$BJ$9,'Input-Stress Parameters'!$C$11:$BJ$11)</f>
        <v>SL2</v>
      </c>
      <c r="K1" s="28" t="str">
        <f>LOOKUP(K3,'Input-Stress Parameters'!$C$9:$BJ$9,'Input-Stress Parameters'!$C$11:$BJ$11)</f>
        <v>SL2</v>
      </c>
      <c r="L1" s="28" t="str">
        <f>LOOKUP(L3,'Input-Stress Parameters'!$C$9:$BJ$9,'Input-Stress Parameters'!$C$11:$BJ$11)</f>
        <v>SL2</v>
      </c>
      <c r="M1" s="28" t="str">
        <f>LOOKUP(M3,'Input-Stress Parameters'!$C$9:$BJ$9,'Input-Stress Parameters'!$C$11:$BJ$11)</f>
        <v>SL2</v>
      </c>
      <c r="N1" s="28" t="str">
        <f>LOOKUP(N3,'Input-Stress Parameters'!$C$9:$BJ$9,'Input-Stress Parameters'!$C$11:$BJ$11)</f>
        <v>SL2</v>
      </c>
      <c r="O1" s="28" t="str">
        <f>LOOKUP(O3,'Input-Stress Parameters'!$C$9:$BJ$9,'Input-Stress Parameters'!$C$11:$BJ$11)</f>
        <v>SL2</v>
      </c>
      <c r="P1" s="28" t="str">
        <f>LOOKUP(P3,'Input-Stress Parameters'!$C$9:$BJ$9,'Input-Stress Parameters'!$C$11:$BJ$11)</f>
        <v>SL2</v>
      </c>
      <c r="Q1" s="28" t="str">
        <f>LOOKUP(Q3,'Input-Stress Parameters'!$C$9:$BJ$9,'Input-Stress Parameters'!$C$11:$BJ$11)</f>
        <v>SL2</v>
      </c>
      <c r="R1" s="28" t="str">
        <f>LOOKUP(R3,'Input-Stress Parameters'!$C$9:$BJ$9,'Input-Stress Parameters'!$C$11:$BJ$11)</f>
        <v>SL2</v>
      </c>
      <c r="S1" s="28" t="str">
        <f>LOOKUP(S3,'Input-Stress Parameters'!$C$9:$BJ$9,'Input-Stress Parameters'!$C$11:$BJ$11)</f>
        <v>SL2</v>
      </c>
      <c r="T1" s="28" t="str">
        <f>LOOKUP(T3,'Input-Stress Parameters'!$C$9:$BJ$9,'Input-Stress Parameters'!$C$11:$BJ$11)</f>
        <v>SL2</v>
      </c>
      <c r="U1" s="28" t="str">
        <f>LOOKUP(U3,'Input-Stress Parameters'!$C$9:$BJ$9,'Input-Stress Parameters'!$C$11:$BJ$11)</f>
        <v>SL2</v>
      </c>
      <c r="V1" s="28" t="str">
        <f>LOOKUP(V3,'Input-Stress Parameters'!$C$9:$BJ$9,'Input-Stress Parameters'!$C$11:$BJ$11)</f>
        <v>SL3</v>
      </c>
      <c r="W1" s="28" t="str">
        <f>LOOKUP(W3,'Input-Stress Parameters'!$C$9:$BJ$9,'Input-Stress Parameters'!$C$11:$BJ$11)</f>
        <v>SL3</v>
      </c>
      <c r="X1" s="28" t="str">
        <f>LOOKUP(X3,'Input-Stress Parameters'!$C$9:$BJ$9,'Input-Stress Parameters'!$C$11:$BJ$11)</f>
        <v>SL3</v>
      </c>
      <c r="Y1" s="28" t="str">
        <f>LOOKUP(Y3,'Input-Stress Parameters'!$C$9:$BJ$9,'Input-Stress Parameters'!$C$11:$BJ$11)</f>
        <v>SL3</v>
      </c>
      <c r="Z1" s="28" t="str">
        <f>LOOKUP(Z3,'Input-Stress Parameters'!$C$9:$BJ$9,'Input-Stress Parameters'!$C$11:$BJ$11)</f>
        <v>SL3</v>
      </c>
      <c r="AA1" s="28" t="str">
        <f>LOOKUP(AA3,'Input-Stress Parameters'!$C$9:$BJ$9,'Input-Stress Parameters'!$C$11:$BJ$11)</f>
        <v>SL3</v>
      </c>
      <c r="AB1" s="28" t="str">
        <f>LOOKUP(AB3,'Input-Stress Parameters'!$C$9:$BJ$9,'Input-Stress Parameters'!$C$11:$BJ$11)</f>
        <v>SL3</v>
      </c>
      <c r="AC1" s="28" t="str">
        <f>LOOKUP(AC3,'Input-Stress Parameters'!$C$9:$BJ$9,'Input-Stress Parameters'!$C$11:$BJ$11)</f>
        <v>SL3</v>
      </c>
      <c r="AD1" s="28" t="str">
        <f>LOOKUP(AD3,'Input-Stress Parameters'!$C$9:$BJ$9,'Input-Stress Parameters'!$C$11:$BJ$11)</f>
        <v>SL3</v>
      </c>
      <c r="AE1" s="28" t="str">
        <f>LOOKUP(AE3,'Input-Stress Parameters'!$C$9:$BJ$9,'Input-Stress Parameters'!$C$11:$BJ$11)</f>
        <v>SL3</v>
      </c>
      <c r="AF1" s="28" t="str">
        <f>LOOKUP(AF3,'Input-Stress Parameters'!$C$9:$BJ$9,'Input-Stress Parameters'!$C$11:$BJ$11)</f>
        <v>SL3</v>
      </c>
      <c r="AG1" s="28" t="str">
        <f>LOOKUP(AG3,'Input-Stress Parameters'!$C$9:$BJ$9,'Input-Stress Parameters'!$C$11:$BJ$11)</f>
        <v>SL3</v>
      </c>
      <c r="AH1" s="28" t="str">
        <f>LOOKUP(AH3,'Input-Stress Parameters'!$C$9:$BJ$9,'Input-Stress Parameters'!$C$11:$BJ$11)</f>
        <v>N</v>
      </c>
      <c r="AI1" s="28" t="str">
        <f>LOOKUP(AI3,'Input-Stress Parameters'!$C$9:$BJ$9,'Input-Stress Parameters'!$C$11:$BJ$11)</f>
        <v>N</v>
      </c>
      <c r="AJ1" s="28" t="str">
        <f>LOOKUP(AJ3,'Input-Stress Parameters'!$C$9:$BJ$9,'Input-Stress Parameters'!$C$11:$BJ$11)</f>
        <v>N</v>
      </c>
      <c r="AK1" s="28" t="str">
        <f>LOOKUP(AK3,'Input-Stress Parameters'!$C$9:$BJ$9,'Input-Stress Parameters'!$C$11:$BJ$11)</f>
        <v>N</v>
      </c>
      <c r="AL1" s="28" t="str">
        <f>LOOKUP(AL3,'Input-Stress Parameters'!$C$9:$BJ$9,'Input-Stress Parameters'!$C$11:$BJ$11)</f>
        <v>N</v>
      </c>
      <c r="AM1" s="28" t="str">
        <f>LOOKUP(AM3,'Input-Stress Parameters'!$C$9:$BJ$9,'Input-Stress Parameters'!$C$11:$BJ$11)</f>
        <v>N</v>
      </c>
      <c r="AN1" s="28" t="str">
        <f>LOOKUP(AN3,'Input-Stress Parameters'!$C$9:$BJ$9,'Input-Stress Parameters'!$C$11:$BJ$11)</f>
        <v>N</v>
      </c>
      <c r="AO1" s="28" t="str">
        <f>LOOKUP(AO3,'Input-Stress Parameters'!$C$9:$BJ$9,'Input-Stress Parameters'!$C$11:$BJ$11)</f>
        <v>N</v>
      </c>
      <c r="AP1" s="28" t="str">
        <f>LOOKUP(AP3,'Input-Stress Parameters'!$C$9:$BJ$9,'Input-Stress Parameters'!$C$11:$BJ$11)</f>
        <v>N</v>
      </c>
      <c r="AQ1" s="28" t="str">
        <f>LOOKUP(AQ3,'Input-Stress Parameters'!$C$9:$BJ$9,'Input-Stress Parameters'!$C$11:$BJ$11)</f>
        <v>N</v>
      </c>
      <c r="AR1" s="28" t="str">
        <f>LOOKUP(AR3,'Input-Stress Parameters'!$C$9:$BJ$9,'Input-Stress Parameters'!$C$11:$BJ$11)</f>
        <v>N</v>
      </c>
      <c r="AS1" s="28" t="str">
        <f>LOOKUP(AS3,'Input-Stress Parameters'!$C$9:$BJ$9,'Input-Stress Parameters'!$C$11:$BJ$11)</f>
        <v>N</v>
      </c>
      <c r="AT1" s="28" t="str">
        <f>LOOKUP(AT3,'Input-Stress Parameters'!$C$9:$BJ$9,'Input-Stress Parameters'!$C$11:$BJ$11)</f>
        <v>N</v>
      </c>
      <c r="AU1" s="28" t="str">
        <f>LOOKUP(AU3,'Input-Stress Parameters'!$C$9:$BJ$9,'Input-Stress Parameters'!$C$11:$BJ$11)</f>
        <v>N</v>
      </c>
      <c r="AV1" s="28" t="str">
        <f>LOOKUP(AV3,'Input-Stress Parameters'!$C$9:$BJ$9,'Input-Stress Parameters'!$C$11:$BJ$11)</f>
        <v>N</v>
      </c>
      <c r="AW1" s="28" t="str">
        <f>LOOKUP(AW3,'Input-Stress Parameters'!$C$9:$BJ$9,'Input-Stress Parameters'!$C$11:$BJ$11)</f>
        <v>N</v>
      </c>
      <c r="AX1" s="28" t="str">
        <f>LOOKUP(AX3,'Input-Stress Parameters'!$C$9:$BJ$9,'Input-Stress Parameters'!$C$11:$BJ$11)</f>
        <v>N</v>
      </c>
      <c r="AY1" s="28" t="str">
        <f>LOOKUP(AY3,'Input-Stress Parameters'!$C$9:$BJ$9,'Input-Stress Parameters'!$C$11:$BJ$11)</f>
        <v>N</v>
      </c>
      <c r="AZ1" s="28" t="str">
        <f>LOOKUP(AZ3,'Input-Stress Parameters'!$C$9:$BJ$9,'Input-Stress Parameters'!$C$11:$BJ$11)</f>
        <v>N</v>
      </c>
      <c r="BA1" s="28" t="str">
        <f>LOOKUP(BA3,'Input-Stress Parameters'!$C$9:$BJ$9,'Input-Stress Parameters'!$C$11:$BJ$11)</f>
        <v>N</v>
      </c>
      <c r="BB1" s="28" t="str">
        <f>LOOKUP(BB3,'Input-Stress Parameters'!$C$9:$BJ$9,'Input-Stress Parameters'!$C$11:$BJ$11)</f>
        <v>N</v>
      </c>
      <c r="BC1" s="28" t="str">
        <f>LOOKUP(BC3,'Input-Stress Parameters'!$C$9:$BJ$9,'Input-Stress Parameters'!$C$11:$BJ$11)</f>
        <v>N</v>
      </c>
      <c r="BD1" s="28" t="str">
        <f>LOOKUP(BD3,'Input-Stress Parameters'!$C$9:$BJ$9,'Input-Stress Parameters'!$C$11:$BJ$11)</f>
        <v>N</v>
      </c>
      <c r="BE1" s="28" t="str">
        <f>LOOKUP(BE3,'Input-Stress Parameters'!$C$9:$BJ$9,'Input-Stress Parameters'!$C$11:$BJ$11)</f>
        <v>N</v>
      </c>
      <c r="BF1" s="28" t="str">
        <f>LOOKUP(BF3,'Input-Stress Parameters'!$C$9:$BJ$9,'Input-Stress Parameters'!$C$11:$BJ$11)</f>
        <v>N</v>
      </c>
      <c r="BG1" s="28" t="str">
        <f>LOOKUP(BG3,'Input-Stress Parameters'!$C$9:$BJ$9,'Input-Stress Parameters'!$C$11:$BJ$11)</f>
        <v>N</v>
      </c>
      <c r="BH1" s="28" t="str">
        <f>LOOKUP(BH3,'Input-Stress Parameters'!$C$9:$BJ$9,'Input-Stress Parameters'!$C$11:$BJ$11)</f>
        <v>N</v>
      </c>
      <c r="BI1" s="28" t="str">
        <f>LOOKUP(BI3,'Input-Stress Parameters'!$C$9:$BJ$9,'Input-Stress Parameters'!$C$11:$BJ$11)</f>
        <v>N</v>
      </c>
      <c r="BJ1" s="28" t="str">
        <f>LOOKUP(BJ3,'Input-Stress Parameters'!$C$9:$BJ$9,'Input-Stress Parameters'!$C$11:$BJ$11)</f>
        <v>N</v>
      </c>
    </row>
    <row r="2" spans="1:62" x14ac:dyDescent="0.35">
      <c r="A2" s="122"/>
      <c r="C2" s="28" t="str">
        <f>LOOKUP($C$3:$BJ$3,'Input-Stress Parameters'!$C$27:$BJ$27,'Input-Stress Parameters'!$C$28:$BJ$28)</f>
        <v>N</v>
      </c>
      <c r="D2" s="28" t="str">
        <f>LOOKUP($C$3:$BJ$3,'Input-Stress Parameters'!$C$27:$BJ$27,'Input-Stress Parameters'!$C$28:$BJ$28)</f>
        <v>SL1</v>
      </c>
      <c r="E2" s="28" t="str">
        <f>LOOKUP($C$3:$BJ$3,'Input-Stress Parameters'!$C$27:$BJ$27,'Input-Stress Parameters'!$C$28:$BJ$28)</f>
        <v>SL1</v>
      </c>
      <c r="F2" s="28" t="str">
        <f>LOOKUP($C$3:$BJ$3,'Input-Stress Parameters'!$C$27:$BJ$27,'Input-Stress Parameters'!$C$28:$BJ$28)</f>
        <v>SL1</v>
      </c>
      <c r="G2" s="28" t="str">
        <f>LOOKUP($C$3:$BJ$3,'Input-Stress Parameters'!$C$27:$BJ$27,'Input-Stress Parameters'!$C$28:$BJ$28)</f>
        <v>SL1</v>
      </c>
      <c r="H2" s="28" t="str">
        <f>LOOKUP($C$3:$BJ$3,'Input-Stress Parameters'!$C$27:$BJ$27,'Input-Stress Parameters'!$C$28:$BJ$28)</f>
        <v>SL1</v>
      </c>
      <c r="I2" s="28" t="str">
        <f>LOOKUP($C$3:$BJ$3,'Input-Stress Parameters'!$C$27:$BJ$27,'Input-Stress Parameters'!$C$28:$BJ$28)</f>
        <v>SL1</v>
      </c>
      <c r="J2" s="28" t="str">
        <f>LOOKUP($C$3:$BJ$3,'Input-Stress Parameters'!$C$27:$BJ$27,'Input-Stress Parameters'!$C$28:$BJ$28)</f>
        <v>SL2</v>
      </c>
      <c r="K2" s="28" t="str">
        <f>LOOKUP($C$3:$BJ$3,'Input-Stress Parameters'!$C$27:$BJ$27,'Input-Stress Parameters'!$C$28:$BJ$28)</f>
        <v>SL2</v>
      </c>
      <c r="L2" s="28" t="str">
        <f>LOOKUP($C$3:$BJ$3,'Input-Stress Parameters'!$C$27:$BJ$27,'Input-Stress Parameters'!$C$28:$BJ$28)</f>
        <v>SL2</v>
      </c>
      <c r="M2" s="28" t="str">
        <f>LOOKUP($C$3:$BJ$3,'Input-Stress Parameters'!$C$27:$BJ$27,'Input-Stress Parameters'!$C$28:$BJ$28)</f>
        <v>SL2</v>
      </c>
      <c r="N2" s="28" t="str">
        <f>LOOKUP($C$3:$BJ$3,'Input-Stress Parameters'!$C$27:$BJ$27,'Input-Stress Parameters'!$C$28:$BJ$28)</f>
        <v>SL2</v>
      </c>
      <c r="O2" s="28" t="str">
        <f>LOOKUP($C$3:$BJ$3,'Input-Stress Parameters'!$C$27:$BJ$27,'Input-Stress Parameters'!$C$28:$BJ$28)</f>
        <v>SL2</v>
      </c>
      <c r="P2" s="28" t="str">
        <f>LOOKUP($C$3:$BJ$3,'Input-Stress Parameters'!$C$27:$BJ$27,'Input-Stress Parameters'!$C$28:$BJ$28)</f>
        <v>SL2</v>
      </c>
      <c r="Q2" s="28" t="str">
        <f>LOOKUP($C$3:$BJ$3,'Input-Stress Parameters'!$C$27:$BJ$27,'Input-Stress Parameters'!$C$28:$BJ$28)</f>
        <v>SL2</v>
      </c>
      <c r="R2" s="28" t="str">
        <f>LOOKUP($C$3:$BJ$3,'Input-Stress Parameters'!$C$27:$BJ$27,'Input-Stress Parameters'!$C$28:$BJ$28)</f>
        <v>SL2</v>
      </c>
      <c r="S2" s="28" t="str">
        <f>LOOKUP($C$3:$BJ$3,'Input-Stress Parameters'!$C$27:$BJ$27,'Input-Stress Parameters'!$C$28:$BJ$28)</f>
        <v>SL2</v>
      </c>
      <c r="T2" s="28" t="str">
        <f>LOOKUP($C$3:$BJ$3,'Input-Stress Parameters'!$C$27:$BJ$27,'Input-Stress Parameters'!$C$28:$BJ$28)</f>
        <v>SL2</v>
      </c>
      <c r="U2" s="28" t="str">
        <f>LOOKUP($C$3:$BJ$3,'Input-Stress Parameters'!$C$27:$BJ$27,'Input-Stress Parameters'!$C$28:$BJ$28)</f>
        <v>SL2</v>
      </c>
      <c r="V2" s="28" t="str">
        <f>LOOKUP($C$3:$BJ$3,'Input-Stress Parameters'!$C$27:$BJ$27,'Input-Stress Parameters'!$C$28:$BJ$28)</f>
        <v>SL31</v>
      </c>
      <c r="W2" s="28" t="str">
        <f>LOOKUP($C$3:$BJ$3,'Input-Stress Parameters'!$C$27:$BJ$27,'Input-Stress Parameters'!$C$28:$BJ$28)</f>
        <v>SL31</v>
      </c>
      <c r="X2" s="28" t="str">
        <f>LOOKUP($C$3:$BJ$3,'Input-Stress Parameters'!$C$27:$BJ$27,'Input-Stress Parameters'!$C$28:$BJ$28)</f>
        <v>SL31</v>
      </c>
      <c r="Y2" s="28" t="str">
        <f>LOOKUP($C$3:$BJ$3,'Input-Stress Parameters'!$C$27:$BJ$27,'Input-Stress Parameters'!$C$28:$BJ$28)</f>
        <v>SL31</v>
      </c>
      <c r="Z2" s="28" t="str">
        <f>LOOKUP($C$3:$BJ$3,'Input-Stress Parameters'!$C$27:$BJ$27,'Input-Stress Parameters'!$C$28:$BJ$28)</f>
        <v>SL31</v>
      </c>
      <c r="AA2" s="28" t="str">
        <f>LOOKUP($C$3:$BJ$3,'Input-Stress Parameters'!$C$27:$BJ$27,'Input-Stress Parameters'!$C$28:$BJ$28)</f>
        <v>SL31</v>
      </c>
      <c r="AB2" s="28" t="str">
        <f>LOOKUP($C$3:$BJ$3,'Input-Stress Parameters'!$C$27:$BJ$27,'Input-Stress Parameters'!$C$28:$BJ$28)</f>
        <v>SL32</v>
      </c>
      <c r="AC2" s="28" t="str">
        <f>LOOKUP($C$3:$BJ$3,'Input-Stress Parameters'!$C$27:$BJ$27,'Input-Stress Parameters'!$C$28:$BJ$28)</f>
        <v>SL32</v>
      </c>
      <c r="AD2" s="28" t="str">
        <f>LOOKUP($C$3:$BJ$3,'Input-Stress Parameters'!$C$27:$BJ$27,'Input-Stress Parameters'!$C$28:$BJ$28)</f>
        <v>SL32</v>
      </c>
      <c r="AE2" s="28" t="str">
        <f>LOOKUP($C$3:$BJ$3,'Input-Stress Parameters'!$C$27:$BJ$27,'Input-Stress Parameters'!$C$28:$BJ$28)</f>
        <v>SL32</v>
      </c>
      <c r="AF2" s="28" t="str">
        <f>LOOKUP($C$3:$BJ$3,'Input-Stress Parameters'!$C$27:$BJ$27,'Input-Stress Parameters'!$C$28:$BJ$28)</f>
        <v>SL32</v>
      </c>
      <c r="AG2" s="28" t="str">
        <f>LOOKUP($C$3:$BJ$3,'Input-Stress Parameters'!$C$27:$BJ$27,'Input-Stress Parameters'!$C$28:$BJ$28)</f>
        <v>SL32</v>
      </c>
      <c r="AH2" s="28" t="str">
        <f>LOOKUP($C$3:$BJ$3,'Input-Stress Parameters'!$C$27:$BJ$27,'Input-Stress Parameters'!$C$28:$BJ$28)</f>
        <v>N</v>
      </c>
      <c r="AI2" s="28" t="str">
        <f>LOOKUP($C$3:$BJ$3,'Input-Stress Parameters'!$C$27:$BJ$27,'Input-Stress Parameters'!$C$28:$BJ$28)</f>
        <v>N</v>
      </c>
      <c r="AJ2" s="28" t="str">
        <f>LOOKUP($C$3:$BJ$3,'Input-Stress Parameters'!$C$27:$BJ$27,'Input-Stress Parameters'!$C$28:$BJ$28)</f>
        <v>N</v>
      </c>
      <c r="AK2" s="28" t="str">
        <f>LOOKUP($C$3:$BJ$3,'Input-Stress Parameters'!$C$27:$BJ$27,'Input-Stress Parameters'!$C$28:$BJ$28)</f>
        <v>N</v>
      </c>
      <c r="AL2" s="28" t="str">
        <f>LOOKUP($C$3:$BJ$3,'Input-Stress Parameters'!$C$27:$BJ$27,'Input-Stress Parameters'!$C$28:$BJ$28)</f>
        <v>N</v>
      </c>
      <c r="AM2" s="28" t="str">
        <f>LOOKUP($C$3:$BJ$3,'Input-Stress Parameters'!$C$27:$BJ$27,'Input-Stress Parameters'!$C$28:$BJ$28)</f>
        <v>N</v>
      </c>
      <c r="AN2" s="28" t="str">
        <f>LOOKUP($C$3:$BJ$3,'Input-Stress Parameters'!$C$27:$BJ$27,'Input-Stress Parameters'!$C$28:$BJ$28)</f>
        <v>N</v>
      </c>
      <c r="AO2" s="28" t="str">
        <f>LOOKUP($C$3:$BJ$3,'Input-Stress Parameters'!$C$27:$BJ$27,'Input-Stress Parameters'!$C$28:$BJ$28)</f>
        <v>N</v>
      </c>
      <c r="AP2" s="28" t="str">
        <f>LOOKUP($C$3:$BJ$3,'Input-Stress Parameters'!$C$27:$BJ$27,'Input-Stress Parameters'!$C$28:$BJ$28)</f>
        <v>N</v>
      </c>
      <c r="AQ2" s="28" t="str">
        <f>LOOKUP($C$3:$BJ$3,'Input-Stress Parameters'!$C$27:$BJ$27,'Input-Stress Parameters'!$C$28:$BJ$28)</f>
        <v>N</v>
      </c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</row>
    <row r="3" spans="1:62" x14ac:dyDescent="0.35">
      <c r="A3" s="25" t="s">
        <v>268</v>
      </c>
      <c r="B3" s="4" t="s">
        <v>3</v>
      </c>
      <c r="C3" s="19">
        <f>'Input-Stress Parameters'!C2</f>
        <v>45352</v>
      </c>
      <c r="D3" s="20">
        <f>EDATE(C3,1)</f>
        <v>45383</v>
      </c>
      <c r="E3" s="20">
        <f>EDATE(D3,1)</f>
        <v>45413</v>
      </c>
      <c r="F3" s="20">
        <f>EDATE(E3,1)</f>
        <v>45444</v>
      </c>
      <c r="G3" s="20">
        <f t="shared" ref="G3:BJ3" si="0">EDATE(F3,1)</f>
        <v>45474</v>
      </c>
      <c r="H3" s="20">
        <f t="shared" si="0"/>
        <v>45505</v>
      </c>
      <c r="I3" s="20">
        <f t="shared" si="0"/>
        <v>45536</v>
      </c>
      <c r="J3" s="20">
        <f t="shared" si="0"/>
        <v>45566</v>
      </c>
      <c r="K3" s="20">
        <f t="shared" si="0"/>
        <v>45597</v>
      </c>
      <c r="L3" s="20">
        <f t="shared" si="0"/>
        <v>45627</v>
      </c>
      <c r="M3" s="20">
        <f t="shared" si="0"/>
        <v>45658</v>
      </c>
      <c r="N3" s="20">
        <f t="shared" si="0"/>
        <v>45689</v>
      </c>
      <c r="O3" s="21">
        <f t="shared" si="0"/>
        <v>45717</v>
      </c>
      <c r="P3" s="20">
        <f t="shared" si="0"/>
        <v>45748</v>
      </c>
      <c r="Q3" s="20">
        <f t="shared" si="0"/>
        <v>45778</v>
      </c>
      <c r="R3" s="20">
        <f t="shared" si="0"/>
        <v>45809</v>
      </c>
      <c r="S3" s="20">
        <f t="shared" si="0"/>
        <v>45839</v>
      </c>
      <c r="T3" s="20">
        <f t="shared" si="0"/>
        <v>45870</v>
      </c>
      <c r="U3" s="20">
        <f t="shared" si="0"/>
        <v>45901</v>
      </c>
      <c r="V3" s="20">
        <f t="shared" si="0"/>
        <v>45931</v>
      </c>
      <c r="W3" s="20">
        <f t="shared" si="0"/>
        <v>45962</v>
      </c>
      <c r="X3" s="20">
        <f t="shared" si="0"/>
        <v>45992</v>
      </c>
      <c r="Y3" s="20">
        <f t="shared" si="0"/>
        <v>46023</v>
      </c>
      <c r="Z3" s="20">
        <f t="shared" si="0"/>
        <v>46054</v>
      </c>
      <c r="AA3" s="21">
        <f t="shared" si="0"/>
        <v>46082</v>
      </c>
      <c r="AB3" s="20">
        <f t="shared" si="0"/>
        <v>46113</v>
      </c>
      <c r="AC3" s="20">
        <f t="shared" si="0"/>
        <v>46143</v>
      </c>
      <c r="AD3" s="20">
        <f t="shared" si="0"/>
        <v>46174</v>
      </c>
      <c r="AE3" s="20">
        <f t="shared" si="0"/>
        <v>46204</v>
      </c>
      <c r="AF3" s="20">
        <f t="shared" si="0"/>
        <v>46235</v>
      </c>
      <c r="AG3" s="20">
        <f t="shared" si="0"/>
        <v>46266</v>
      </c>
      <c r="AH3" s="20">
        <f t="shared" si="0"/>
        <v>46296</v>
      </c>
      <c r="AI3" s="20">
        <f t="shared" si="0"/>
        <v>46327</v>
      </c>
      <c r="AJ3" s="20">
        <f t="shared" si="0"/>
        <v>46357</v>
      </c>
      <c r="AK3" s="20">
        <f t="shared" si="0"/>
        <v>46388</v>
      </c>
      <c r="AL3" s="20">
        <f t="shared" si="0"/>
        <v>46419</v>
      </c>
      <c r="AM3" s="21">
        <f t="shared" si="0"/>
        <v>46447</v>
      </c>
      <c r="AN3" s="20">
        <f t="shared" si="0"/>
        <v>46478</v>
      </c>
      <c r="AO3" s="20">
        <f t="shared" si="0"/>
        <v>46508</v>
      </c>
      <c r="AP3" s="20">
        <f t="shared" si="0"/>
        <v>46539</v>
      </c>
      <c r="AQ3" s="20">
        <f t="shared" si="0"/>
        <v>46569</v>
      </c>
      <c r="AR3" s="20">
        <f t="shared" si="0"/>
        <v>46600</v>
      </c>
      <c r="AS3" s="20">
        <f t="shared" si="0"/>
        <v>46631</v>
      </c>
      <c r="AT3" s="20">
        <f t="shared" si="0"/>
        <v>46661</v>
      </c>
      <c r="AU3" s="20">
        <f t="shared" si="0"/>
        <v>46692</v>
      </c>
      <c r="AV3" s="20">
        <f t="shared" si="0"/>
        <v>46722</v>
      </c>
      <c r="AW3" s="20">
        <f t="shared" si="0"/>
        <v>46753</v>
      </c>
      <c r="AX3" s="21">
        <f t="shared" si="0"/>
        <v>46784</v>
      </c>
      <c r="AY3" s="20">
        <f t="shared" si="0"/>
        <v>46813</v>
      </c>
      <c r="AZ3" s="20">
        <f t="shared" si="0"/>
        <v>46844</v>
      </c>
      <c r="BA3" s="20">
        <f t="shared" si="0"/>
        <v>46874</v>
      </c>
      <c r="BB3" s="20">
        <f t="shared" si="0"/>
        <v>46905</v>
      </c>
      <c r="BC3" s="20">
        <f t="shared" si="0"/>
        <v>46935</v>
      </c>
      <c r="BD3" s="20">
        <f t="shared" si="0"/>
        <v>46966</v>
      </c>
      <c r="BE3" s="20">
        <f t="shared" si="0"/>
        <v>46997</v>
      </c>
      <c r="BF3" s="20">
        <f t="shared" si="0"/>
        <v>47027</v>
      </c>
      <c r="BG3" s="20">
        <f t="shared" si="0"/>
        <v>47058</v>
      </c>
      <c r="BH3" s="20">
        <f t="shared" si="0"/>
        <v>47088</v>
      </c>
      <c r="BI3" s="20">
        <f t="shared" si="0"/>
        <v>47119</v>
      </c>
      <c r="BJ3" s="21">
        <f t="shared" si="0"/>
        <v>47150</v>
      </c>
    </row>
    <row r="4" spans="1:62" x14ac:dyDescent="0.35">
      <c r="A4" s="15" t="s">
        <v>268</v>
      </c>
      <c r="B4" s="15" t="s">
        <v>188</v>
      </c>
      <c r="C4" s="16">
        <f>SUM(C5:C7)</f>
        <v>1846.4299770950561</v>
      </c>
      <c r="D4" s="17">
        <f t="shared" ref="D4:BJ4" si="1">SUM(D5:D7)</f>
        <v>1894.8742997758195</v>
      </c>
      <c r="E4" s="17">
        <f t="shared" si="1"/>
        <v>1939.4931022402488</v>
      </c>
      <c r="F4" s="17">
        <f t="shared" si="1"/>
        <v>1981.1042795947508</v>
      </c>
      <c r="G4" s="17">
        <f t="shared" si="1"/>
        <v>2028.1588894429924</v>
      </c>
      <c r="H4" s="17">
        <f t="shared" si="1"/>
        <v>2077.0382697849714</v>
      </c>
      <c r="I4" s="17">
        <f t="shared" si="1"/>
        <v>2071.6382699083624</v>
      </c>
      <c r="J4" s="17">
        <f t="shared" si="1"/>
        <v>2233.1725456656695</v>
      </c>
      <c r="K4" s="17">
        <f t="shared" si="1"/>
        <v>2297.1951755522496</v>
      </c>
      <c r="L4" s="17">
        <f t="shared" si="1"/>
        <v>2279.5861263024849</v>
      </c>
      <c r="M4" s="17">
        <f t="shared" si="1"/>
        <v>2350.9353520809791</v>
      </c>
      <c r="N4" s="17">
        <f t="shared" si="1"/>
        <v>2327.2085694209286</v>
      </c>
      <c r="O4" s="18">
        <f t="shared" si="1"/>
        <v>2327.3906901539322</v>
      </c>
      <c r="P4" s="17">
        <f t="shared" si="1"/>
        <v>2332.5000221279001</v>
      </c>
      <c r="Q4" s="17">
        <f t="shared" si="1"/>
        <v>2393.5996033737456</v>
      </c>
      <c r="R4" s="17">
        <f t="shared" si="1"/>
        <v>2462.9758126715069</v>
      </c>
      <c r="S4" s="17">
        <f t="shared" si="1"/>
        <v>2534.3717262985983</v>
      </c>
      <c r="T4" s="17">
        <f t="shared" si="1"/>
        <v>2599.594255256789</v>
      </c>
      <c r="U4" s="17">
        <f t="shared" si="1"/>
        <v>2670.4177164740759</v>
      </c>
      <c r="V4" s="17">
        <f t="shared" si="1"/>
        <v>2631.6095525916439</v>
      </c>
      <c r="W4" s="17">
        <f t="shared" si="1"/>
        <v>2603.6575659129585</v>
      </c>
      <c r="X4" s="17">
        <f t="shared" si="1"/>
        <v>2475.9153210732711</v>
      </c>
      <c r="Y4" s="17">
        <f t="shared" si="1"/>
        <v>2476.9363157525677</v>
      </c>
      <c r="Z4" s="17">
        <f t="shared" si="1"/>
        <v>2374.8210917168226</v>
      </c>
      <c r="AA4" s="18">
        <f t="shared" si="1"/>
        <v>2384.1466818450403</v>
      </c>
      <c r="AB4" s="17">
        <f t="shared" si="1"/>
        <v>2358.0882844960879</v>
      </c>
      <c r="AC4" s="17">
        <f t="shared" si="1"/>
        <v>2358.3399353112909</v>
      </c>
      <c r="AD4" s="17">
        <f t="shared" si="1"/>
        <v>2348.9113121874339</v>
      </c>
      <c r="AE4" s="17">
        <f t="shared" si="1"/>
        <v>2348.5991497302384</v>
      </c>
      <c r="AF4" s="17">
        <f t="shared" si="1"/>
        <v>2363.8719369903743</v>
      </c>
      <c r="AG4" s="17">
        <f t="shared" si="1"/>
        <v>2372.6806938367122</v>
      </c>
      <c r="AH4" s="17">
        <f t="shared" si="1"/>
        <v>2417.4965687908079</v>
      </c>
      <c r="AI4" s="17">
        <f t="shared" si="1"/>
        <v>2471.6112683613956</v>
      </c>
      <c r="AJ4" s="17">
        <f t="shared" si="1"/>
        <v>2454.6435481536396</v>
      </c>
      <c r="AK4" s="17">
        <f t="shared" si="1"/>
        <v>2513.4932325850805</v>
      </c>
      <c r="AL4" s="17">
        <f t="shared" si="1"/>
        <v>2489.9425349971361</v>
      </c>
      <c r="AM4" s="18">
        <f t="shared" si="1"/>
        <v>2540.665261399361</v>
      </c>
      <c r="AN4" s="17" t="e">
        <f t="shared" si="1"/>
        <v>#DIV/0!</v>
      </c>
      <c r="AO4" s="17" t="e">
        <f t="shared" si="1"/>
        <v>#DIV/0!</v>
      </c>
      <c r="AP4" s="17" t="e">
        <f t="shared" si="1"/>
        <v>#DIV/0!</v>
      </c>
      <c r="AQ4" s="17" t="e">
        <f t="shared" si="1"/>
        <v>#DIV/0!</v>
      </c>
      <c r="AR4" s="17" t="e">
        <f t="shared" si="1"/>
        <v>#DIV/0!</v>
      </c>
      <c r="AS4" s="17" t="e">
        <f t="shared" si="1"/>
        <v>#DIV/0!</v>
      </c>
      <c r="AT4" s="17" t="e">
        <f t="shared" si="1"/>
        <v>#DIV/0!</v>
      </c>
      <c r="AU4" s="17" t="e">
        <f t="shared" si="1"/>
        <v>#DIV/0!</v>
      </c>
      <c r="AV4" s="17" t="e">
        <f t="shared" si="1"/>
        <v>#DIV/0!</v>
      </c>
      <c r="AW4" s="17" t="e">
        <f t="shared" si="1"/>
        <v>#DIV/0!</v>
      </c>
      <c r="AX4" s="18" t="e">
        <f t="shared" si="1"/>
        <v>#DIV/0!</v>
      </c>
      <c r="AY4" s="17" t="e">
        <f t="shared" si="1"/>
        <v>#DIV/0!</v>
      </c>
      <c r="AZ4" s="17" t="e">
        <f t="shared" si="1"/>
        <v>#DIV/0!</v>
      </c>
      <c r="BA4" s="17" t="e">
        <f t="shared" si="1"/>
        <v>#DIV/0!</v>
      </c>
      <c r="BB4" s="17" t="e">
        <f t="shared" si="1"/>
        <v>#DIV/0!</v>
      </c>
      <c r="BC4" s="17" t="e">
        <f t="shared" si="1"/>
        <v>#DIV/0!</v>
      </c>
      <c r="BD4" s="17" t="e">
        <f t="shared" si="1"/>
        <v>#DIV/0!</v>
      </c>
      <c r="BE4" s="17" t="e">
        <f t="shared" si="1"/>
        <v>#DIV/0!</v>
      </c>
      <c r="BF4" s="17" t="e">
        <f t="shared" si="1"/>
        <v>#DIV/0!</v>
      </c>
      <c r="BG4" s="17" t="e">
        <f t="shared" si="1"/>
        <v>#DIV/0!</v>
      </c>
      <c r="BH4" s="17" t="e">
        <f t="shared" si="1"/>
        <v>#DIV/0!</v>
      </c>
      <c r="BI4" s="17" t="e">
        <f t="shared" si="1"/>
        <v>#DIV/0!</v>
      </c>
      <c r="BJ4" s="18" t="e">
        <f t="shared" si="1"/>
        <v>#DIV/0!</v>
      </c>
    </row>
    <row r="5" spans="1:62" x14ac:dyDescent="0.35">
      <c r="A5" s="1" t="s">
        <v>268</v>
      </c>
      <c r="B5" s="1" t="s">
        <v>257</v>
      </c>
      <c r="C5" s="251">
        <f>C11+C17+C23</f>
        <v>565.76529984327351</v>
      </c>
      <c r="D5" s="44">
        <f t="shared" ref="D5:AM5" si="2">D11+D17+D23</f>
        <v>583.09633809254535</v>
      </c>
      <c r="E5" s="44">
        <f t="shared" si="2"/>
        <v>595.41616111623409</v>
      </c>
      <c r="F5" s="44">
        <f t="shared" si="2"/>
        <v>610.7444513330264</v>
      </c>
      <c r="G5" s="44">
        <f t="shared" si="2"/>
        <v>627.0770328816393</v>
      </c>
      <c r="H5" s="44">
        <f t="shared" si="2"/>
        <v>639.88002390613883</v>
      </c>
      <c r="I5" s="44">
        <f t="shared" si="2"/>
        <v>644.08764287392603</v>
      </c>
      <c r="J5" s="44">
        <f t="shared" si="2"/>
        <v>653.8575805756883</v>
      </c>
      <c r="K5" s="44">
        <f t="shared" si="2"/>
        <v>666.08197251170623</v>
      </c>
      <c r="L5" s="44">
        <f t="shared" si="2"/>
        <v>664.71870002248488</v>
      </c>
      <c r="M5" s="44">
        <f t="shared" si="2"/>
        <v>677.4248634434025</v>
      </c>
      <c r="N5" s="44">
        <f t="shared" si="2"/>
        <v>675.25706389553625</v>
      </c>
      <c r="O5" s="45">
        <f t="shared" si="2"/>
        <v>664.80841182763015</v>
      </c>
      <c r="P5" s="44">
        <f t="shared" si="2"/>
        <v>683.98938107866468</v>
      </c>
      <c r="Q5" s="44">
        <f t="shared" si="2"/>
        <v>702.36901118897276</v>
      </c>
      <c r="R5" s="44">
        <f t="shared" si="2"/>
        <v>723.7185113718009</v>
      </c>
      <c r="S5" s="44">
        <f t="shared" si="2"/>
        <v>737.8523416813656</v>
      </c>
      <c r="T5" s="44">
        <f t="shared" si="2"/>
        <v>753.46084592891577</v>
      </c>
      <c r="U5" s="44">
        <f t="shared" si="2"/>
        <v>766.96873797329033</v>
      </c>
      <c r="V5" s="44">
        <f t="shared" si="2"/>
        <v>757.62590184695932</v>
      </c>
      <c r="W5" s="44">
        <f t="shared" si="2"/>
        <v>747.00514233444437</v>
      </c>
      <c r="X5" s="44">
        <f t="shared" si="2"/>
        <v>723.92480524151813</v>
      </c>
      <c r="Y5" s="44">
        <f t="shared" si="2"/>
        <v>721.9682272090273</v>
      </c>
      <c r="Z5" s="44">
        <f t="shared" si="2"/>
        <v>705.75993141791957</v>
      </c>
      <c r="AA5" s="45">
        <f t="shared" si="2"/>
        <v>701.8233480082107</v>
      </c>
      <c r="AB5" s="44">
        <f t="shared" si="2"/>
        <v>698.55246721643539</v>
      </c>
      <c r="AC5" s="44">
        <f t="shared" si="2"/>
        <v>704.94413755238486</v>
      </c>
      <c r="AD5" s="44">
        <f t="shared" si="2"/>
        <v>709.94489559596548</v>
      </c>
      <c r="AE5" s="44">
        <f t="shared" si="2"/>
        <v>712.38167731497435</v>
      </c>
      <c r="AF5" s="44">
        <f t="shared" si="2"/>
        <v>722.22674509786907</v>
      </c>
      <c r="AG5" s="44">
        <f t="shared" si="2"/>
        <v>736.72798030701301</v>
      </c>
      <c r="AH5" s="44">
        <f t="shared" si="2"/>
        <v>760.99621044661239</v>
      </c>
      <c r="AI5" s="44">
        <f t="shared" si="2"/>
        <v>788.88996369267659</v>
      </c>
      <c r="AJ5" s="44">
        <f t="shared" si="2"/>
        <v>801.35089879457689</v>
      </c>
      <c r="AK5" s="44">
        <f t="shared" si="2"/>
        <v>832.10529337164235</v>
      </c>
      <c r="AL5" s="44">
        <f t="shared" si="2"/>
        <v>842.69732102548016</v>
      </c>
      <c r="AM5" s="45">
        <f t="shared" si="2"/>
        <v>875.62737899503259</v>
      </c>
      <c r="AN5" s="44" t="e">
        <f>'Input - ENR'!AN4*AN11/'Input - ENR'!AN10</f>
        <v>#DIV/0!</v>
      </c>
      <c r="AO5" s="44" t="e">
        <f>'Input - ENR'!AO4*AO11/'Input - ENR'!AO10</f>
        <v>#DIV/0!</v>
      </c>
      <c r="AP5" s="44" t="e">
        <f>'Input - ENR'!AP4*AP11/'Input - ENR'!AP10</f>
        <v>#DIV/0!</v>
      </c>
      <c r="AQ5" s="44" t="e">
        <f>'Input - ENR'!AQ4*AQ11/'Input - ENR'!AQ10</f>
        <v>#DIV/0!</v>
      </c>
      <c r="AR5" s="44" t="e">
        <f>'Input - ENR'!AR4*AR11/'Input - ENR'!AR10</f>
        <v>#DIV/0!</v>
      </c>
      <c r="AS5" s="44" t="e">
        <f>'Input - ENR'!AS4*AS11/'Input - ENR'!AS10</f>
        <v>#DIV/0!</v>
      </c>
      <c r="AT5" s="44" t="e">
        <f>'Input - ENR'!AT4*AT11/'Input - ENR'!AT10</f>
        <v>#DIV/0!</v>
      </c>
      <c r="AU5" s="44" t="e">
        <f>'Input - ENR'!AU4*AU11/'Input - ENR'!AU10</f>
        <v>#DIV/0!</v>
      </c>
      <c r="AV5" s="44" t="e">
        <f>'Input - ENR'!AV4*AV11/'Input - ENR'!AV10</f>
        <v>#DIV/0!</v>
      </c>
      <c r="AW5" s="44" t="e">
        <f>'Input - ENR'!AW4*AW11/'Input - ENR'!AW10</f>
        <v>#DIV/0!</v>
      </c>
      <c r="AX5" s="45" t="e">
        <f>'Input - ENR'!AX4*AX11/'Input - ENR'!AX10</f>
        <v>#DIV/0!</v>
      </c>
      <c r="AY5" s="44" t="e">
        <f>'Input - ENR'!AY4*AY11/'Input - ENR'!AY10</f>
        <v>#DIV/0!</v>
      </c>
      <c r="AZ5" s="44" t="e">
        <f>'Input - ENR'!AZ4*AZ11/'Input - ENR'!AZ10</f>
        <v>#DIV/0!</v>
      </c>
      <c r="BA5" s="44" t="e">
        <f>'Input - ENR'!BA4*BA11/'Input - ENR'!BA10</f>
        <v>#DIV/0!</v>
      </c>
      <c r="BB5" s="44" t="e">
        <f>'Input - ENR'!BB4*BB11/'Input - ENR'!BB10</f>
        <v>#DIV/0!</v>
      </c>
      <c r="BC5" s="44" t="e">
        <f>'Input - ENR'!BC4*BC11/'Input - ENR'!BC10</f>
        <v>#DIV/0!</v>
      </c>
      <c r="BD5" s="44" t="e">
        <f>'Input - ENR'!BD4*BD11/'Input - ENR'!BD10</f>
        <v>#DIV/0!</v>
      </c>
      <c r="BE5" s="44" t="e">
        <f>'Input - ENR'!BE4*BE11/'Input - ENR'!BE10</f>
        <v>#DIV/0!</v>
      </c>
      <c r="BF5" s="44" t="e">
        <f>'Input - ENR'!BF4*BF11/'Input - ENR'!BF10</f>
        <v>#DIV/0!</v>
      </c>
      <c r="BG5" s="44" t="e">
        <f>'Input - ENR'!BG4*BG11/'Input - ENR'!BG10</f>
        <v>#DIV/0!</v>
      </c>
      <c r="BH5" s="44" t="e">
        <f>'Input - ENR'!BH4*BH11/'Input - ENR'!BH10</f>
        <v>#DIV/0!</v>
      </c>
      <c r="BI5" s="44" t="e">
        <f>'Input - ENR'!BI4*BI11/'Input - ENR'!BI10</f>
        <v>#DIV/0!</v>
      </c>
      <c r="BJ5" s="45" t="e">
        <f>'Input - ENR'!BJ4*BJ11/'Input - ENR'!BJ10</f>
        <v>#DIV/0!</v>
      </c>
    </row>
    <row r="6" spans="1:62" x14ac:dyDescent="0.35">
      <c r="A6" s="2" t="s">
        <v>268</v>
      </c>
      <c r="B6" s="2" t="s">
        <v>258</v>
      </c>
      <c r="C6" s="249">
        <f t="shared" ref="C6:AM6" si="3">C12+C18+C24</f>
        <v>494.94518111671096</v>
      </c>
      <c r="D6" s="47">
        <f t="shared" si="3"/>
        <v>503.51664360284667</v>
      </c>
      <c r="E6" s="47">
        <f t="shared" si="3"/>
        <v>511.9083468840397</v>
      </c>
      <c r="F6" s="47">
        <f t="shared" si="3"/>
        <v>515.2557990448837</v>
      </c>
      <c r="G6" s="47">
        <f t="shared" si="3"/>
        <v>522.49573136733193</v>
      </c>
      <c r="H6" s="47">
        <f t="shared" si="3"/>
        <v>530.30291794813888</v>
      </c>
      <c r="I6" s="47">
        <f t="shared" si="3"/>
        <v>525.50841011381169</v>
      </c>
      <c r="J6" s="47">
        <f t="shared" si="3"/>
        <v>660.34756233381211</v>
      </c>
      <c r="K6" s="47">
        <f t="shared" si="3"/>
        <v>681.13578271678989</v>
      </c>
      <c r="L6" s="47">
        <f t="shared" si="3"/>
        <v>673.27207685254484</v>
      </c>
      <c r="M6" s="47">
        <f t="shared" si="3"/>
        <v>695.48422152255284</v>
      </c>
      <c r="N6" s="47">
        <f t="shared" si="3"/>
        <v>686.59228178081446</v>
      </c>
      <c r="O6" s="48">
        <f t="shared" si="3"/>
        <v>666.86242494434782</v>
      </c>
      <c r="P6" s="47">
        <f t="shared" si="3"/>
        <v>660.75989355051445</v>
      </c>
      <c r="Q6" s="47">
        <f t="shared" si="3"/>
        <v>672.79083420132361</v>
      </c>
      <c r="R6" s="47">
        <f t="shared" si="3"/>
        <v>685.89325387561553</v>
      </c>
      <c r="S6" s="47">
        <f t="shared" si="3"/>
        <v>706.52142897279998</v>
      </c>
      <c r="T6" s="47">
        <f t="shared" si="3"/>
        <v>725.27800149765426</v>
      </c>
      <c r="U6" s="47">
        <f t="shared" si="3"/>
        <v>746.40042470750427</v>
      </c>
      <c r="V6" s="47">
        <f t="shared" si="3"/>
        <v>737.54959068055064</v>
      </c>
      <c r="W6" s="47">
        <f t="shared" si="3"/>
        <v>733.91930081997009</v>
      </c>
      <c r="X6" s="47">
        <f t="shared" si="3"/>
        <v>702.17298788731864</v>
      </c>
      <c r="Y6" s="47">
        <f t="shared" si="3"/>
        <v>706.59316639174881</v>
      </c>
      <c r="Z6" s="47">
        <f t="shared" si="3"/>
        <v>679.90700798502155</v>
      </c>
      <c r="AA6" s="48">
        <f t="shared" si="3"/>
        <v>687.29545999266008</v>
      </c>
      <c r="AB6" s="47">
        <f t="shared" si="3"/>
        <v>683.18334835879443</v>
      </c>
      <c r="AC6" s="47">
        <f t="shared" si="3"/>
        <v>680.45372483504002</v>
      </c>
      <c r="AD6" s="47">
        <f t="shared" si="3"/>
        <v>674.4778147559382</v>
      </c>
      <c r="AE6" s="47">
        <f t="shared" si="3"/>
        <v>676.35316230808189</v>
      </c>
      <c r="AF6" s="47">
        <f t="shared" si="3"/>
        <v>681.06900849453416</v>
      </c>
      <c r="AG6" s="47">
        <f t="shared" si="3"/>
        <v>683.20653353542366</v>
      </c>
      <c r="AH6" s="47">
        <f t="shared" si="3"/>
        <v>696.3888537002008</v>
      </c>
      <c r="AI6" s="47">
        <f t="shared" si="3"/>
        <v>711.86382851211272</v>
      </c>
      <c r="AJ6" s="47">
        <f t="shared" si="3"/>
        <v>706.89986457600367</v>
      </c>
      <c r="AK6" s="47">
        <f t="shared" si="3"/>
        <v>724.4683025109623</v>
      </c>
      <c r="AL6" s="47">
        <f t="shared" si="3"/>
        <v>717.05514284469621</v>
      </c>
      <c r="AM6" s="48">
        <f t="shared" si="3"/>
        <v>728.99449767770898</v>
      </c>
      <c r="AN6" s="47" t="e">
        <f>'Input - ENR'!AN5*AN12/'Input - ENR'!AN11</f>
        <v>#DIV/0!</v>
      </c>
      <c r="AO6" s="47" t="e">
        <f>'Input - ENR'!AO5*AO12/'Input - ENR'!AO11</f>
        <v>#DIV/0!</v>
      </c>
      <c r="AP6" s="47" t="e">
        <f>'Input - ENR'!AP5*AP12/'Input - ENR'!AP11</f>
        <v>#DIV/0!</v>
      </c>
      <c r="AQ6" s="47" t="e">
        <f>'Input - ENR'!AQ5*AQ12/'Input - ENR'!AQ11</f>
        <v>#DIV/0!</v>
      </c>
      <c r="AR6" s="47" t="e">
        <f>'Input - ENR'!AR5*AR12/'Input - ENR'!AR11</f>
        <v>#DIV/0!</v>
      </c>
      <c r="AS6" s="47" t="e">
        <f>'Input - ENR'!AS5*AS12/'Input - ENR'!AS11</f>
        <v>#DIV/0!</v>
      </c>
      <c r="AT6" s="47" t="e">
        <f>'Input - ENR'!AT5*AT12/'Input - ENR'!AT11</f>
        <v>#DIV/0!</v>
      </c>
      <c r="AU6" s="47" t="e">
        <f>'Input - ENR'!AU5*AU12/'Input - ENR'!AU11</f>
        <v>#DIV/0!</v>
      </c>
      <c r="AV6" s="47" t="e">
        <f>'Input - ENR'!AV5*AV12/'Input - ENR'!AV11</f>
        <v>#DIV/0!</v>
      </c>
      <c r="AW6" s="47" t="e">
        <f>'Input - ENR'!AW5*AW12/'Input - ENR'!AW11</f>
        <v>#DIV/0!</v>
      </c>
      <c r="AX6" s="48" t="e">
        <f>'Input - ENR'!AX5*AX12/'Input - ENR'!AX11</f>
        <v>#DIV/0!</v>
      </c>
      <c r="AY6" s="47" t="e">
        <f>'Input - ENR'!AY5*AY12/'Input - ENR'!AY11</f>
        <v>#DIV/0!</v>
      </c>
      <c r="AZ6" s="47" t="e">
        <f>'Input - ENR'!AZ5*AZ12/'Input - ENR'!AZ11</f>
        <v>#DIV/0!</v>
      </c>
      <c r="BA6" s="47" t="e">
        <f>'Input - ENR'!BA5*BA12/'Input - ENR'!BA11</f>
        <v>#DIV/0!</v>
      </c>
      <c r="BB6" s="47" t="e">
        <f>'Input - ENR'!BB5*BB12/'Input - ENR'!BB11</f>
        <v>#DIV/0!</v>
      </c>
      <c r="BC6" s="47" t="e">
        <f>'Input - ENR'!BC5*BC12/'Input - ENR'!BC11</f>
        <v>#DIV/0!</v>
      </c>
      <c r="BD6" s="47" t="e">
        <f>'Input - ENR'!BD5*BD12/'Input - ENR'!BD11</f>
        <v>#DIV/0!</v>
      </c>
      <c r="BE6" s="47" t="e">
        <f>'Input - ENR'!BE5*BE12/'Input - ENR'!BE11</f>
        <v>#DIV/0!</v>
      </c>
      <c r="BF6" s="47" t="e">
        <f>'Input - ENR'!BF5*BF12/'Input - ENR'!BF11</f>
        <v>#DIV/0!</v>
      </c>
      <c r="BG6" s="47" t="e">
        <f>'Input - ENR'!BG5*BG12/'Input - ENR'!BG11</f>
        <v>#DIV/0!</v>
      </c>
      <c r="BH6" s="47" t="e">
        <f>'Input - ENR'!BH5*BH12/'Input - ENR'!BH11</f>
        <v>#DIV/0!</v>
      </c>
      <c r="BI6" s="47" t="e">
        <f>'Input - ENR'!BI5*BI12/'Input - ENR'!BI11</f>
        <v>#DIV/0!</v>
      </c>
      <c r="BJ6" s="48" t="e">
        <f>'Input - ENR'!BJ5*BJ12/'Input - ENR'!BJ11</f>
        <v>#DIV/0!</v>
      </c>
    </row>
    <row r="7" spans="1:62" x14ac:dyDescent="0.35">
      <c r="A7" s="3" t="s">
        <v>268</v>
      </c>
      <c r="B7" s="3" t="s">
        <v>259</v>
      </c>
      <c r="C7" s="250">
        <f t="shared" ref="C7:AM7" si="4">C13+C19+C25</f>
        <v>785.71949613507149</v>
      </c>
      <c r="D7" s="50">
        <f t="shared" si="4"/>
        <v>808.26131808042749</v>
      </c>
      <c r="E7" s="50">
        <f t="shared" si="4"/>
        <v>832.16859423997494</v>
      </c>
      <c r="F7" s="50">
        <f t="shared" si="4"/>
        <v>855.10402921684067</v>
      </c>
      <c r="G7" s="50">
        <f t="shared" si="4"/>
        <v>878.58612519402118</v>
      </c>
      <c r="H7" s="50">
        <f t="shared" si="4"/>
        <v>906.85532793069353</v>
      </c>
      <c r="I7" s="50">
        <f t="shared" si="4"/>
        <v>902.04221692062481</v>
      </c>
      <c r="J7" s="50">
        <f t="shared" si="4"/>
        <v>918.96740275616889</v>
      </c>
      <c r="K7" s="50">
        <f t="shared" si="4"/>
        <v>949.97742032375356</v>
      </c>
      <c r="L7" s="50">
        <f t="shared" si="4"/>
        <v>941.59534942745518</v>
      </c>
      <c r="M7" s="50">
        <f t="shared" si="4"/>
        <v>978.02626711502364</v>
      </c>
      <c r="N7" s="50">
        <f t="shared" si="4"/>
        <v>965.35922374457778</v>
      </c>
      <c r="O7" s="51">
        <f t="shared" si="4"/>
        <v>995.71985338195395</v>
      </c>
      <c r="P7" s="50">
        <f t="shared" si="4"/>
        <v>987.75074749872101</v>
      </c>
      <c r="Q7" s="50">
        <f t="shared" si="4"/>
        <v>1018.4397579834491</v>
      </c>
      <c r="R7" s="50">
        <f t="shared" si="4"/>
        <v>1053.3640474240908</v>
      </c>
      <c r="S7" s="50">
        <f t="shared" si="4"/>
        <v>1089.997955644433</v>
      </c>
      <c r="T7" s="50">
        <f t="shared" si="4"/>
        <v>1120.8554078302191</v>
      </c>
      <c r="U7" s="50">
        <f t="shared" si="4"/>
        <v>1157.0485537932811</v>
      </c>
      <c r="V7" s="50">
        <f t="shared" si="4"/>
        <v>1136.434060064134</v>
      </c>
      <c r="W7" s="50">
        <f t="shared" si="4"/>
        <v>1122.7331227585444</v>
      </c>
      <c r="X7" s="50">
        <f t="shared" si="4"/>
        <v>1049.8175279444345</v>
      </c>
      <c r="Y7" s="50">
        <f t="shared" si="4"/>
        <v>1048.3749221517915</v>
      </c>
      <c r="Z7" s="50">
        <f t="shared" si="4"/>
        <v>989.15415231388147</v>
      </c>
      <c r="AA7" s="51">
        <f t="shared" si="4"/>
        <v>995.02787384416968</v>
      </c>
      <c r="AB7" s="50">
        <f t="shared" si="4"/>
        <v>976.35246892085775</v>
      </c>
      <c r="AC7" s="50">
        <f t="shared" si="4"/>
        <v>972.94207292386591</v>
      </c>
      <c r="AD7" s="50">
        <f t="shared" si="4"/>
        <v>964.48860183552995</v>
      </c>
      <c r="AE7" s="50">
        <f t="shared" si="4"/>
        <v>959.86431010718206</v>
      </c>
      <c r="AF7" s="50">
        <f t="shared" si="4"/>
        <v>960.57618339797079</v>
      </c>
      <c r="AG7" s="50">
        <f t="shared" si="4"/>
        <v>952.74617999427539</v>
      </c>
      <c r="AH7" s="50">
        <f t="shared" si="4"/>
        <v>960.11150464399452</v>
      </c>
      <c r="AI7" s="50">
        <f t="shared" si="4"/>
        <v>970.85747615660637</v>
      </c>
      <c r="AJ7" s="50">
        <f t="shared" si="4"/>
        <v>946.39278478305903</v>
      </c>
      <c r="AK7" s="50">
        <f t="shared" si="4"/>
        <v>956.91963670247583</v>
      </c>
      <c r="AL7" s="50">
        <f t="shared" si="4"/>
        <v>930.19007112695954</v>
      </c>
      <c r="AM7" s="51">
        <f t="shared" si="4"/>
        <v>936.04338472661971</v>
      </c>
      <c r="AN7" s="50">
        <f>IFERROR('Input - ENR'!AN18*AN13/'Input - ENR'!AN12,0)</f>
        <v>0</v>
      </c>
      <c r="AO7" s="50">
        <f>IFERROR('Input - ENR'!AO18*AO13/'Input - ENR'!AO12,0)</f>
        <v>0</v>
      </c>
      <c r="AP7" s="50">
        <f>IFERROR('Input - ENR'!AP18*AP13/'Input - ENR'!AP12,0)</f>
        <v>0</v>
      </c>
      <c r="AQ7" s="50">
        <f>IFERROR('Input - ENR'!AQ18*AQ13/'Input - ENR'!AQ12,0)</f>
        <v>0</v>
      </c>
      <c r="AR7" s="50">
        <f>IFERROR('Input - ENR'!AR18*AR13/'Input - ENR'!AR12,0)</f>
        <v>0</v>
      </c>
      <c r="AS7" s="50">
        <f>IFERROR('Input - ENR'!AS18*AS13/'Input - ENR'!AS12,0)</f>
        <v>0</v>
      </c>
      <c r="AT7" s="50">
        <f>IFERROR('Input - ENR'!AT18*AT13/'Input - ENR'!AT12,0)</f>
        <v>0</v>
      </c>
      <c r="AU7" s="50">
        <f>IFERROR('Input - ENR'!AU18*AU13/'Input - ENR'!AU12,0)</f>
        <v>0</v>
      </c>
      <c r="AV7" s="50">
        <f>IFERROR('Input - ENR'!AV18*AV13/'Input - ENR'!AV12,0)</f>
        <v>0</v>
      </c>
      <c r="AW7" s="50">
        <f>IFERROR('Input - ENR'!AW18*AW13/'Input - ENR'!AW12,0)</f>
        <v>0</v>
      </c>
      <c r="AX7" s="51">
        <f>IFERROR('Input - ENR'!AX18*AX13/'Input - ENR'!AX12,0)</f>
        <v>0</v>
      </c>
      <c r="AY7" s="50">
        <f>IFERROR('Input - ENR'!AY18*AY13/'Input - ENR'!AY12,0)</f>
        <v>0</v>
      </c>
      <c r="AZ7" s="50">
        <f>IFERROR('Input - ENR'!AZ18*AZ13/'Input - ENR'!AZ12,0)</f>
        <v>0</v>
      </c>
      <c r="BA7" s="50">
        <f>IFERROR('Input - ENR'!BA18*BA13/'Input - ENR'!BA12,0)</f>
        <v>0</v>
      </c>
      <c r="BB7" s="50">
        <f>IFERROR('Input - ENR'!BB18*BB13/'Input - ENR'!BB12,0)</f>
        <v>0</v>
      </c>
      <c r="BC7" s="50">
        <f>IFERROR('Input - ENR'!BC18*BC13/'Input - ENR'!BC12,0)</f>
        <v>0</v>
      </c>
      <c r="BD7" s="50">
        <f>IFERROR('Input - ENR'!BD18*BD13/'Input - ENR'!BD12,0)</f>
        <v>0</v>
      </c>
      <c r="BE7" s="50">
        <f>IFERROR('Input - ENR'!BE18*BE13/'Input - ENR'!BE12,0)</f>
        <v>0</v>
      </c>
      <c r="BF7" s="50">
        <f>IFERROR('Input - ENR'!BF18*BF13/'Input - ENR'!BF12,0)</f>
        <v>0</v>
      </c>
      <c r="BG7" s="50">
        <f>IFERROR('Input - ENR'!BG18*BG13/'Input - ENR'!BG12,0)</f>
        <v>0</v>
      </c>
      <c r="BH7" s="50">
        <f>IFERROR('Input - ENR'!BH18*BH13/'Input - ENR'!BH12,0)</f>
        <v>0</v>
      </c>
      <c r="BI7" s="50">
        <f>IFERROR('Input - ENR'!BI18*BI13/'Input - ENR'!BI12,0)</f>
        <v>0</v>
      </c>
      <c r="BJ7" s="51">
        <f>IFERROR('Input - ENR'!BJ18*BJ13/'Input - ENR'!BJ12,0)</f>
        <v>0</v>
      </c>
    </row>
    <row r="8" spans="1:62" hidden="1" outlineLevel="1" x14ac:dyDescent="0.35"/>
    <row r="9" spans="1:62" hidden="1" outlineLevel="1" x14ac:dyDescent="0.35">
      <c r="A9" s="25" t="s">
        <v>196</v>
      </c>
      <c r="B9" s="4" t="s">
        <v>3</v>
      </c>
      <c r="C9" s="19">
        <f>$C$3</f>
        <v>45352</v>
      </c>
      <c r="D9" s="20">
        <f>EDATE(C9,1)</f>
        <v>45383</v>
      </c>
      <c r="E9" s="20">
        <f>EDATE(D9,1)</f>
        <v>45413</v>
      </c>
      <c r="F9" s="20">
        <f>EDATE(E9,1)</f>
        <v>45444</v>
      </c>
      <c r="G9" s="20">
        <f t="shared" ref="G9:BJ9" si="5">EDATE(F9,1)</f>
        <v>45474</v>
      </c>
      <c r="H9" s="20">
        <f t="shared" si="5"/>
        <v>45505</v>
      </c>
      <c r="I9" s="20">
        <f t="shared" si="5"/>
        <v>45536</v>
      </c>
      <c r="J9" s="20">
        <f t="shared" si="5"/>
        <v>45566</v>
      </c>
      <c r="K9" s="20">
        <f t="shared" si="5"/>
        <v>45597</v>
      </c>
      <c r="L9" s="20">
        <f t="shared" si="5"/>
        <v>45627</v>
      </c>
      <c r="M9" s="20">
        <f t="shared" si="5"/>
        <v>45658</v>
      </c>
      <c r="N9" s="20">
        <f t="shared" si="5"/>
        <v>45689</v>
      </c>
      <c r="O9" s="21">
        <f t="shared" si="5"/>
        <v>45717</v>
      </c>
      <c r="P9" s="20">
        <f t="shared" si="5"/>
        <v>45748</v>
      </c>
      <c r="Q9" s="20">
        <f t="shared" si="5"/>
        <v>45778</v>
      </c>
      <c r="R9" s="20">
        <f t="shared" si="5"/>
        <v>45809</v>
      </c>
      <c r="S9" s="20">
        <f t="shared" si="5"/>
        <v>45839</v>
      </c>
      <c r="T9" s="20">
        <f t="shared" si="5"/>
        <v>45870</v>
      </c>
      <c r="U9" s="20">
        <f t="shared" si="5"/>
        <v>45901</v>
      </c>
      <c r="V9" s="20">
        <f t="shared" si="5"/>
        <v>45931</v>
      </c>
      <c r="W9" s="20">
        <f t="shared" si="5"/>
        <v>45962</v>
      </c>
      <c r="X9" s="20">
        <f t="shared" si="5"/>
        <v>45992</v>
      </c>
      <c r="Y9" s="20">
        <f t="shared" si="5"/>
        <v>46023</v>
      </c>
      <c r="Z9" s="20">
        <f t="shared" si="5"/>
        <v>46054</v>
      </c>
      <c r="AA9" s="21">
        <f t="shared" si="5"/>
        <v>46082</v>
      </c>
      <c r="AB9" s="20">
        <f t="shared" si="5"/>
        <v>46113</v>
      </c>
      <c r="AC9" s="20">
        <f t="shared" si="5"/>
        <v>46143</v>
      </c>
      <c r="AD9" s="20">
        <f t="shared" si="5"/>
        <v>46174</v>
      </c>
      <c r="AE9" s="20">
        <f t="shared" si="5"/>
        <v>46204</v>
      </c>
      <c r="AF9" s="20">
        <f t="shared" si="5"/>
        <v>46235</v>
      </c>
      <c r="AG9" s="20">
        <f t="shared" si="5"/>
        <v>46266</v>
      </c>
      <c r="AH9" s="20">
        <f t="shared" si="5"/>
        <v>46296</v>
      </c>
      <c r="AI9" s="20">
        <f t="shared" si="5"/>
        <v>46327</v>
      </c>
      <c r="AJ9" s="20">
        <f t="shared" si="5"/>
        <v>46357</v>
      </c>
      <c r="AK9" s="20">
        <f t="shared" si="5"/>
        <v>46388</v>
      </c>
      <c r="AL9" s="20">
        <f t="shared" si="5"/>
        <v>46419</v>
      </c>
      <c r="AM9" s="21">
        <f t="shared" si="5"/>
        <v>46447</v>
      </c>
      <c r="AN9" s="20">
        <f t="shared" si="5"/>
        <v>46478</v>
      </c>
      <c r="AO9" s="20">
        <f t="shared" si="5"/>
        <v>46508</v>
      </c>
      <c r="AP9" s="20">
        <f t="shared" si="5"/>
        <v>46539</v>
      </c>
      <c r="AQ9" s="20">
        <f t="shared" si="5"/>
        <v>46569</v>
      </c>
      <c r="AR9" s="20">
        <f t="shared" si="5"/>
        <v>46600</v>
      </c>
      <c r="AS9" s="20">
        <f t="shared" si="5"/>
        <v>46631</v>
      </c>
      <c r="AT9" s="20">
        <f t="shared" si="5"/>
        <v>46661</v>
      </c>
      <c r="AU9" s="20">
        <f t="shared" si="5"/>
        <v>46692</v>
      </c>
      <c r="AV9" s="20">
        <f t="shared" si="5"/>
        <v>46722</v>
      </c>
      <c r="AW9" s="20">
        <f t="shared" si="5"/>
        <v>46753</v>
      </c>
      <c r="AX9" s="21">
        <f t="shared" si="5"/>
        <v>46784</v>
      </c>
      <c r="AY9" s="20">
        <f t="shared" si="5"/>
        <v>46813</v>
      </c>
      <c r="AZ9" s="20">
        <f t="shared" si="5"/>
        <v>46844</v>
      </c>
      <c r="BA9" s="20">
        <f t="shared" si="5"/>
        <v>46874</v>
      </c>
      <c r="BB9" s="20">
        <f t="shared" si="5"/>
        <v>46905</v>
      </c>
      <c r="BC9" s="20">
        <f t="shared" si="5"/>
        <v>46935</v>
      </c>
      <c r="BD9" s="20">
        <f t="shared" si="5"/>
        <v>46966</v>
      </c>
      <c r="BE9" s="20">
        <f t="shared" si="5"/>
        <v>46997</v>
      </c>
      <c r="BF9" s="20">
        <f t="shared" si="5"/>
        <v>47027</v>
      </c>
      <c r="BG9" s="20">
        <f t="shared" si="5"/>
        <v>47058</v>
      </c>
      <c r="BH9" s="20">
        <f t="shared" si="5"/>
        <v>47088</v>
      </c>
      <c r="BI9" s="20">
        <f t="shared" si="5"/>
        <v>47119</v>
      </c>
      <c r="BJ9" s="21">
        <f t="shared" si="5"/>
        <v>47150</v>
      </c>
    </row>
    <row r="10" spans="1:62" hidden="1" outlineLevel="1" x14ac:dyDescent="0.35">
      <c r="A10" s="15" t="s">
        <v>196</v>
      </c>
      <c r="B10" s="15" t="s">
        <v>188</v>
      </c>
      <c r="C10" s="16">
        <f>SUM(C11:C13)</f>
        <v>1487.665534273965</v>
      </c>
      <c r="D10" s="17">
        <f t="shared" ref="D10:BJ10" si="6">SUM(D11:D13)</f>
        <v>1544.6435249572105</v>
      </c>
      <c r="E10" s="17">
        <f t="shared" si="6"/>
        <v>1597.9350666433033</v>
      </c>
      <c r="F10" s="17">
        <f t="shared" si="6"/>
        <v>1656.2622156635775</v>
      </c>
      <c r="G10" s="17">
        <f t="shared" si="6"/>
        <v>1712.6382258914059</v>
      </c>
      <c r="H10" s="17">
        <f t="shared" si="6"/>
        <v>1767.6397101359357</v>
      </c>
      <c r="I10" s="17">
        <f t="shared" si="6"/>
        <v>1774.0139312060405</v>
      </c>
      <c r="J10" s="17">
        <f t="shared" si="6"/>
        <v>1832.4358028337742</v>
      </c>
      <c r="K10" s="17">
        <f t="shared" si="6"/>
        <v>1897.9506474443915</v>
      </c>
      <c r="L10" s="17">
        <f t="shared" si="6"/>
        <v>1882.6626739580272</v>
      </c>
      <c r="M10" s="17">
        <f t="shared" si="6"/>
        <v>1948.8933970277799</v>
      </c>
      <c r="N10" s="17">
        <f t="shared" si="6"/>
        <v>1927.5994827395784</v>
      </c>
      <c r="O10" s="18">
        <f t="shared" si="6"/>
        <v>1956.3010648576656</v>
      </c>
      <c r="P10" s="17">
        <f t="shared" si="6"/>
        <v>2022.8281921988219</v>
      </c>
      <c r="Q10" s="17">
        <f t="shared" si="6"/>
        <v>2091.2737300682247</v>
      </c>
      <c r="R10" s="17">
        <f t="shared" si="6"/>
        <v>2163.6966179483388</v>
      </c>
      <c r="S10" s="17">
        <f t="shared" si="6"/>
        <v>2229.7118124830686</v>
      </c>
      <c r="T10" s="17">
        <f t="shared" si="6"/>
        <v>2301.5596323338405</v>
      </c>
      <c r="U10" s="17">
        <f t="shared" si="6"/>
        <v>2368.6774064356714</v>
      </c>
      <c r="V10" s="17">
        <f t="shared" si="6"/>
        <v>2334.4116277994963</v>
      </c>
      <c r="W10" s="17">
        <f t="shared" si="6"/>
        <v>2308.4600198123003</v>
      </c>
      <c r="X10" s="17">
        <f t="shared" si="6"/>
        <v>2192.3673062711377</v>
      </c>
      <c r="Y10" s="17">
        <f t="shared" si="6"/>
        <v>2191.9366826973865</v>
      </c>
      <c r="Z10" s="17">
        <f t="shared" si="6"/>
        <v>2099.1663447488299</v>
      </c>
      <c r="AA10" s="18">
        <f t="shared" si="6"/>
        <v>2109.3793238813723</v>
      </c>
      <c r="AB10" s="17">
        <f t="shared" si="6"/>
        <v>2082.2362024455592</v>
      </c>
      <c r="AC10" s="17">
        <f t="shared" si="6"/>
        <v>2088.0843859245292</v>
      </c>
      <c r="AD10" s="17">
        <f t="shared" si="6"/>
        <v>2084.4185076070626</v>
      </c>
      <c r="AE10" s="17">
        <f t="shared" si="6"/>
        <v>2084.5843837815946</v>
      </c>
      <c r="AF10" s="17">
        <f t="shared" si="6"/>
        <v>2100.49111353129</v>
      </c>
      <c r="AG10" s="17">
        <f t="shared" si="6"/>
        <v>2109.6670278640813</v>
      </c>
      <c r="AH10" s="17">
        <f t="shared" si="6"/>
        <v>2149.6173062424327</v>
      </c>
      <c r="AI10" s="17">
        <f t="shared" si="6"/>
        <v>2198.7351460680643</v>
      </c>
      <c r="AJ10" s="17">
        <f t="shared" si="6"/>
        <v>2182.0135679212817</v>
      </c>
      <c r="AK10" s="17">
        <f t="shared" si="6"/>
        <v>2234.4872554026533</v>
      </c>
      <c r="AL10" s="17">
        <f t="shared" si="6"/>
        <v>2212.1713224652444</v>
      </c>
      <c r="AM10" s="18">
        <f t="shared" si="6"/>
        <v>2260.0720307806891</v>
      </c>
      <c r="AN10" s="17">
        <f t="shared" si="6"/>
        <v>0</v>
      </c>
      <c r="AO10" s="17">
        <f t="shared" si="6"/>
        <v>0</v>
      </c>
      <c r="AP10" s="17">
        <f t="shared" si="6"/>
        <v>0</v>
      </c>
      <c r="AQ10" s="17">
        <f t="shared" si="6"/>
        <v>0</v>
      </c>
      <c r="AR10" s="17">
        <f t="shared" si="6"/>
        <v>0</v>
      </c>
      <c r="AS10" s="17">
        <f t="shared" si="6"/>
        <v>0</v>
      </c>
      <c r="AT10" s="17">
        <f t="shared" si="6"/>
        <v>0</v>
      </c>
      <c r="AU10" s="17">
        <f t="shared" si="6"/>
        <v>0</v>
      </c>
      <c r="AV10" s="17">
        <f t="shared" si="6"/>
        <v>0</v>
      </c>
      <c r="AW10" s="17">
        <f t="shared" si="6"/>
        <v>0</v>
      </c>
      <c r="AX10" s="18">
        <f t="shared" si="6"/>
        <v>0</v>
      </c>
      <c r="AY10" s="17">
        <f t="shared" si="6"/>
        <v>0</v>
      </c>
      <c r="AZ10" s="17">
        <f t="shared" si="6"/>
        <v>0</v>
      </c>
      <c r="BA10" s="17">
        <f t="shared" si="6"/>
        <v>0</v>
      </c>
      <c r="BB10" s="17">
        <f t="shared" si="6"/>
        <v>0</v>
      </c>
      <c r="BC10" s="17">
        <f t="shared" si="6"/>
        <v>0</v>
      </c>
      <c r="BD10" s="17">
        <f t="shared" si="6"/>
        <v>0</v>
      </c>
      <c r="BE10" s="17">
        <f t="shared" si="6"/>
        <v>0</v>
      </c>
      <c r="BF10" s="17">
        <f t="shared" si="6"/>
        <v>0</v>
      </c>
      <c r="BG10" s="17">
        <f t="shared" si="6"/>
        <v>0</v>
      </c>
      <c r="BH10" s="17">
        <f t="shared" si="6"/>
        <v>0</v>
      </c>
      <c r="BI10" s="17">
        <f t="shared" si="6"/>
        <v>0</v>
      </c>
      <c r="BJ10" s="18">
        <f t="shared" si="6"/>
        <v>0</v>
      </c>
    </row>
    <row r="11" spans="1:62" hidden="1" outlineLevel="1" x14ac:dyDescent="0.35">
      <c r="A11" s="1" t="s">
        <v>196</v>
      </c>
      <c r="B11" s="1" t="s">
        <v>257</v>
      </c>
      <c r="C11" s="52">
        <f>C35+C59+C83</f>
        <v>533.14615327480692</v>
      </c>
      <c r="D11" s="53">
        <f t="shared" ref="D11:AM11" si="7">D35+D59+D83</f>
        <v>552.0962911663463</v>
      </c>
      <c r="E11" s="53">
        <f t="shared" si="7"/>
        <v>567.30007884759618</v>
      </c>
      <c r="F11" s="53">
        <f t="shared" si="7"/>
        <v>586.4866012826518</v>
      </c>
      <c r="G11" s="53">
        <f t="shared" si="7"/>
        <v>602.8191828312647</v>
      </c>
      <c r="H11" s="53">
        <f t="shared" si="7"/>
        <v>615.62217385576423</v>
      </c>
      <c r="I11" s="53">
        <f t="shared" si="7"/>
        <v>619.82979282355143</v>
      </c>
      <c r="J11" s="53">
        <f t="shared" si="7"/>
        <v>629.5997305253137</v>
      </c>
      <c r="K11" s="53">
        <f t="shared" si="7"/>
        <v>641.82412246133163</v>
      </c>
      <c r="L11" s="53">
        <f t="shared" si="7"/>
        <v>640.46084997211028</v>
      </c>
      <c r="M11" s="53">
        <f t="shared" si="7"/>
        <v>653.1670133930279</v>
      </c>
      <c r="N11" s="53">
        <f t="shared" si="7"/>
        <v>650.99921384516165</v>
      </c>
      <c r="O11" s="54">
        <f t="shared" si="7"/>
        <v>640.55056177725555</v>
      </c>
      <c r="P11" s="53">
        <f t="shared" si="7"/>
        <v>659.73153102829008</v>
      </c>
      <c r="Q11" s="53">
        <f t="shared" si="7"/>
        <v>678.11116113859816</v>
      </c>
      <c r="R11" s="53">
        <f t="shared" si="7"/>
        <v>699.4606613214263</v>
      </c>
      <c r="S11" s="53">
        <f t="shared" si="7"/>
        <v>713.594491630991</v>
      </c>
      <c r="T11" s="53">
        <f t="shared" si="7"/>
        <v>729.20299587854117</v>
      </c>
      <c r="U11" s="53">
        <f t="shared" si="7"/>
        <v>742.71088792291573</v>
      </c>
      <c r="V11" s="53">
        <f t="shared" si="7"/>
        <v>733.36805179658472</v>
      </c>
      <c r="W11" s="53">
        <f t="shared" si="7"/>
        <v>722.74729228406977</v>
      </c>
      <c r="X11" s="53">
        <f t="shared" si="7"/>
        <v>699.66695519114353</v>
      </c>
      <c r="Y11" s="53">
        <f t="shared" si="7"/>
        <v>697.7103771586527</v>
      </c>
      <c r="Z11" s="53">
        <f t="shared" si="7"/>
        <v>681.50208136754497</v>
      </c>
      <c r="AA11" s="54">
        <f t="shared" si="7"/>
        <v>677.5654979578361</v>
      </c>
      <c r="AB11" s="53">
        <f t="shared" si="7"/>
        <v>674.29461716606079</v>
      </c>
      <c r="AC11" s="53">
        <f t="shared" si="7"/>
        <v>680.68628750201026</v>
      </c>
      <c r="AD11" s="53">
        <f t="shared" si="7"/>
        <v>685.68704554559088</v>
      </c>
      <c r="AE11" s="53">
        <f t="shared" si="7"/>
        <v>688.12382726459975</v>
      </c>
      <c r="AF11" s="53">
        <f t="shared" si="7"/>
        <v>697.96889504749447</v>
      </c>
      <c r="AG11" s="53">
        <f t="shared" si="7"/>
        <v>712.47013025663841</v>
      </c>
      <c r="AH11" s="53">
        <f t="shared" si="7"/>
        <v>736.73836039623779</v>
      </c>
      <c r="AI11" s="53">
        <f t="shared" si="7"/>
        <v>764.63211364230199</v>
      </c>
      <c r="AJ11" s="53">
        <f t="shared" si="7"/>
        <v>777.09304874420229</v>
      </c>
      <c r="AK11" s="53">
        <f t="shared" si="7"/>
        <v>807.84744332126775</v>
      </c>
      <c r="AL11" s="53">
        <f t="shared" si="7"/>
        <v>818.43947097510556</v>
      </c>
      <c r="AM11" s="54">
        <f t="shared" si="7"/>
        <v>851.36952894465799</v>
      </c>
      <c r="AN11" s="53">
        <f>'Plan - CoC'!AN4-'Plan - CoC'!AN10</f>
        <v>0</v>
      </c>
      <c r="AO11" s="53">
        <f>'Plan - CoC'!AO4-'Plan - CoC'!AO10</f>
        <v>0</v>
      </c>
      <c r="AP11" s="53">
        <f>'Plan - CoC'!AP4-'Plan - CoC'!AP10</f>
        <v>0</v>
      </c>
      <c r="AQ11" s="53">
        <f>'Plan - CoC'!AQ4-'Plan - CoC'!AQ10</f>
        <v>0</v>
      </c>
      <c r="AR11" s="53">
        <f>'Plan - CoC'!AR4-'Plan - CoC'!AR10</f>
        <v>0</v>
      </c>
      <c r="AS11" s="53">
        <f>'Plan - CoC'!AS4-'Plan - CoC'!AS10</f>
        <v>0</v>
      </c>
      <c r="AT11" s="53">
        <f>'Plan - CoC'!AT4-'Plan - CoC'!AT10</f>
        <v>0</v>
      </c>
      <c r="AU11" s="53">
        <f>'Plan - CoC'!AU4-'Plan - CoC'!AU10</f>
        <v>0</v>
      </c>
      <c r="AV11" s="53">
        <f>'Plan - CoC'!AV4-'Plan - CoC'!AV10</f>
        <v>0</v>
      </c>
      <c r="AW11" s="53">
        <f>'Plan - CoC'!AW4-'Plan - CoC'!AW10</f>
        <v>0</v>
      </c>
      <c r="AX11" s="54">
        <f>'Plan - CoC'!AX4-'Plan - CoC'!AX10</f>
        <v>0</v>
      </c>
      <c r="AY11" s="53">
        <f>'Plan - CoC'!AY4-'Plan - CoC'!AY10</f>
        <v>0</v>
      </c>
      <c r="AZ11" s="53">
        <f>'Plan - CoC'!AZ4-'Plan - CoC'!AZ10</f>
        <v>0</v>
      </c>
      <c r="BA11" s="53">
        <f>'Plan - CoC'!BA4-'Plan - CoC'!BA10</f>
        <v>0</v>
      </c>
      <c r="BB11" s="53">
        <f>'Plan - CoC'!BB4-'Plan - CoC'!BB10</f>
        <v>0</v>
      </c>
      <c r="BC11" s="53">
        <f>'Plan - CoC'!BC4-'Plan - CoC'!BC10</f>
        <v>0</v>
      </c>
      <c r="BD11" s="53">
        <f>'Plan - CoC'!BD4-'Plan - CoC'!BD10</f>
        <v>0</v>
      </c>
      <c r="BE11" s="53">
        <f>'Plan - CoC'!BE4-'Plan - CoC'!BE10</f>
        <v>0</v>
      </c>
      <c r="BF11" s="53">
        <f>'Plan - CoC'!BF4-'Plan - CoC'!BF10</f>
        <v>0</v>
      </c>
      <c r="BG11" s="53">
        <f>'Plan - CoC'!BG4-'Plan - CoC'!BG10</f>
        <v>0</v>
      </c>
      <c r="BH11" s="53">
        <f>'Plan - CoC'!BH4-'Plan - CoC'!BH10</f>
        <v>0</v>
      </c>
      <c r="BI11" s="53">
        <f>'Plan - CoC'!BI4-'Plan - CoC'!BI10</f>
        <v>0</v>
      </c>
      <c r="BJ11" s="54">
        <f>'Plan - CoC'!BJ4-'Plan - CoC'!BJ10</f>
        <v>0</v>
      </c>
    </row>
    <row r="12" spans="1:62" hidden="1" outlineLevel="1" x14ac:dyDescent="0.35">
      <c r="A12" s="2" t="s">
        <v>196</v>
      </c>
      <c r="B12" s="2" t="s">
        <v>258</v>
      </c>
      <c r="C12" s="55">
        <f t="shared" ref="C12:AM12" si="8">C36+C60+C84</f>
        <v>354.98237360913288</v>
      </c>
      <c r="D12" s="56">
        <f t="shared" si="8"/>
        <v>367.47535148607415</v>
      </c>
      <c r="E12" s="56">
        <f t="shared" si="8"/>
        <v>379.37960721917216</v>
      </c>
      <c r="F12" s="56">
        <f t="shared" si="8"/>
        <v>391.27986441093242</v>
      </c>
      <c r="G12" s="56">
        <f t="shared" si="8"/>
        <v>403.45866936393162</v>
      </c>
      <c r="H12" s="56">
        <f t="shared" si="8"/>
        <v>416.2517092077768</v>
      </c>
      <c r="I12" s="56">
        <f t="shared" si="8"/>
        <v>415.38584142346735</v>
      </c>
      <c r="J12" s="56">
        <f t="shared" si="8"/>
        <v>429.65392196844084</v>
      </c>
      <c r="K12" s="56">
        <f t="shared" si="8"/>
        <v>445.46437157202604</v>
      </c>
      <c r="L12" s="56">
        <f t="shared" si="8"/>
        <v>439.50474710698995</v>
      </c>
      <c r="M12" s="56">
        <f t="shared" si="8"/>
        <v>455.76955377355557</v>
      </c>
      <c r="N12" s="56">
        <f t="shared" si="8"/>
        <v>448.8819778236284</v>
      </c>
      <c r="O12" s="57">
        <f t="shared" si="8"/>
        <v>449.4411549046049</v>
      </c>
      <c r="P12" s="56">
        <f t="shared" si="8"/>
        <v>461.77840150445468</v>
      </c>
      <c r="Q12" s="56">
        <f t="shared" si="8"/>
        <v>475.03587957088678</v>
      </c>
      <c r="R12" s="56">
        <f t="shared" si="8"/>
        <v>488.68382640353479</v>
      </c>
      <c r="S12" s="56">
        <f t="shared" si="8"/>
        <v>502.87820347736294</v>
      </c>
      <c r="T12" s="56">
        <f t="shared" si="8"/>
        <v>518.30212906085342</v>
      </c>
      <c r="U12" s="56">
        <f t="shared" si="8"/>
        <v>534.80133149465212</v>
      </c>
      <c r="V12" s="56">
        <f t="shared" si="8"/>
        <v>527.72311298730403</v>
      </c>
      <c r="W12" s="56">
        <f t="shared" si="8"/>
        <v>523.96930908982586</v>
      </c>
      <c r="X12" s="56">
        <f t="shared" si="8"/>
        <v>499.4195241073337</v>
      </c>
      <c r="Y12" s="56">
        <f t="shared" si="8"/>
        <v>501.11347370519638</v>
      </c>
      <c r="Z12" s="56">
        <f t="shared" si="8"/>
        <v>481.14615037953729</v>
      </c>
      <c r="AA12" s="57">
        <f t="shared" si="8"/>
        <v>486.83647740075992</v>
      </c>
      <c r="AB12" s="56">
        <f t="shared" si="8"/>
        <v>479.89569756331429</v>
      </c>
      <c r="AC12" s="56">
        <f t="shared" si="8"/>
        <v>481.16540870621964</v>
      </c>
      <c r="AD12" s="56">
        <f t="shared" si="8"/>
        <v>479.52824245437864</v>
      </c>
      <c r="AE12" s="56">
        <f t="shared" si="8"/>
        <v>480.61811425487787</v>
      </c>
      <c r="AF12" s="56">
        <f t="shared" si="8"/>
        <v>484.84136027313525</v>
      </c>
      <c r="AG12" s="56">
        <f t="shared" si="8"/>
        <v>486.33335361430261</v>
      </c>
      <c r="AH12" s="56">
        <f t="shared" si="8"/>
        <v>493.73114234730792</v>
      </c>
      <c r="AI12" s="56">
        <f t="shared" si="8"/>
        <v>503.36739353368972</v>
      </c>
      <c r="AJ12" s="56">
        <f t="shared" si="8"/>
        <v>497.87107565233543</v>
      </c>
      <c r="AK12" s="56">
        <f t="shared" si="8"/>
        <v>508.33739536298492</v>
      </c>
      <c r="AL12" s="56">
        <f t="shared" si="8"/>
        <v>501.47650389561431</v>
      </c>
      <c r="AM12" s="57">
        <f t="shared" si="8"/>
        <v>509.94905423523966</v>
      </c>
      <c r="AN12" s="56">
        <f>'Plan - CoC'!AN5-'Plan - CoC'!AN11</f>
        <v>0</v>
      </c>
      <c r="AO12" s="56">
        <f>'Plan - CoC'!AO5-'Plan - CoC'!AO11</f>
        <v>0</v>
      </c>
      <c r="AP12" s="56">
        <f>'Plan - CoC'!AP5-'Plan - CoC'!AP11</f>
        <v>0</v>
      </c>
      <c r="AQ12" s="56">
        <f>'Plan - CoC'!AQ5-'Plan - CoC'!AQ11</f>
        <v>0</v>
      </c>
      <c r="AR12" s="56">
        <f>'Plan - CoC'!AR5-'Plan - CoC'!AR11</f>
        <v>0</v>
      </c>
      <c r="AS12" s="56">
        <f>'Plan - CoC'!AS5-'Plan - CoC'!AS11</f>
        <v>0</v>
      </c>
      <c r="AT12" s="56">
        <f>'Plan - CoC'!AT5-'Plan - CoC'!AT11</f>
        <v>0</v>
      </c>
      <c r="AU12" s="56">
        <f>'Plan - CoC'!AU5-'Plan - CoC'!AU11</f>
        <v>0</v>
      </c>
      <c r="AV12" s="56">
        <f>'Plan - CoC'!AV5-'Plan - CoC'!AV11</f>
        <v>0</v>
      </c>
      <c r="AW12" s="56">
        <f>'Plan - CoC'!AW5-'Plan - CoC'!AW11</f>
        <v>0</v>
      </c>
      <c r="AX12" s="57">
        <f>'Plan - CoC'!AX5-'Plan - CoC'!AX11</f>
        <v>0</v>
      </c>
      <c r="AY12" s="56">
        <f>'Plan - CoC'!AY5-'Plan - CoC'!AY11</f>
        <v>0</v>
      </c>
      <c r="AZ12" s="56">
        <f>'Plan - CoC'!AZ5-'Plan - CoC'!AZ11</f>
        <v>0</v>
      </c>
      <c r="BA12" s="56">
        <f>'Plan - CoC'!BA5-'Plan - CoC'!BA11</f>
        <v>0</v>
      </c>
      <c r="BB12" s="56">
        <f>'Plan - CoC'!BB5-'Plan - CoC'!BB11</f>
        <v>0</v>
      </c>
      <c r="BC12" s="56">
        <f>'Plan - CoC'!BC5-'Plan - CoC'!BC11</f>
        <v>0</v>
      </c>
      <c r="BD12" s="56">
        <f>'Plan - CoC'!BD5-'Plan - CoC'!BD11</f>
        <v>0</v>
      </c>
      <c r="BE12" s="56">
        <f>'Plan - CoC'!BE5-'Plan - CoC'!BE11</f>
        <v>0</v>
      </c>
      <c r="BF12" s="56">
        <f>'Plan - CoC'!BF5-'Plan - CoC'!BF11</f>
        <v>0</v>
      </c>
      <c r="BG12" s="56">
        <f>'Plan - CoC'!BG5-'Plan - CoC'!BG11</f>
        <v>0</v>
      </c>
      <c r="BH12" s="56">
        <f>'Plan - CoC'!BH5-'Plan - CoC'!BH11</f>
        <v>0</v>
      </c>
      <c r="BI12" s="56">
        <f>'Plan - CoC'!BI5-'Plan - CoC'!BI11</f>
        <v>0</v>
      </c>
      <c r="BJ12" s="57">
        <f>'Plan - CoC'!BJ5-'Plan - CoC'!BJ11</f>
        <v>0</v>
      </c>
    </row>
    <row r="13" spans="1:62" hidden="1" outlineLevel="1" x14ac:dyDescent="0.35">
      <c r="A13" s="3" t="s">
        <v>196</v>
      </c>
      <c r="B13" s="3" t="s">
        <v>259</v>
      </c>
      <c r="C13" s="58">
        <f t="shared" ref="C13:AM13" si="9">C37+C61+C85</f>
        <v>599.53700739002511</v>
      </c>
      <c r="D13" s="59">
        <f t="shared" si="9"/>
        <v>625.07188230479017</v>
      </c>
      <c r="E13" s="59">
        <f t="shared" si="9"/>
        <v>651.255380576535</v>
      </c>
      <c r="F13" s="59">
        <f t="shared" si="9"/>
        <v>678.49574996999343</v>
      </c>
      <c r="G13" s="59">
        <f t="shared" si="9"/>
        <v>706.36037369620954</v>
      </c>
      <c r="H13" s="59">
        <f t="shared" si="9"/>
        <v>735.76582707239447</v>
      </c>
      <c r="I13" s="59">
        <f t="shared" si="9"/>
        <v>738.79829695902174</v>
      </c>
      <c r="J13" s="59">
        <f t="shared" si="9"/>
        <v>773.1821503400198</v>
      </c>
      <c r="K13" s="59">
        <f t="shared" si="9"/>
        <v>810.66215341103396</v>
      </c>
      <c r="L13" s="59">
        <f t="shared" si="9"/>
        <v>802.69707687892696</v>
      </c>
      <c r="M13" s="59">
        <f t="shared" si="9"/>
        <v>839.9568298611963</v>
      </c>
      <c r="N13" s="59">
        <f t="shared" si="9"/>
        <v>827.71829107078827</v>
      </c>
      <c r="O13" s="60">
        <f t="shared" si="9"/>
        <v>866.30934817580521</v>
      </c>
      <c r="P13" s="59">
        <f t="shared" si="9"/>
        <v>901.31825966607732</v>
      </c>
      <c r="Q13" s="59">
        <f t="shared" si="9"/>
        <v>938.1266893587399</v>
      </c>
      <c r="R13" s="59">
        <f t="shared" si="9"/>
        <v>975.55213022337762</v>
      </c>
      <c r="S13" s="59">
        <f t="shared" si="9"/>
        <v>1013.2391173747144</v>
      </c>
      <c r="T13" s="59">
        <f t="shared" si="9"/>
        <v>1054.0545073944461</v>
      </c>
      <c r="U13" s="59">
        <f t="shared" si="9"/>
        <v>1091.1651870181033</v>
      </c>
      <c r="V13" s="59">
        <f t="shared" si="9"/>
        <v>1073.3204630156076</v>
      </c>
      <c r="W13" s="59">
        <f t="shared" si="9"/>
        <v>1061.7434184384047</v>
      </c>
      <c r="X13" s="59">
        <f t="shared" si="9"/>
        <v>993.28082697266052</v>
      </c>
      <c r="Y13" s="59">
        <f t="shared" si="9"/>
        <v>993.11283183353726</v>
      </c>
      <c r="Z13" s="59">
        <f t="shared" si="9"/>
        <v>936.51811300174757</v>
      </c>
      <c r="AA13" s="60">
        <f t="shared" si="9"/>
        <v>944.97734852277642</v>
      </c>
      <c r="AB13" s="59">
        <f t="shared" si="9"/>
        <v>928.0458877161841</v>
      </c>
      <c r="AC13" s="59">
        <f t="shared" si="9"/>
        <v>926.23268971629932</v>
      </c>
      <c r="AD13" s="59">
        <f t="shared" si="9"/>
        <v>919.20321960709305</v>
      </c>
      <c r="AE13" s="59">
        <f t="shared" si="9"/>
        <v>915.84244226211695</v>
      </c>
      <c r="AF13" s="59">
        <f t="shared" si="9"/>
        <v>917.68085821066018</v>
      </c>
      <c r="AG13" s="59">
        <f t="shared" si="9"/>
        <v>910.86354399314018</v>
      </c>
      <c r="AH13" s="59">
        <f t="shared" si="9"/>
        <v>919.1478034988869</v>
      </c>
      <c r="AI13" s="59">
        <f t="shared" si="9"/>
        <v>930.73563889207264</v>
      </c>
      <c r="AJ13" s="59">
        <f t="shared" si="9"/>
        <v>907.04944352474411</v>
      </c>
      <c r="AK13" s="59">
        <f t="shared" si="9"/>
        <v>918.30241671840088</v>
      </c>
      <c r="AL13" s="59">
        <f t="shared" si="9"/>
        <v>892.25534759452466</v>
      </c>
      <c r="AM13" s="60">
        <f t="shared" si="9"/>
        <v>898.75344760079145</v>
      </c>
      <c r="AN13" s="59">
        <f>'Plan - CoC'!AN6-'Plan - CoC'!AN12</f>
        <v>0</v>
      </c>
      <c r="AO13" s="59">
        <f>'Plan - CoC'!AO6-'Plan - CoC'!AO12</f>
        <v>0</v>
      </c>
      <c r="AP13" s="59">
        <f>'Plan - CoC'!AP6-'Plan - CoC'!AP12</f>
        <v>0</v>
      </c>
      <c r="AQ13" s="59">
        <f>'Plan - CoC'!AQ6-'Plan - CoC'!AQ12</f>
        <v>0</v>
      </c>
      <c r="AR13" s="59">
        <f>'Plan - CoC'!AR6-'Plan - CoC'!AR12</f>
        <v>0</v>
      </c>
      <c r="AS13" s="59">
        <f>'Plan - CoC'!AS6-'Plan - CoC'!AS12</f>
        <v>0</v>
      </c>
      <c r="AT13" s="59">
        <f>'Plan - CoC'!AT6-'Plan - CoC'!AT12</f>
        <v>0</v>
      </c>
      <c r="AU13" s="59">
        <f>'Plan - CoC'!AU6-'Plan - CoC'!AU12</f>
        <v>0</v>
      </c>
      <c r="AV13" s="59">
        <f>'Plan - CoC'!AV6-'Plan - CoC'!AV12</f>
        <v>0</v>
      </c>
      <c r="AW13" s="59">
        <f>'Plan - CoC'!AW6-'Plan - CoC'!AW12</f>
        <v>0</v>
      </c>
      <c r="AX13" s="60">
        <f>'Plan - CoC'!AX6-'Plan - CoC'!AX12</f>
        <v>0</v>
      </c>
      <c r="AY13" s="59">
        <f>'Plan - CoC'!AY6-'Plan - CoC'!AY12</f>
        <v>0</v>
      </c>
      <c r="AZ13" s="59">
        <f>'Plan - CoC'!AZ6-'Plan - CoC'!AZ12</f>
        <v>0</v>
      </c>
      <c r="BA13" s="59">
        <f>'Plan - CoC'!BA6-'Plan - CoC'!BA12</f>
        <v>0</v>
      </c>
      <c r="BB13" s="59">
        <f>'Plan - CoC'!BB6-'Plan - CoC'!BB12</f>
        <v>0</v>
      </c>
      <c r="BC13" s="59">
        <f>'Plan - CoC'!BC6-'Plan - CoC'!BC12</f>
        <v>0</v>
      </c>
      <c r="BD13" s="59">
        <f>'Plan - CoC'!BD6-'Plan - CoC'!BD12</f>
        <v>0</v>
      </c>
      <c r="BE13" s="59">
        <f>'Plan - CoC'!BE6-'Plan - CoC'!BE12</f>
        <v>0</v>
      </c>
      <c r="BF13" s="59">
        <f>'Plan - CoC'!BF6-'Plan - CoC'!BF12</f>
        <v>0</v>
      </c>
      <c r="BG13" s="59">
        <f>'Plan - CoC'!BG6-'Plan - CoC'!BG12</f>
        <v>0</v>
      </c>
      <c r="BH13" s="59">
        <f>'Plan - CoC'!BH6-'Plan - CoC'!BH12</f>
        <v>0</v>
      </c>
      <c r="BI13" s="59">
        <f>'Plan - CoC'!BI6-'Plan - CoC'!BI12</f>
        <v>0</v>
      </c>
      <c r="BJ13" s="60">
        <f>'Plan - CoC'!BJ6-'Plan - CoC'!BJ12</f>
        <v>0</v>
      </c>
    </row>
    <row r="14" spans="1:62" hidden="1" outlineLevel="1" x14ac:dyDescent="0.35">
      <c r="O14" s="231"/>
    </row>
    <row r="15" spans="1:62" hidden="1" outlineLevel="1" x14ac:dyDescent="0.35">
      <c r="A15" s="25" t="s">
        <v>195</v>
      </c>
      <c r="B15" s="4" t="s">
        <v>3</v>
      </c>
      <c r="C15" s="19">
        <f>$C$3</f>
        <v>45352</v>
      </c>
      <c r="D15" s="20">
        <f>EDATE(C15,1)</f>
        <v>45383</v>
      </c>
      <c r="E15" s="20">
        <f>EDATE(D15,1)</f>
        <v>45413</v>
      </c>
      <c r="F15" s="20">
        <f>EDATE(E15,1)</f>
        <v>45444</v>
      </c>
      <c r="G15" s="20">
        <f t="shared" ref="G15:AM15" si="10">EDATE(F15,1)</f>
        <v>45474</v>
      </c>
      <c r="H15" s="20">
        <f t="shared" si="10"/>
        <v>45505</v>
      </c>
      <c r="I15" s="20">
        <f t="shared" si="10"/>
        <v>45536</v>
      </c>
      <c r="J15" s="20">
        <f t="shared" si="10"/>
        <v>45566</v>
      </c>
      <c r="K15" s="20">
        <f t="shared" si="10"/>
        <v>45597</v>
      </c>
      <c r="L15" s="20">
        <f t="shared" si="10"/>
        <v>45627</v>
      </c>
      <c r="M15" s="20">
        <f t="shared" si="10"/>
        <v>45658</v>
      </c>
      <c r="N15" s="20">
        <f t="shared" si="10"/>
        <v>45689</v>
      </c>
      <c r="O15" s="21">
        <f t="shared" si="10"/>
        <v>45717</v>
      </c>
      <c r="P15" s="20">
        <f t="shared" si="10"/>
        <v>45748</v>
      </c>
      <c r="Q15" s="20">
        <f t="shared" si="10"/>
        <v>45778</v>
      </c>
      <c r="R15" s="20">
        <f t="shared" si="10"/>
        <v>45809</v>
      </c>
      <c r="S15" s="20">
        <f t="shared" si="10"/>
        <v>45839</v>
      </c>
      <c r="T15" s="20">
        <f t="shared" si="10"/>
        <v>45870</v>
      </c>
      <c r="U15" s="20">
        <f t="shared" si="10"/>
        <v>45901</v>
      </c>
      <c r="V15" s="20">
        <f t="shared" si="10"/>
        <v>45931</v>
      </c>
      <c r="W15" s="20">
        <f t="shared" si="10"/>
        <v>45962</v>
      </c>
      <c r="X15" s="20">
        <f t="shared" si="10"/>
        <v>45992</v>
      </c>
      <c r="Y15" s="20">
        <f t="shared" si="10"/>
        <v>46023</v>
      </c>
      <c r="Z15" s="20">
        <f t="shared" si="10"/>
        <v>46054</v>
      </c>
      <c r="AA15" s="21">
        <f t="shared" si="10"/>
        <v>46082</v>
      </c>
      <c r="AB15" s="20">
        <f t="shared" si="10"/>
        <v>46113</v>
      </c>
      <c r="AC15" s="20">
        <f t="shared" si="10"/>
        <v>46143</v>
      </c>
      <c r="AD15" s="20">
        <f t="shared" si="10"/>
        <v>46174</v>
      </c>
      <c r="AE15" s="20">
        <f t="shared" si="10"/>
        <v>46204</v>
      </c>
      <c r="AF15" s="20">
        <f t="shared" si="10"/>
        <v>46235</v>
      </c>
      <c r="AG15" s="20">
        <f t="shared" si="10"/>
        <v>46266</v>
      </c>
      <c r="AH15" s="20">
        <f t="shared" si="10"/>
        <v>46296</v>
      </c>
      <c r="AI15" s="20">
        <f t="shared" si="10"/>
        <v>46327</v>
      </c>
      <c r="AJ15" s="20">
        <f t="shared" si="10"/>
        <v>46357</v>
      </c>
      <c r="AK15" s="20">
        <f t="shared" si="10"/>
        <v>46388</v>
      </c>
      <c r="AL15" s="20">
        <f t="shared" si="10"/>
        <v>46419</v>
      </c>
      <c r="AM15" s="21">
        <f t="shared" si="10"/>
        <v>46447</v>
      </c>
    </row>
    <row r="16" spans="1:62" hidden="1" outlineLevel="1" x14ac:dyDescent="0.35">
      <c r="A16" s="15" t="s">
        <v>195</v>
      </c>
      <c r="B16" s="15" t="s">
        <v>188</v>
      </c>
      <c r="C16" s="16">
        <f>SUM(C17:C19)</f>
        <v>358.76444282109105</v>
      </c>
      <c r="D16" s="17">
        <f t="shared" ref="D16:AM16" si="11">SUM(D17:D19)</f>
        <v>350.23077481860889</v>
      </c>
      <c r="E16" s="17">
        <f t="shared" si="11"/>
        <v>341.55803559694539</v>
      </c>
      <c r="F16" s="17">
        <f t="shared" si="11"/>
        <v>324.84206393117319</v>
      </c>
      <c r="G16" s="17">
        <f t="shared" si="11"/>
        <v>315.52066355158661</v>
      </c>
      <c r="H16" s="17">
        <f t="shared" si="11"/>
        <v>309.39855964903586</v>
      </c>
      <c r="I16" s="17">
        <f t="shared" si="11"/>
        <v>297.62433870232201</v>
      </c>
      <c r="J16" s="17">
        <f t="shared" si="11"/>
        <v>276.88092822911085</v>
      </c>
      <c r="K16" s="17">
        <f t="shared" si="11"/>
        <v>267.90061375305623</v>
      </c>
      <c r="L16" s="17">
        <f t="shared" si="11"/>
        <v>264.8956767567995</v>
      </c>
      <c r="M16" s="17">
        <f t="shared" si="11"/>
        <v>261.69194152542343</v>
      </c>
      <c r="N16" s="17">
        <f t="shared" si="11"/>
        <v>259.14574882691772</v>
      </c>
      <c r="O16" s="18">
        <f t="shared" si="11"/>
        <v>201.86888196669952</v>
      </c>
      <c r="P16" s="17">
        <f t="shared" si="11"/>
        <v>156.58873582393477</v>
      </c>
      <c r="Q16" s="17">
        <f t="shared" si="11"/>
        <v>147.71751033006689</v>
      </c>
      <c r="R16" s="17">
        <f t="shared" si="11"/>
        <v>142.66971375427212</v>
      </c>
      <c r="S16" s="17">
        <f t="shared" si="11"/>
        <v>139.02353815119133</v>
      </c>
      <c r="T16" s="17">
        <f t="shared" si="11"/>
        <v>126.57652020272138</v>
      </c>
      <c r="U16" s="17">
        <f t="shared" si="11"/>
        <v>123.29335515499358</v>
      </c>
      <c r="V16" s="17">
        <f t="shared" si="11"/>
        <v>116.58863979018084</v>
      </c>
      <c r="W16" s="17">
        <f t="shared" si="11"/>
        <v>112.80411766721383</v>
      </c>
      <c r="X16" s="17">
        <f t="shared" si="11"/>
        <v>106.67025676186391</v>
      </c>
      <c r="Y16" s="17">
        <f t="shared" si="11"/>
        <v>103.77868442511429</v>
      </c>
      <c r="Z16" s="17">
        <f t="shared" si="11"/>
        <v>99.110741850852378</v>
      </c>
      <c r="AA16" s="18">
        <f t="shared" si="11"/>
        <v>95.145192856716136</v>
      </c>
      <c r="AB16" s="17">
        <f t="shared" si="11"/>
        <v>93.337854365123718</v>
      </c>
      <c r="AC16" s="17">
        <f t="shared" si="11"/>
        <v>91.671681423673036</v>
      </c>
      <c r="AD16" s="17">
        <f t="shared" si="11"/>
        <v>90.171835083877681</v>
      </c>
      <c r="AE16" s="17">
        <f t="shared" si="11"/>
        <v>88.825766799177273</v>
      </c>
      <c r="AF16" s="17">
        <f t="shared" si="11"/>
        <v>87.611215538147562</v>
      </c>
      <c r="AG16" s="17">
        <f t="shared" si="11"/>
        <v>86.506434560100146</v>
      </c>
      <c r="AH16" s="17">
        <f t="shared" si="11"/>
        <v>85.492558948948812</v>
      </c>
      <c r="AI16" s="17">
        <f t="shared" si="11"/>
        <v>84.55394282198769</v>
      </c>
      <c r="AJ16" s="17">
        <f t="shared" si="11"/>
        <v>83.677736561693592</v>
      </c>
      <c r="AK16" s="17">
        <f t="shared" si="11"/>
        <v>82.85362241193387</v>
      </c>
      <c r="AL16" s="17">
        <f t="shared" si="11"/>
        <v>82.073373218597894</v>
      </c>
      <c r="AM16" s="18">
        <f t="shared" si="11"/>
        <v>81.331408105972443</v>
      </c>
    </row>
    <row r="17" spans="1:62" hidden="1" outlineLevel="1" x14ac:dyDescent="0.35">
      <c r="A17" s="1" t="s">
        <v>195</v>
      </c>
      <c r="B17" s="1" t="s">
        <v>257</v>
      </c>
      <c r="C17" s="52">
        <f>C41+C65+C89</f>
        <v>32.61914656846664</v>
      </c>
      <c r="D17" s="53">
        <f t="shared" ref="D17:AM17" si="12">D41+D65+D89</f>
        <v>31.000046926199044</v>
      </c>
      <c r="E17" s="53">
        <f t="shared" si="12"/>
        <v>28.116082268637939</v>
      </c>
      <c r="F17" s="53">
        <f t="shared" si="12"/>
        <v>24.257850050374635</v>
      </c>
      <c r="G17" s="53">
        <f t="shared" si="12"/>
        <v>24.257850050374635</v>
      </c>
      <c r="H17" s="53">
        <f t="shared" si="12"/>
        <v>24.257850050374635</v>
      </c>
      <c r="I17" s="53">
        <f t="shared" si="12"/>
        <v>24.257850050374635</v>
      </c>
      <c r="J17" s="53">
        <f t="shared" si="12"/>
        <v>24.257850050374635</v>
      </c>
      <c r="K17" s="53">
        <f t="shared" si="12"/>
        <v>24.257850050374635</v>
      </c>
      <c r="L17" s="53">
        <f t="shared" si="12"/>
        <v>24.257850050374635</v>
      </c>
      <c r="M17" s="53">
        <f t="shared" si="12"/>
        <v>24.257850050374635</v>
      </c>
      <c r="N17" s="53">
        <f t="shared" si="12"/>
        <v>24.257850050374635</v>
      </c>
      <c r="O17" s="54">
        <f t="shared" si="12"/>
        <v>24.257850050374635</v>
      </c>
      <c r="P17" s="53">
        <f t="shared" si="12"/>
        <v>24.257850050374635</v>
      </c>
      <c r="Q17" s="53">
        <f t="shared" si="12"/>
        <v>24.257850050374635</v>
      </c>
      <c r="R17" s="53">
        <f t="shared" si="12"/>
        <v>24.257850050374635</v>
      </c>
      <c r="S17" s="53">
        <f t="shared" si="12"/>
        <v>24.257850050374635</v>
      </c>
      <c r="T17" s="53">
        <f t="shared" si="12"/>
        <v>24.257850050374635</v>
      </c>
      <c r="U17" s="53">
        <f t="shared" si="12"/>
        <v>24.257850050374635</v>
      </c>
      <c r="V17" s="53">
        <f t="shared" si="12"/>
        <v>24.257850050374635</v>
      </c>
      <c r="W17" s="53">
        <f t="shared" si="12"/>
        <v>24.257850050374635</v>
      </c>
      <c r="X17" s="53">
        <f t="shared" si="12"/>
        <v>24.257850050374635</v>
      </c>
      <c r="Y17" s="53">
        <f t="shared" si="12"/>
        <v>24.257850050374635</v>
      </c>
      <c r="Z17" s="53">
        <f t="shared" si="12"/>
        <v>24.257850050374635</v>
      </c>
      <c r="AA17" s="54">
        <f t="shared" si="12"/>
        <v>24.257850050374635</v>
      </c>
      <c r="AB17" s="53">
        <f t="shared" si="12"/>
        <v>24.257850050374635</v>
      </c>
      <c r="AC17" s="53">
        <f t="shared" si="12"/>
        <v>24.257850050374635</v>
      </c>
      <c r="AD17" s="53">
        <f t="shared" si="12"/>
        <v>24.257850050374635</v>
      </c>
      <c r="AE17" s="53">
        <f t="shared" si="12"/>
        <v>24.257850050374635</v>
      </c>
      <c r="AF17" s="53">
        <f t="shared" si="12"/>
        <v>24.257850050374635</v>
      </c>
      <c r="AG17" s="53">
        <f t="shared" si="12"/>
        <v>24.257850050374635</v>
      </c>
      <c r="AH17" s="53">
        <f t="shared" si="12"/>
        <v>24.257850050374635</v>
      </c>
      <c r="AI17" s="53">
        <f t="shared" si="12"/>
        <v>24.257850050374635</v>
      </c>
      <c r="AJ17" s="53">
        <f t="shared" si="12"/>
        <v>24.257850050374635</v>
      </c>
      <c r="AK17" s="53">
        <f t="shared" si="12"/>
        <v>24.257850050374635</v>
      </c>
      <c r="AL17" s="53">
        <f t="shared" si="12"/>
        <v>24.257850050374635</v>
      </c>
      <c r="AM17" s="54">
        <f t="shared" si="12"/>
        <v>24.257850050374635</v>
      </c>
    </row>
    <row r="18" spans="1:62" hidden="1" outlineLevel="1" x14ac:dyDescent="0.35">
      <c r="A18" s="2" t="s">
        <v>195</v>
      </c>
      <c r="B18" s="2" t="s">
        <v>258</v>
      </c>
      <c r="C18" s="55">
        <f t="shared" ref="C18:AM18" si="13">C42+C66+C90</f>
        <v>139.96280750757811</v>
      </c>
      <c r="D18" s="56">
        <f t="shared" si="13"/>
        <v>136.04129211677255</v>
      </c>
      <c r="E18" s="56">
        <f t="shared" si="13"/>
        <v>132.52873966486757</v>
      </c>
      <c r="F18" s="56">
        <f t="shared" si="13"/>
        <v>123.97593463395131</v>
      </c>
      <c r="G18" s="56">
        <f t="shared" si="13"/>
        <v>119.03706200340034</v>
      </c>
      <c r="H18" s="56">
        <f t="shared" si="13"/>
        <v>114.05120874036211</v>
      </c>
      <c r="I18" s="56">
        <f t="shared" si="13"/>
        <v>110.12256869034429</v>
      </c>
      <c r="J18" s="56">
        <f t="shared" si="13"/>
        <v>106.8378257625871</v>
      </c>
      <c r="K18" s="56">
        <f t="shared" si="13"/>
        <v>104.32749678996203</v>
      </c>
      <c r="L18" s="56">
        <f t="shared" si="13"/>
        <v>101.73955415789672</v>
      </c>
      <c r="M18" s="56">
        <f t="shared" si="13"/>
        <v>99.364654221221485</v>
      </c>
      <c r="N18" s="56">
        <f t="shared" si="13"/>
        <v>97.24696610275366</v>
      </c>
      <c r="O18" s="57">
        <f t="shared" si="13"/>
        <v>48.200526710176078</v>
      </c>
      <c r="P18" s="56">
        <f t="shared" si="13"/>
        <v>45.898397940916468</v>
      </c>
      <c r="Q18" s="56">
        <f t="shared" si="13"/>
        <v>43.146591654983027</v>
      </c>
      <c r="R18" s="56">
        <f t="shared" si="13"/>
        <v>40.599946503184285</v>
      </c>
      <c r="S18" s="56">
        <f t="shared" si="13"/>
        <v>38.006849831098023</v>
      </c>
      <c r="T18" s="56">
        <f t="shared" si="13"/>
        <v>35.517769716573852</v>
      </c>
      <c r="U18" s="56">
        <f t="shared" si="13"/>
        <v>33.152138329441087</v>
      </c>
      <c r="V18" s="56">
        <f t="shared" si="13"/>
        <v>29.217192691279823</v>
      </c>
      <c r="W18" s="56">
        <f t="shared" si="13"/>
        <v>27.556563296699405</v>
      </c>
      <c r="X18" s="56">
        <f t="shared" si="13"/>
        <v>25.875705739715393</v>
      </c>
      <c r="Y18" s="56">
        <f t="shared" si="13"/>
        <v>24.258744056485558</v>
      </c>
      <c r="Z18" s="56">
        <f t="shared" si="13"/>
        <v>22.216852488343793</v>
      </c>
      <c r="AA18" s="57">
        <f t="shared" si="13"/>
        <v>20.83681748494822</v>
      </c>
      <c r="AB18" s="56">
        <f t="shared" si="13"/>
        <v>20.773423110075406</v>
      </c>
      <c r="AC18" s="56">
        <f t="shared" si="13"/>
        <v>20.704448165731787</v>
      </c>
      <c r="AD18" s="56">
        <f t="shared" si="13"/>
        <v>20.628602805066151</v>
      </c>
      <c r="AE18" s="56">
        <f t="shared" si="13"/>
        <v>20.546048903737542</v>
      </c>
      <c r="AF18" s="56">
        <f t="shared" si="13"/>
        <v>20.458040300462283</v>
      </c>
      <c r="AG18" s="56">
        <f t="shared" si="13"/>
        <v>20.365948508590268</v>
      </c>
      <c r="AH18" s="56">
        <f t="shared" si="13"/>
        <v>20.271007753466527</v>
      </c>
      <c r="AI18" s="56">
        <f t="shared" si="13"/>
        <v>20.174255507079355</v>
      </c>
      <c r="AJ18" s="56">
        <f t="shared" si="13"/>
        <v>20.076545253003999</v>
      </c>
      <c r="AK18" s="56">
        <f t="shared" si="13"/>
        <v>19.978552377484235</v>
      </c>
      <c r="AL18" s="56">
        <f t="shared" si="13"/>
        <v>19.880799635788353</v>
      </c>
      <c r="AM18" s="57">
        <f t="shared" si="13"/>
        <v>19.783620929769508</v>
      </c>
    </row>
    <row r="19" spans="1:62" hidden="1" outlineLevel="1" x14ac:dyDescent="0.35">
      <c r="A19" s="3" t="s">
        <v>195</v>
      </c>
      <c r="B19" s="3" t="s">
        <v>259</v>
      </c>
      <c r="C19" s="58">
        <f t="shared" ref="C19:AM19" si="14">C43+C67+C91</f>
        <v>186.18248874504633</v>
      </c>
      <c r="D19" s="59">
        <f t="shared" si="14"/>
        <v>183.18943577563732</v>
      </c>
      <c r="E19" s="59">
        <f t="shared" si="14"/>
        <v>180.91321366343988</v>
      </c>
      <c r="F19" s="59">
        <f t="shared" si="14"/>
        <v>176.60827924684725</v>
      </c>
      <c r="G19" s="59">
        <f t="shared" si="14"/>
        <v>172.22575149781164</v>
      </c>
      <c r="H19" s="59">
        <f t="shared" si="14"/>
        <v>171.08950085829909</v>
      </c>
      <c r="I19" s="59">
        <f t="shared" si="14"/>
        <v>163.2439199616031</v>
      </c>
      <c r="J19" s="59">
        <f t="shared" si="14"/>
        <v>145.78525241614912</v>
      </c>
      <c r="K19" s="59">
        <f t="shared" si="14"/>
        <v>139.31526691271958</v>
      </c>
      <c r="L19" s="59">
        <f t="shared" si="14"/>
        <v>138.89827254852815</v>
      </c>
      <c r="M19" s="59">
        <f t="shared" si="14"/>
        <v>138.06943725382735</v>
      </c>
      <c r="N19" s="59">
        <f t="shared" si="14"/>
        <v>137.64093267378945</v>
      </c>
      <c r="O19" s="60">
        <f t="shared" si="14"/>
        <v>129.4105052061488</v>
      </c>
      <c r="P19" s="59">
        <f t="shared" si="14"/>
        <v>86.432487832643645</v>
      </c>
      <c r="Q19" s="59">
        <f t="shared" si="14"/>
        <v>80.313068624709231</v>
      </c>
      <c r="R19" s="59">
        <f t="shared" si="14"/>
        <v>77.811917200713197</v>
      </c>
      <c r="S19" s="59">
        <f t="shared" si="14"/>
        <v>76.75883826971868</v>
      </c>
      <c r="T19" s="59">
        <f t="shared" si="14"/>
        <v>66.800900435772888</v>
      </c>
      <c r="U19" s="59">
        <f t="shared" si="14"/>
        <v>65.883366775177848</v>
      </c>
      <c r="V19" s="59">
        <f t="shared" si="14"/>
        <v>63.113597048526373</v>
      </c>
      <c r="W19" s="59">
        <f t="shared" si="14"/>
        <v>60.989704320139786</v>
      </c>
      <c r="X19" s="59">
        <f t="shared" si="14"/>
        <v>56.536700971773882</v>
      </c>
      <c r="Y19" s="59">
        <f t="shared" si="14"/>
        <v>55.262090318254096</v>
      </c>
      <c r="Z19" s="59">
        <f t="shared" si="14"/>
        <v>52.636039312133946</v>
      </c>
      <c r="AA19" s="60">
        <f t="shared" si="14"/>
        <v>50.05052532139328</v>
      </c>
      <c r="AB19" s="59">
        <f t="shared" si="14"/>
        <v>48.306581204673684</v>
      </c>
      <c r="AC19" s="59">
        <f t="shared" si="14"/>
        <v>46.709383207566617</v>
      </c>
      <c r="AD19" s="59">
        <f t="shared" si="14"/>
        <v>45.285382228436887</v>
      </c>
      <c r="AE19" s="59">
        <f t="shared" si="14"/>
        <v>44.021867845065103</v>
      </c>
      <c r="AF19" s="59">
        <f t="shared" si="14"/>
        <v>42.895325187310647</v>
      </c>
      <c r="AG19" s="59">
        <f t="shared" si="14"/>
        <v>41.882636001135239</v>
      </c>
      <c r="AH19" s="59">
        <f t="shared" si="14"/>
        <v>40.963701145107649</v>
      </c>
      <c r="AI19" s="59">
        <f t="shared" si="14"/>
        <v>40.121837264533696</v>
      </c>
      <c r="AJ19" s="59">
        <f t="shared" si="14"/>
        <v>39.343341258314965</v>
      </c>
      <c r="AK19" s="59">
        <f t="shared" si="14"/>
        <v>38.617219984075</v>
      </c>
      <c r="AL19" s="59">
        <f t="shared" si="14"/>
        <v>37.934723532434901</v>
      </c>
      <c r="AM19" s="60">
        <f t="shared" si="14"/>
        <v>37.289937125828303</v>
      </c>
    </row>
    <row r="20" spans="1:62" hidden="1" outlineLevel="1" x14ac:dyDescent="0.35"/>
    <row r="21" spans="1:62" hidden="1" outlineLevel="1" x14ac:dyDescent="0.35">
      <c r="A21" s="25" t="s">
        <v>264</v>
      </c>
      <c r="B21" s="4" t="s">
        <v>3</v>
      </c>
      <c r="C21" s="19">
        <f>$C$3</f>
        <v>45352</v>
      </c>
      <c r="D21" s="20">
        <f>EDATE(C21,1)</f>
        <v>45383</v>
      </c>
      <c r="E21" s="20">
        <f>EDATE(D21,1)</f>
        <v>45413</v>
      </c>
      <c r="F21" s="20">
        <f>EDATE(E21,1)</f>
        <v>45444</v>
      </c>
      <c r="G21" s="20">
        <f t="shared" ref="G21:AM21" si="15">EDATE(F21,1)</f>
        <v>45474</v>
      </c>
      <c r="H21" s="20">
        <f t="shared" si="15"/>
        <v>45505</v>
      </c>
      <c r="I21" s="20">
        <f t="shared" si="15"/>
        <v>45536</v>
      </c>
      <c r="J21" s="20">
        <f t="shared" si="15"/>
        <v>45566</v>
      </c>
      <c r="K21" s="20">
        <f t="shared" si="15"/>
        <v>45597</v>
      </c>
      <c r="L21" s="20">
        <f t="shared" si="15"/>
        <v>45627</v>
      </c>
      <c r="M21" s="20">
        <f t="shared" si="15"/>
        <v>45658</v>
      </c>
      <c r="N21" s="20">
        <f t="shared" si="15"/>
        <v>45689</v>
      </c>
      <c r="O21" s="21">
        <f t="shared" si="15"/>
        <v>45717</v>
      </c>
      <c r="P21" s="20">
        <f t="shared" si="15"/>
        <v>45748</v>
      </c>
      <c r="Q21" s="20">
        <f t="shared" si="15"/>
        <v>45778</v>
      </c>
      <c r="R21" s="20">
        <f t="shared" si="15"/>
        <v>45809</v>
      </c>
      <c r="S21" s="20">
        <f t="shared" si="15"/>
        <v>45839</v>
      </c>
      <c r="T21" s="20">
        <f t="shared" si="15"/>
        <v>45870</v>
      </c>
      <c r="U21" s="20">
        <f t="shared" si="15"/>
        <v>45901</v>
      </c>
      <c r="V21" s="20">
        <f t="shared" si="15"/>
        <v>45931</v>
      </c>
      <c r="W21" s="20">
        <f t="shared" si="15"/>
        <v>45962</v>
      </c>
      <c r="X21" s="20">
        <f t="shared" si="15"/>
        <v>45992</v>
      </c>
      <c r="Y21" s="20">
        <f t="shared" si="15"/>
        <v>46023</v>
      </c>
      <c r="Z21" s="20">
        <f t="shared" si="15"/>
        <v>46054</v>
      </c>
      <c r="AA21" s="21">
        <f t="shared" si="15"/>
        <v>46082</v>
      </c>
      <c r="AB21" s="20">
        <f t="shared" si="15"/>
        <v>46113</v>
      </c>
      <c r="AC21" s="20">
        <f t="shared" si="15"/>
        <v>46143</v>
      </c>
      <c r="AD21" s="20">
        <f t="shared" si="15"/>
        <v>46174</v>
      </c>
      <c r="AE21" s="20">
        <f t="shared" si="15"/>
        <v>46204</v>
      </c>
      <c r="AF21" s="20">
        <f t="shared" si="15"/>
        <v>46235</v>
      </c>
      <c r="AG21" s="20">
        <f t="shared" si="15"/>
        <v>46266</v>
      </c>
      <c r="AH21" s="20">
        <f t="shared" si="15"/>
        <v>46296</v>
      </c>
      <c r="AI21" s="20">
        <f t="shared" si="15"/>
        <v>46327</v>
      </c>
      <c r="AJ21" s="20">
        <f t="shared" si="15"/>
        <v>46357</v>
      </c>
      <c r="AK21" s="20">
        <f t="shared" si="15"/>
        <v>46388</v>
      </c>
      <c r="AL21" s="20">
        <f t="shared" si="15"/>
        <v>46419</v>
      </c>
      <c r="AM21" s="21">
        <f t="shared" si="15"/>
        <v>46447</v>
      </c>
    </row>
    <row r="22" spans="1:62" hidden="1" outlineLevel="1" x14ac:dyDescent="0.35">
      <c r="A22" s="15" t="s">
        <v>264</v>
      </c>
      <c r="B22" s="15" t="s">
        <v>188</v>
      </c>
      <c r="C22" s="16">
        <f>SUM(C23:C25)</f>
        <v>0</v>
      </c>
      <c r="D22" s="17">
        <f t="shared" ref="D22:AM22" si="16">SUM(D23:D25)</f>
        <v>0</v>
      </c>
      <c r="E22" s="17">
        <f t="shared" si="16"/>
        <v>0</v>
      </c>
      <c r="F22" s="17">
        <f t="shared" si="16"/>
        <v>0</v>
      </c>
      <c r="G22" s="17">
        <f t="shared" si="16"/>
        <v>0</v>
      </c>
      <c r="H22" s="17">
        <f t="shared" si="16"/>
        <v>0</v>
      </c>
      <c r="I22" s="17">
        <f t="shared" si="16"/>
        <v>0</v>
      </c>
      <c r="J22" s="17">
        <f t="shared" si="16"/>
        <v>123.85581460278414</v>
      </c>
      <c r="K22" s="17">
        <f t="shared" si="16"/>
        <v>131.34391435480194</v>
      </c>
      <c r="L22" s="17">
        <f t="shared" si="16"/>
        <v>132.0277755876582</v>
      </c>
      <c r="M22" s="17">
        <f t="shared" si="16"/>
        <v>140.35001352777579</v>
      </c>
      <c r="N22" s="17">
        <f t="shared" si="16"/>
        <v>140.46333785443244</v>
      </c>
      <c r="O22" s="18">
        <f t="shared" si="16"/>
        <v>169.22074332956691</v>
      </c>
      <c r="P22" s="17">
        <f t="shared" si="16"/>
        <v>153.08309410514329</v>
      </c>
      <c r="Q22" s="17">
        <f t="shared" si="16"/>
        <v>154.60836297545382</v>
      </c>
      <c r="R22" s="17">
        <f t="shared" si="16"/>
        <v>156.60948096889649</v>
      </c>
      <c r="S22" s="17">
        <f t="shared" si="16"/>
        <v>165.636375664339</v>
      </c>
      <c r="T22" s="17">
        <f t="shared" si="16"/>
        <v>171.45810272022703</v>
      </c>
      <c r="U22" s="17">
        <f t="shared" si="16"/>
        <v>178.44695488341108</v>
      </c>
      <c r="V22" s="17">
        <f t="shared" si="16"/>
        <v>180.60928500196684</v>
      </c>
      <c r="W22" s="17">
        <f t="shared" si="16"/>
        <v>182.39342843344483</v>
      </c>
      <c r="X22" s="17">
        <f t="shared" si="16"/>
        <v>176.87775804026955</v>
      </c>
      <c r="Y22" s="17">
        <f t="shared" si="16"/>
        <v>181.22094863006689</v>
      </c>
      <c r="Z22" s="17">
        <f t="shared" si="16"/>
        <v>176.54400511714047</v>
      </c>
      <c r="AA22" s="18">
        <f t="shared" si="16"/>
        <v>179.62216510695194</v>
      </c>
      <c r="AB22" s="17">
        <f t="shared" si="16"/>
        <v>182.51422768540479</v>
      </c>
      <c r="AC22" s="17">
        <f t="shared" si="16"/>
        <v>178.58386796308866</v>
      </c>
      <c r="AD22" s="17">
        <f t="shared" si="16"/>
        <v>174.32096949649335</v>
      </c>
      <c r="AE22" s="17">
        <f t="shared" si="16"/>
        <v>175.18899914946647</v>
      </c>
      <c r="AF22" s="17">
        <f t="shared" si="16"/>
        <v>175.76960792093658</v>
      </c>
      <c r="AG22" s="17">
        <f t="shared" si="16"/>
        <v>176.5072314125307</v>
      </c>
      <c r="AH22" s="17">
        <f t="shared" si="16"/>
        <v>182.38670359942637</v>
      </c>
      <c r="AI22" s="17">
        <f t="shared" si="16"/>
        <v>188.32217947134359</v>
      </c>
      <c r="AJ22" s="17">
        <f t="shared" si="16"/>
        <v>188.95224367066413</v>
      </c>
      <c r="AK22" s="17">
        <f t="shared" si="16"/>
        <v>196.15235477049313</v>
      </c>
      <c r="AL22" s="17">
        <f t="shared" si="16"/>
        <v>195.6978393132936</v>
      </c>
      <c r="AM22" s="18">
        <f t="shared" si="16"/>
        <v>199.26182251269978</v>
      </c>
    </row>
    <row r="23" spans="1:62" hidden="1" outlineLevel="1" x14ac:dyDescent="0.35">
      <c r="A23" s="1" t="s">
        <v>264</v>
      </c>
      <c r="B23" s="1" t="s">
        <v>257</v>
      </c>
      <c r="C23" s="52">
        <f>C47+C71+C95</f>
        <v>0</v>
      </c>
      <c r="D23" s="53">
        <f t="shared" ref="D23:AM23" si="17">D47+D71+D95</f>
        <v>0</v>
      </c>
      <c r="E23" s="53">
        <f t="shared" si="17"/>
        <v>0</v>
      </c>
      <c r="F23" s="53">
        <f t="shared" si="17"/>
        <v>0</v>
      </c>
      <c r="G23" s="53">
        <f t="shared" si="17"/>
        <v>0</v>
      </c>
      <c r="H23" s="53">
        <f t="shared" si="17"/>
        <v>0</v>
      </c>
      <c r="I23" s="53">
        <f t="shared" si="17"/>
        <v>0</v>
      </c>
      <c r="J23" s="53">
        <f t="shared" si="17"/>
        <v>0</v>
      </c>
      <c r="K23" s="53">
        <f t="shared" si="17"/>
        <v>0</v>
      </c>
      <c r="L23" s="53">
        <f t="shared" si="17"/>
        <v>0</v>
      </c>
      <c r="M23" s="53">
        <f t="shared" si="17"/>
        <v>0</v>
      </c>
      <c r="N23" s="53">
        <f t="shared" si="17"/>
        <v>0</v>
      </c>
      <c r="O23" s="54">
        <f t="shared" si="17"/>
        <v>0</v>
      </c>
      <c r="P23" s="53">
        <f t="shared" si="17"/>
        <v>0</v>
      </c>
      <c r="Q23" s="53">
        <f t="shared" si="17"/>
        <v>0</v>
      </c>
      <c r="R23" s="53">
        <f t="shared" si="17"/>
        <v>0</v>
      </c>
      <c r="S23" s="53">
        <f t="shared" si="17"/>
        <v>0</v>
      </c>
      <c r="T23" s="53">
        <f t="shared" si="17"/>
        <v>0</v>
      </c>
      <c r="U23" s="53">
        <f t="shared" si="17"/>
        <v>0</v>
      </c>
      <c r="V23" s="53">
        <f t="shared" si="17"/>
        <v>0</v>
      </c>
      <c r="W23" s="53">
        <f t="shared" si="17"/>
        <v>0</v>
      </c>
      <c r="X23" s="53">
        <f t="shared" si="17"/>
        <v>0</v>
      </c>
      <c r="Y23" s="53">
        <f t="shared" si="17"/>
        <v>0</v>
      </c>
      <c r="Z23" s="53">
        <f t="shared" si="17"/>
        <v>0</v>
      </c>
      <c r="AA23" s="54">
        <f t="shared" si="17"/>
        <v>0</v>
      </c>
      <c r="AB23" s="53">
        <f t="shared" si="17"/>
        <v>0</v>
      </c>
      <c r="AC23" s="53">
        <f t="shared" si="17"/>
        <v>0</v>
      </c>
      <c r="AD23" s="53">
        <f t="shared" si="17"/>
        <v>0</v>
      </c>
      <c r="AE23" s="53">
        <f t="shared" si="17"/>
        <v>0</v>
      </c>
      <c r="AF23" s="53">
        <f t="shared" si="17"/>
        <v>0</v>
      </c>
      <c r="AG23" s="53">
        <f t="shared" si="17"/>
        <v>0</v>
      </c>
      <c r="AH23" s="53">
        <f t="shared" si="17"/>
        <v>0</v>
      </c>
      <c r="AI23" s="53">
        <f t="shared" si="17"/>
        <v>0</v>
      </c>
      <c r="AJ23" s="53">
        <f t="shared" si="17"/>
        <v>0</v>
      </c>
      <c r="AK23" s="53">
        <f t="shared" si="17"/>
        <v>0</v>
      </c>
      <c r="AL23" s="53">
        <f t="shared" si="17"/>
        <v>0</v>
      </c>
      <c r="AM23" s="54">
        <f t="shared" si="17"/>
        <v>0</v>
      </c>
    </row>
    <row r="24" spans="1:62" hidden="1" outlineLevel="1" x14ac:dyDescent="0.35">
      <c r="A24" s="2" t="s">
        <v>264</v>
      </c>
      <c r="B24" s="2" t="s">
        <v>258</v>
      </c>
      <c r="C24" s="55">
        <f t="shared" ref="C24:AM24" si="18">C48+C72+C96</f>
        <v>0</v>
      </c>
      <c r="D24" s="56">
        <f t="shared" si="18"/>
        <v>0</v>
      </c>
      <c r="E24" s="56">
        <f t="shared" si="18"/>
        <v>0</v>
      </c>
      <c r="F24" s="56">
        <f t="shared" si="18"/>
        <v>0</v>
      </c>
      <c r="G24" s="56">
        <f t="shared" si="18"/>
        <v>0</v>
      </c>
      <c r="H24" s="56">
        <f t="shared" si="18"/>
        <v>0</v>
      </c>
      <c r="I24" s="56">
        <f t="shared" si="18"/>
        <v>0</v>
      </c>
      <c r="J24" s="56">
        <f t="shared" si="18"/>
        <v>123.85581460278414</v>
      </c>
      <c r="K24" s="56">
        <f t="shared" si="18"/>
        <v>131.34391435480194</v>
      </c>
      <c r="L24" s="56">
        <f t="shared" si="18"/>
        <v>132.0277755876582</v>
      </c>
      <c r="M24" s="56">
        <f t="shared" si="18"/>
        <v>140.35001352777579</v>
      </c>
      <c r="N24" s="56">
        <f t="shared" si="18"/>
        <v>140.46333785443244</v>
      </c>
      <c r="O24" s="57">
        <f t="shared" si="18"/>
        <v>169.22074332956691</v>
      </c>
      <c r="P24" s="56">
        <f t="shared" si="18"/>
        <v>153.08309410514329</v>
      </c>
      <c r="Q24" s="56">
        <f t="shared" si="18"/>
        <v>154.60836297545382</v>
      </c>
      <c r="R24" s="56">
        <f t="shared" si="18"/>
        <v>156.60948096889649</v>
      </c>
      <c r="S24" s="56">
        <f t="shared" si="18"/>
        <v>165.636375664339</v>
      </c>
      <c r="T24" s="56">
        <f t="shared" si="18"/>
        <v>171.45810272022703</v>
      </c>
      <c r="U24" s="56">
        <f t="shared" si="18"/>
        <v>178.44695488341108</v>
      </c>
      <c r="V24" s="56">
        <f t="shared" si="18"/>
        <v>180.60928500196684</v>
      </c>
      <c r="W24" s="56">
        <f t="shared" si="18"/>
        <v>182.39342843344483</v>
      </c>
      <c r="X24" s="56">
        <f t="shared" si="18"/>
        <v>176.87775804026955</v>
      </c>
      <c r="Y24" s="56">
        <f t="shared" si="18"/>
        <v>181.22094863006689</v>
      </c>
      <c r="Z24" s="56">
        <f t="shared" si="18"/>
        <v>176.54400511714047</v>
      </c>
      <c r="AA24" s="57">
        <f t="shared" si="18"/>
        <v>179.62216510695194</v>
      </c>
      <c r="AB24" s="56">
        <f t="shared" si="18"/>
        <v>182.51422768540479</v>
      </c>
      <c r="AC24" s="56">
        <f t="shared" si="18"/>
        <v>178.58386796308866</v>
      </c>
      <c r="AD24" s="56">
        <f t="shared" si="18"/>
        <v>174.32096949649335</v>
      </c>
      <c r="AE24" s="56">
        <f t="shared" si="18"/>
        <v>175.18899914946647</v>
      </c>
      <c r="AF24" s="56">
        <f t="shared" si="18"/>
        <v>175.76960792093658</v>
      </c>
      <c r="AG24" s="56">
        <f t="shared" si="18"/>
        <v>176.5072314125307</v>
      </c>
      <c r="AH24" s="56">
        <f t="shared" si="18"/>
        <v>182.38670359942637</v>
      </c>
      <c r="AI24" s="56">
        <f t="shared" si="18"/>
        <v>188.32217947134359</v>
      </c>
      <c r="AJ24" s="56">
        <f t="shared" si="18"/>
        <v>188.95224367066413</v>
      </c>
      <c r="AK24" s="56">
        <f t="shared" si="18"/>
        <v>196.15235477049313</v>
      </c>
      <c r="AL24" s="56">
        <f t="shared" si="18"/>
        <v>195.6978393132936</v>
      </c>
      <c r="AM24" s="57">
        <f t="shared" si="18"/>
        <v>199.26182251269978</v>
      </c>
    </row>
    <row r="25" spans="1:62" hidden="1" outlineLevel="1" x14ac:dyDescent="0.35">
      <c r="A25" s="3" t="s">
        <v>264</v>
      </c>
      <c r="B25" s="3" t="s">
        <v>259</v>
      </c>
      <c r="C25" s="58">
        <f t="shared" ref="C25:AM25" si="19">C49+C73+C97</f>
        <v>0</v>
      </c>
      <c r="D25" s="59">
        <f t="shared" si="19"/>
        <v>0</v>
      </c>
      <c r="E25" s="59">
        <f t="shared" si="19"/>
        <v>0</v>
      </c>
      <c r="F25" s="59">
        <f t="shared" si="19"/>
        <v>0</v>
      </c>
      <c r="G25" s="59">
        <f t="shared" si="19"/>
        <v>0</v>
      </c>
      <c r="H25" s="59">
        <f t="shared" si="19"/>
        <v>0</v>
      </c>
      <c r="I25" s="59">
        <f t="shared" si="19"/>
        <v>0</v>
      </c>
      <c r="J25" s="59">
        <f t="shared" si="19"/>
        <v>0</v>
      </c>
      <c r="K25" s="59">
        <f t="shared" si="19"/>
        <v>0</v>
      </c>
      <c r="L25" s="59">
        <f t="shared" si="19"/>
        <v>0</v>
      </c>
      <c r="M25" s="59">
        <f t="shared" si="19"/>
        <v>0</v>
      </c>
      <c r="N25" s="59">
        <f t="shared" si="19"/>
        <v>0</v>
      </c>
      <c r="O25" s="60">
        <f t="shared" si="19"/>
        <v>0</v>
      </c>
      <c r="P25" s="59">
        <f t="shared" si="19"/>
        <v>0</v>
      </c>
      <c r="Q25" s="59">
        <f t="shared" si="19"/>
        <v>0</v>
      </c>
      <c r="R25" s="59">
        <f t="shared" si="19"/>
        <v>0</v>
      </c>
      <c r="S25" s="59">
        <f t="shared" si="19"/>
        <v>0</v>
      </c>
      <c r="T25" s="59">
        <f t="shared" si="19"/>
        <v>0</v>
      </c>
      <c r="U25" s="59">
        <f t="shared" si="19"/>
        <v>0</v>
      </c>
      <c r="V25" s="59">
        <f t="shared" si="19"/>
        <v>0</v>
      </c>
      <c r="W25" s="59">
        <f t="shared" si="19"/>
        <v>0</v>
      </c>
      <c r="X25" s="59">
        <f t="shared" si="19"/>
        <v>0</v>
      </c>
      <c r="Y25" s="59">
        <f t="shared" si="19"/>
        <v>0</v>
      </c>
      <c r="Z25" s="59">
        <f t="shared" si="19"/>
        <v>0</v>
      </c>
      <c r="AA25" s="60">
        <f t="shared" si="19"/>
        <v>0</v>
      </c>
      <c r="AB25" s="59">
        <f t="shared" si="19"/>
        <v>0</v>
      </c>
      <c r="AC25" s="59">
        <f t="shared" si="19"/>
        <v>0</v>
      </c>
      <c r="AD25" s="59">
        <f t="shared" si="19"/>
        <v>0</v>
      </c>
      <c r="AE25" s="59">
        <f t="shared" si="19"/>
        <v>0</v>
      </c>
      <c r="AF25" s="59">
        <f t="shared" si="19"/>
        <v>0</v>
      </c>
      <c r="AG25" s="59">
        <f t="shared" si="19"/>
        <v>0</v>
      </c>
      <c r="AH25" s="59">
        <f t="shared" si="19"/>
        <v>0</v>
      </c>
      <c r="AI25" s="59">
        <f t="shared" si="19"/>
        <v>0</v>
      </c>
      <c r="AJ25" s="59">
        <f t="shared" si="19"/>
        <v>0</v>
      </c>
      <c r="AK25" s="59">
        <f t="shared" si="19"/>
        <v>0</v>
      </c>
      <c r="AL25" s="59">
        <f t="shared" si="19"/>
        <v>0</v>
      </c>
      <c r="AM25" s="60">
        <f t="shared" si="19"/>
        <v>0</v>
      </c>
    </row>
    <row r="26" spans="1:62" collapsed="1" x14ac:dyDescent="0.35">
      <c r="O26" s="231"/>
      <c r="AA26" s="231"/>
      <c r="AM26" s="231"/>
    </row>
    <row r="27" spans="1:62" x14ac:dyDescent="0.35">
      <c r="A27" s="25" t="s">
        <v>268</v>
      </c>
      <c r="B27" s="4" t="s">
        <v>3</v>
      </c>
      <c r="C27" s="19">
        <f>$C$3</f>
        <v>45352</v>
      </c>
      <c r="D27" s="20">
        <f>EDATE(C27,1)</f>
        <v>45383</v>
      </c>
      <c r="E27" s="20">
        <f>EDATE(D27,1)</f>
        <v>45413</v>
      </c>
      <c r="F27" s="20">
        <f>EDATE(E27,1)</f>
        <v>45444</v>
      </c>
      <c r="G27" s="20">
        <f t="shared" ref="G27" si="20">EDATE(F27,1)</f>
        <v>45474</v>
      </c>
      <c r="H27" s="20">
        <f t="shared" ref="H27" si="21">EDATE(G27,1)</f>
        <v>45505</v>
      </c>
      <c r="I27" s="20">
        <f t="shared" ref="I27" si="22">EDATE(H27,1)</f>
        <v>45536</v>
      </c>
      <c r="J27" s="20">
        <f t="shared" ref="J27" si="23">EDATE(I27,1)</f>
        <v>45566</v>
      </c>
      <c r="K27" s="20">
        <f t="shared" ref="K27" si="24">EDATE(J27,1)</f>
        <v>45597</v>
      </c>
      <c r="L27" s="20">
        <f t="shared" ref="L27" si="25">EDATE(K27,1)</f>
        <v>45627</v>
      </c>
      <c r="M27" s="20">
        <f t="shared" ref="M27" si="26">EDATE(L27,1)</f>
        <v>45658</v>
      </c>
      <c r="N27" s="20">
        <f t="shared" ref="N27" si="27">EDATE(M27,1)</f>
        <v>45689</v>
      </c>
      <c r="O27" s="21">
        <f t="shared" ref="O27" si="28">EDATE(N27,1)</f>
        <v>45717</v>
      </c>
      <c r="P27" s="20">
        <f t="shared" ref="P27" si="29">EDATE(O27,1)</f>
        <v>45748</v>
      </c>
      <c r="Q27" s="20">
        <f t="shared" ref="Q27" si="30">EDATE(P27,1)</f>
        <v>45778</v>
      </c>
      <c r="R27" s="20">
        <f t="shared" ref="R27" si="31">EDATE(Q27,1)</f>
        <v>45809</v>
      </c>
      <c r="S27" s="20">
        <f t="shared" ref="S27" si="32">EDATE(R27,1)</f>
        <v>45839</v>
      </c>
      <c r="T27" s="20">
        <f t="shared" ref="T27" si="33">EDATE(S27,1)</f>
        <v>45870</v>
      </c>
      <c r="U27" s="20">
        <f t="shared" ref="U27" si="34">EDATE(T27,1)</f>
        <v>45901</v>
      </c>
      <c r="V27" s="20">
        <f t="shared" ref="V27" si="35">EDATE(U27,1)</f>
        <v>45931</v>
      </c>
      <c r="W27" s="20">
        <f t="shared" ref="W27" si="36">EDATE(V27,1)</f>
        <v>45962</v>
      </c>
      <c r="X27" s="20">
        <f t="shared" ref="X27" si="37">EDATE(W27,1)</f>
        <v>45992</v>
      </c>
      <c r="Y27" s="20">
        <f t="shared" ref="Y27" si="38">EDATE(X27,1)</f>
        <v>46023</v>
      </c>
      <c r="Z27" s="20">
        <f t="shared" ref="Z27" si="39">EDATE(Y27,1)</f>
        <v>46054</v>
      </c>
      <c r="AA27" s="21">
        <f t="shared" ref="AA27" si="40">EDATE(Z27,1)</f>
        <v>46082</v>
      </c>
      <c r="AB27" s="20">
        <f t="shared" ref="AB27" si="41">EDATE(AA27,1)</f>
        <v>46113</v>
      </c>
      <c r="AC27" s="20">
        <f t="shared" ref="AC27" si="42">EDATE(AB27,1)</f>
        <v>46143</v>
      </c>
      <c r="AD27" s="20">
        <f t="shared" ref="AD27" si="43">EDATE(AC27,1)</f>
        <v>46174</v>
      </c>
      <c r="AE27" s="20">
        <f t="shared" ref="AE27" si="44">EDATE(AD27,1)</f>
        <v>46204</v>
      </c>
      <c r="AF27" s="20">
        <f t="shared" ref="AF27" si="45">EDATE(AE27,1)</f>
        <v>46235</v>
      </c>
      <c r="AG27" s="20">
        <f t="shared" ref="AG27" si="46">EDATE(AF27,1)</f>
        <v>46266</v>
      </c>
      <c r="AH27" s="20">
        <f t="shared" ref="AH27" si="47">EDATE(AG27,1)</f>
        <v>46296</v>
      </c>
      <c r="AI27" s="20">
        <f t="shared" ref="AI27" si="48">EDATE(AH27,1)</f>
        <v>46327</v>
      </c>
      <c r="AJ27" s="20">
        <f t="shared" ref="AJ27" si="49">EDATE(AI27,1)</f>
        <v>46357</v>
      </c>
      <c r="AK27" s="20">
        <f t="shared" ref="AK27" si="50">EDATE(AJ27,1)</f>
        <v>46388</v>
      </c>
      <c r="AL27" s="20">
        <f t="shared" ref="AL27" si="51">EDATE(AK27,1)</f>
        <v>46419</v>
      </c>
      <c r="AM27" s="21">
        <f t="shared" ref="AM27" si="52">EDATE(AL27,1)</f>
        <v>46447</v>
      </c>
      <c r="AN27" s="20">
        <f t="shared" ref="AN27" si="53">EDATE(AM27,1)</f>
        <v>46478</v>
      </c>
      <c r="AO27" s="20">
        <f t="shared" ref="AO27" si="54">EDATE(AN27,1)</f>
        <v>46508</v>
      </c>
      <c r="AP27" s="20">
        <f t="shared" ref="AP27" si="55">EDATE(AO27,1)</f>
        <v>46539</v>
      </c>
      <c r="AQ27" s="20">
        <f t="shared" ref="AQ27" si="56">EDATE(AP27,1)</f>
        <v>46569</v>
      </c>
      <c r="AR27" s="20">
        <f t="shared" ref="AR27" si="57">EDATE(AQ27,1)</f>
        <v>46600</v>
      </c>
      <c r="AS27" s="20">
        <f t="shared" ref="AS27" si="58">EDATE(AR27,1)</f>
        <v>46631</v>
      </c>
      <c r="AT27" s="20">
        <f t="shared" ref="AT27" si="59">EDATE(AS27,1)</f>
        <v>46661</v>
      </c>
      <c r="AU27" s="20">
        <f t="shared" ref="AU27" si="60">EDATE(AT27,1)</f>
        <v>46692</v>
      </c>
      <c r="AV27" s="20">
        <f t="shared" ref="AV27" si="61">EDATE(AU27,1)</f>
        <v>46722</v>
      </c>
      <c r="AW27" s="20">
        <f t="shared" ref="AW27" si="62">EDATE(AV27,1)</f>
        <v>46753</v>
      </c>
      <c r="AX27" s="21">
        <f t="shared" ref="AX27" si="63">EDATE(AW27,1)</f>
        <v>46784</v>
      </c>
      <c r="AY27" s="20">
        <f t="shared" ref="AY27" si="64">EDATE(AX27,1)</f>
        <v>46813</v>
      </c>
      <c r="AZ27" s="20">
        <f t="shared" ref="AZ27" si="65">EDATE(AY27,1)</f>
        <v>46844</v>
      </c>
      <c r="BA27" s="20">
        <f t="shared" ref="BA27" si="66">EDATE(AZ27,1)</f>
        <v>46874</v>
      </c>
      <c r="BB27" s="20">
        <f t="shared" ref="BB27" si="67">EDATE(BA27,1)</f>
        <v>46905</v>
      </c>
      <c r="BC27" s="20">
        <f t="shared" ref="BC27" si="68">EDATE(BB27,1)</f>
        <v>46935</v>
      </c>
      <c r="BD27" s="20">
        <f t="shared" ref="BD27" si="69">EDATE(BC27,1)</f>
        <v>46966</v>
      </c>
      <c r="BE27" s="20">
        <f t="shared" ref="BE27" si="70">EDATE(BD27,1)</f>
        <v>46997</v>
      </c>
      <c r="BF27" s="20">
        <f t="shared" ref="BF27" si="71">EDATE(BE27,1)</f>
        <v>47027</v>
      </c>
      <c r="BG27" s="20">
        <f t="shared" ref="BG27" si="72">EDATE(BF27,1)</f>
        <v>47058</v>
      </c>
      <c r="BH27" s="20">
        <f t="shared" ref="BH27" si="73">EDATE(BG27,1)</f>
        <v>47088</v>
      </c>
      <c r="BI27" s="20">
        <f t="shared" ref="BI27" si="74">EDATE(BH27,1)</f>
        <v>47119</v>
      </c>
      <c r="BJ27" s="21">
        <f t="shared" ref="BJ27" si="75">EDATE(BI27,1)</f>
        <v>47150</v>
      </c>
    </row>
    <row r="28" spans="1:62" x14ac:dyDescent="0.35">
      <c r="A28" s="15" t="s">
        <v>268</v>
      </c>
      <c r="B28" s="15" t="s">
        <v>157</v>
      </c>
      <c r="C28" s="16">
        <f>SUM(C29:C31)</f>
        <v>1130.8667246232005</v>
      </c>
      <c r="D28" s="17">
        <f t="shared" ref="D28:BJ28" si="76">SUM(D29:D31)</f>
        <v>1151.0304691584126</v>
      </c>
      <c r="E28" s="17">
        <f t="shared" si="76"/>
        <v>1176.9509973164509</v>
      </c>
      <c r="F28" s="17">
        <f t="shared" si="76"/>
        <v>1196.6210883144356</v>
      </c>
      <c r="G28" s="17">
        <f t="shared" si="76"/>
        <v>1221.3186971463851</v>
      </c>
      <c r="H28" s="17">
        <f t="shared" si="76"/>
        <v>1249.4378696796227</v>
      </c>
      <c r="I28" s="17">
        <f t="shared" si="76"/>
        <v>1274.6036559714289</v>
      </c>
      <c r="J28" s="17">
        <f t="shared" si="76"/>
        <v>1363.2435843166868</v>
      </c>
      <c r="K28" s="17">
        <f t="shared" si="76"/>
        <v>1403.0484405782197</v>
      </c>
      <c r="L28" s="17">
        <f t="shared" si="76"/>
        <v>1445.8299504200347</v>
      </c>
      <c r="M28" s="17">
        <f t="shared" si="76"/>
        <v>1487.7291908660943</v>
      </c>
      <c r="N28" s="17">
        <f t="shared" si="76"/>
        <v>1529.7959031504945</v>
      </c>
      <c r="O28" s="18">
        <f t="shared" si="76"/>
        <v>1509.7790838869464</v>
      </c>
      <c r="P28" s="17">
        <f t="shared" si="76"/>
        <v>1518.381425307788</v>
      </c>
      <c r="Q28" s="17">
        <f t="shared" si="76"/>
        <v>1553.3456917690739</v>
      </c>
      <c r="R28" s="17">
        <f t="shared" si="76"/>
        <v>1590.385341200621</v>
      </c>
      <c r="S28" s="17">
        <f t="shared" si="76"/>
        <v>1630.2481376256083</v>
      </c>
      <c r="T28" s="17">
        <f t="shared" si="76"/>
        <v>1662.0084998565158</v>
      </c>
      <c r="U28" s="17">
        <f t="shared" si="76"/>
        <v>1693.1852760372592</v>
      </c>
      <c r="V28" s="17">
        <f t="shared" si="76"/>
        <v>1666.6016751164434</v>
      </c>
      <c r="W28" s="17">
        <f t="shared" si="76"/>
        <v>1644.291823529968</v>
      </c>
      <c r="X28" s="17">
        <f t="shared" si="76"/>
        <v>1629.7443657206222</v>
      </c>
      <c r="Y28" s="17">
        <f t="shared" si="76"/>
        <v>1622.573124614044</v>
      </c>
      <c r="Z28" s="17">
        <f t="shared" si="76"/>
        <v>1617.3608869260302</v>
      </c>
      <c r="AA28" s="18">
        <f t="shared" si="76"/>
        <v>1607.62529018855</v>
      </c>
      <c r="AB28" s="17">
        <f t="shared" si="76"/>
        <v>1587.3395585001244</v>
      </c>
      <c r="AC28" s="17">
        <f t="shared" si="76"/>
        <v>1587.0879297705033</v>
      </c>
      <c r="AD28" s="17">
        <f t="shared" si="76"/>
        <v>1570.6876410579412</v>
      </c>
      <c r="AE28" s="17">
        <f t="shared" si="76"/>
        <v>1561.7482106371035</v>
      </c>
      <c r="AF28" s="17">
        <f t="shared" si="76"/>
        <v>1560.6479713425151</v>
      </c>
      <c r="AG28" s="17">
        <f t="shared" si="76"/>
        <v>1570.5111119545868</v>
      </c>
      <c r="AH28" s="17">
        <f t="shared" si="76"/>
        <v>1586.6079941041742</v>
      </c>
      <c r="AI28" s="17">
        <f t="shared" si="76"/>
        <v>1609.8630142546776</v>
      </c>
      <c r="AJ28" s="17">
        <f t="shared" si="76"/>
        <v>1637.1121810283096</v>
      </c>
      <c r="AK28" s="17">
        <f t="shared" si="76"/>
        <v>1662.5303628692118</v>
      </c>
      <c r="AL28" s="17">
        <f t="shared" si="76"/>
        <v>1681.6419225948264</v>
      </c>
      <c r="AM28" s="18">
        <f t="shared" si="76"/>
        <v>1700.2509588259672</v>
      </c>
      <c r="AN28" s="17" t="e">
        <f t="shared" si="76"/>
        <v>#DIV/0!</v>
      </c>
      <c r="AO28" s="17" t="e">
        <f t="shared" si="76"/>
        <v>#DIV/0!</v>
      </c>
      <c r="AP28" s="17" t="e">
        <f t="shared" si="76"/>
        <v>#DIV/0!</v>
      </c>
      <c r="AQ28" s="17" t="e">
        <f t="shared" si="76"/>
        <v>#DIV/0!</v>
      </c>
      <c r="AR28" s="17" t="e">
        <f t="shared" si="76"/>
        <v>#DIV/0!</v>
      </c>
      <c r="AS28" s="17" t="e">
        <f t="shared" si="76"/>
        <v>#DIV/0!</v>
      </c>
      <c r="AT28" s="17" t="e">
        <f t="shared" si="76"/>
        <v>#DIV/0!</v>
      </c>
      <c r="AU28" s="17" t="e">
        <f t="shared" si="76"/>
        <v>#DIV/0!</v>
      </c>
      <c r="AV28" s="17" t="e">
        <f t="shared" si="76"/>
        <v>#DIV/0!</v>
      </c>
      <c r="AW28" s="17" t="e">
        <f t="shared" si="76"/>
        <v>#DIV/0!</v>
      </c>
      <c r="AX28" s="18" t="e">
        <f t="shared" si="76"/>
        <v>#DIV/0!</v>
      </c>
      <c r="AY28" s="17" t="e">
        <f t="shared" si="76"/>
        <v>#DIV/0!</v>
      </c>
      <c r="AZ28" s="17" t="e">
        <f t="shared" si="76"/>
        <v>#DIV/0!</v>
      </c>
      <c r="BA28" s="17" t="e">
        <f t="shared" si="76"/>
        <v>#DIV/0!</v>
      </c>
      <c r="BB28" s="17" t="e">
        <f t="shared" si="76"/>
        <v>#DIV/0!</v>
      </c>
      <c r="BC28" s="17" t="e">
        <f t="shared" si="76"/>
        <v>#DIV/0!</v>
      </c>
      <c r="BD28" s="17" t="e">
        <f t="shared" si="76"/>
        <v>#DIV/0!</v>
      </c>
      <c r="BE28" s="17" t="e">
        <f t="shared" si="76"/>
        <v>#DIV/0!</v>
      </c>
      <c r="BF28" s="17" t="e">
        <f t="shared" si="76"/>
        <v>#DIV/0!</v>
      </c>
      <c r="BG28" s="17" t="e">
        <f t="shared" si="76"/>
        <v>#DIV/0!</v>
      </c>
      <c r="BH28" s="17" t="e">
        <f t="shared" si="76"/>
        <v>#DIV/0!</v>
      </c>
      <c r="BI28" s="17" t="e">
        <f t="shared" si="76"/>
        <v>#DIV/0!</v>
      </c>
      <c r="BJ28" s="18" t="e">
        <f t="shared" si="76"/>
        <v>#DIV/0!</v>
      </c>
    </row>
    <row r="29" spans="1:62" x14ac:dyDescent="0.35">
      <c r="A29" s="1" t="s">
        <v>268</v>
      </c>
      <c r="B29" s="1" t="s">
        <v>257</v>
      </c>
      <c r="C29" s="251">
        <f>C35+C41+C47</f>
        <v>330.03682092751848</v>
      </c>
      <c r="D29" s="44">
        <f t="shared" ref="D29:AM29" si="77">D35+D41+D47</f>
        <v>343.54630732102379</v>
      </c>
      <c r="E29" s="44">
        <f t="shared" si="77"/>
        <v>355.28433658990639</v>
      </c>
      <c r="F29" s="44">
        <f t="shared" si="77"/>
        <v>368.7864169936006</v>
      </c>
      <c r="G29" s="44">
        <f t="shared" si="77"/>
        <v>380.45963710239778</v>
      </c>
      <c r="H29" s="44">
        <f t="shared" si="77"/>
        <v>392.18702510821339</v>
      </c>
      <c r="I29" s="44">
        <f t="shared" si="77"/>
        <v>404.1644221468211</v>
      </c>
      <c r="J29" s="44">
        <f t="shared" si="77"/>
        <v>414.2976753655098</v>
      </c>
      <c r="K29" s="44">
        <f t="shared" si="77"/>
        <v>425.92096354417845</v>
      </c>
      <c r="L29" s="44">
        <f t="shared" si="77"/>
        <v>438.68704973262101</v>
      </c>
      <c r="M29" s="44">
        <f t="shared" si="77"/>
        <v>451.17804077098083</v>
      </c>
      <c r="N29" s="44">
        <f t="shared" si="77"/>
        <v>464.07796341226873</v>
      </c>
      <c r="O29" s="45">
        <f t="shared" si="77"/>
        <v>458.81872486708176</v>
      </c>
      <c r="P29" s="44">
        <f t="shared" si="77"/>
        <v>476.95757621408376</v>
      </c>
      <c r="Q29" s="44">
        <f t="shared" si="77"/>
        <v>494.02060777527259</v>
      </c>
      <c r="R29" s="44">
        <f t="shared" si="77"/>
        <v>510.29152489313594</v>
      </c>
      <c r="S29" s="44">
        <f t="shared" si="77"/>
        <v>524.05615105733523</v>
      </c>
      <c r="T29" s="44">
        <f t="shared" si="77"/>
        <v>538.64775391483454</v>
      </c>
      <c r="U29" s="44">
        <f t="shared" si="77"/>
        <v>546.50313514975971</v>
      </c>
      <c r="V29" s="44">
        <f t="shared" si="77"/>
        <v>541.44646542235989</v>
      </c>
      <c r="W29" s="44">
        <f t="shared" si="77"/>
        <v>532.9398656114555</v>
      </c>
      <c r="X29" s="44">
        <f t="shared" si="77"/>
        <v>527.79680249641319</v>
      </c>
      <c r="Y29" s="44">
        <f t="shared" si="77"/>
        <v>524.50159464353999</v>
      </c>
      <c r="Z29" s="44">
        <f t="shared" si="77"/>
        <v>522.86603754896953</v>
      </c>
      <c r="AA29" s="45">
        <f t="shared" si="77"/>
        <v>513.67683254208862</v>
      </c>
      <c r="AB29" s="44">
        <f t="shared" si="77"/>
        <v>509.3189159508733</v>
      </c>
      <c r="AC29" s="44">
        <f t="shared" si="77"/>
        <v>513.40147302779735</v>
      </c>
      <c r="AD29" s="44">
        <f t="shared" si="77"/>
        <v>512.04253298819049</v>
      </c>
      <c r="AE29" s="44">
        <f t="shared" si="77"/>
        <v>510.52148052665461</v>
      </c>
      <c r="AF29" s="44">
        <f t="shared" si="77"/>
        <v>511.83203523214394</v>
      </c>
      <c r="AG29" s="44">
        <f t="shared" si="77"/>
        <v>516.40983022300043</v>
      </c>
      <c r="AH29" s="44">
        <f t="shared" si="77"/>
        <v>523.2555199007146</v>
      </c>
      <c r="AI29" s="44">
        <f t="shared" si="77"/>
        <v>532.76056141550259</v>
      </c>
      <c r="AJ29" s="44">
        <f t="shared" si="77"/>
        <v>543.72072772263687</v>
      </c>
      <c r="AK29" s="44">
        <f t="shared" si="77"/>
        <v>553.92391256829683</v>
      </c>
      <c r="AL29" s="44">
        <f t="shared" si="77"/>
        <v>562.49319967928841</v>
      </c>
      <c r="AM29" s="45">
        <f t="shared" si="77"/>
        <v>571.5806583535483</v>
      </c>
      <c r="AN29" s="44" t="e">
        <f>'Input - ENR'!AN28*AN35/'Input - ENR'!AN34</f>
        <v>#DIV/0!</v>
      </c>
      <c r="AO29" s="44" t="e">
        <f>'Input - ENR'!AO28*AO35/'Input - ENR'!AO34</f>
        <v>#DIV/0!</v>
      </c>
      <c r="AP29" s="44" t="e">
        <f>'Input - ENR'!AP28*AP35/'Input - ENR'!AP34</f>
        <v>#DIV/0!</v>
      </c>
      <c r="AQ29" s="44" t="e">
        <f>'Input - ENR'!AQ28*AQ35/'Input - ENR'!AQ34</f>
        <v>#DIV/0!</v>
      </c>
      <c r="AR29" s="44" t="e">
        <f>'Input - ENR'!AR28*AR35/'Input - ENR'!AR34</f>
        <v>#DIV/0!</v>
      </c>
      <c r="AS29" s="44" t="e">
        <f>'Input - ENR'!AS28*AS35/'Input - ENR'!AS34</f>
        <v>#DIV/0!</v>
      </c>
      <c r="AT29" s="44" t="e">
        <f>'Input - ENR'!AT28*AT35/'Input - ENR'!AT34</f>
        <v>#DIV/0!</v>
      </c>
      <c r="AU29" s="44" t="e">
        <f>'Input - ENR'!AU28*AU35/'Input - ENR'!AU34</f>
        <v>#DIV/0!</v>
      </c>
      <c r="AV29" s="44" t="e">
        <f>'Input - ENR'!AV28*AV35/'Input - ENR'!AV34</f>
        <v>#DIV/0!</v>
      </c>
      <c r="AW29" s="44" t="e">
        <f>'Input - ENR'!AW28*AW35/'Input - ENR'!AW34</f>
        <v>#DIV/0!</v>
      </c>
      <c r="AX29" s="45" t="e">
        <f>'Input - ENR'!AX28*AX35/'Input - ENR'!AX34</f>
        <v>#DIV/0!</v>
      </c>
      <c r="AY29" s="44" t="e">
        <f>'Input - ENR'!AY28*AY35/'Input - ENR'!AY34</f>
        <v>#DIV/0!</v>
      </c>
      <c r="AZ29" s="44" t="e">
        <f>'Input - ENR'!AZ28*AZ35/'Input - ENR'!AZ34</f>
        <v>#DIV/0!</v>
      </c>
      <c r="BA29" s="44" t="e">
        <f>'Input - ENR'!BA28*BA35/'Input - ENR'!BA34</f>
        <v>#DIV/0!</v>
      </c>
      <c r="BB29" s="44" t="e">
        <f>'Input - ENR'!BB28*BB35/'Input - ENR'!BB34</f>
        <v>#DIV/0!</v>
      </c>
      <c r="BC29" s="44" t="e">
        <f>'Input - ENR'!BC28*BC35/'Input - ENR'!BC34</f>
        <v>#DIV/0!</v>
      </c>
      <c r="BD29" s="44" t="e">
        <f>'Input - ENR'!BD28*BD35/'Input - ENR'!BD34</f>
        <v>#DIV/0!</v>
      </c>
      <c r="BE29" s="44" t="e">
        <f>'Input - ENR'!BE28*BE35/'Input - ENR'!BE34</f>
        <v>#DIV/0!</v>
      </c>
      <c r="BF29" s="44" t="e">
        <f>'Input - ENR'!BF28*BF35/'Input - ENR'!BF34</f>
        <v>#DIV/0!</v>
      </c>
      <c r="BG29" s="44" t="e">
        <f>'Input - ENR'!BG28*BG35/'Input - ENR'!BG34</f>
        <v>#DIV/0!</v>
      </c>
      <c r="BH29" s="44" t="e">
        <f>'Input - ENR'!BH28*BH35/'Input - ENR'!BH34</f>
        <v>#DIV/0!</v>
      </c>
      <c r="BI29" s="44" t="e">
        <f>'Input - ENR'!BI28*BI35/'Input - ENR'!BI34</f>
        <v>#DIV/0!</v>
      </c>
      <c r="BJ29" s="45" t="e">
        <f>'Input - ENR'!BJ28*BJ35/'Input - ENR'!BJ34</f>
        <v>#DIV/0!</v>
      </c>
    </row>
    <row r="30" spans="1:62" x14ac:dyDescent="0.35">
      <c r="A30" s="2" t="s">
        <v>268</v>
      </c>
      <c r="B30" s="2" t="s">
        <v>258</v>
      </c>
      <c r="C30" s="249">
        <f t="shared" ref="C30:AM30" si="78">C36+C42+C48</f>
        <v>339.9971839058141</v>
      </c>
      <c r="D30" s="47">
        <f t="shared" si="78"/>
        <v>340.97117128144879</v>
      </c>
      <c r="E30" s="47">
        <f t="shared" si="78"/>
        <v>344.52644288316935</v>
      </c>
      <c r="F30" s="47">
        <f t="shared" si="78"/>
        <v>343.86231647860802</v>
      </c>
      <c r="G30" s="47">
        <f t="shared" si="78"/>
        <v>345.9635066951048</v>
      </c>
      <c r="H30" s="47">
        <f t="shared" si="78"/>
        <v>348.70276927820021</v>
      </c>
      <c r="I30" s="47">
        <f t="shared" si="78"/>
        <v>352.82065766349126</v>
      </c>
      <c r="J30" s="47">
        <f t="shared" si="78"/>
        <v>433.28496784798585</v>
      </c>
      <c r="K30" s="47">
        <f t="shared" si="78"/>
        <v>444.93658905546528</v>
      </c>
      <c r="L30" s="47">
        <f t="shared" si="78"/>
        <v>457.93098034323651</v>
      </c>
      <c r="M30" s="47">
        <f t="shared" si="78"/>
        <v>471.29291619576998</v>
      </c>
      <c r="N30" s="47">
        <f t="shared" si="78"/>
        <v>484.29088075660786</v>
      </c>
      <c r="O30" s="48">
        <f t="shared" si="78"/>
        <v>455.40049888142437</v>
      </c>
      <c r="P30" s="47">
        <f t="shared" si="78"/>
        <v>454.7347569763507</v>
      </c>
      <c r="Q30" s="47">
        <f t="shared" si="78"/>
        <v>461.57702759040507</v>
      </c>
      <c r="R30" s="47">
        <f t="shared" si="78"/>
        <v>469.41520467309761</v>
      </c>
      <c r="S30" s="47">
        <f t="shared" si="78"/>
        <v>482.85007134741818</v>
      </c>
      <c r="T30" s="47">
        <f t="shared" si="78"/>
        <v>494.20786703902417</v>
      </c>
      <c r="U30" s="47">
        <f t="shared" si="78"/>
        <v>506.84590491846745</v>
      </c>
      <c r="V30" s="47">
        <f t="shared" si="78"/>
        <v>499.88913148345773</v>
      </c>
      <c r="W30" s="47">
        <f t="shared" si="78"/>
        <v>494.7507500540778</v>
      </c>
      <c r="X30" s="47">
        <f t="shared" si="78"/>
        <v>491.99284880047242</v>
      </c>
      <c r="Y30" s="47">
        <f t="shared" si="78"/>
        <v>491.40637317474057</v>
      </c>
      <c r="Z30" s="47">
        <f t="shared" si="78"/>
        <v>490.36456881103578</v>
      </c>
      <c r="AA30" s="48">
        <f t="shared" si="78"/>
        <v>490.79519659954616</v>
      </c>
      <c r="AB30" s="47">
        <f t="shared" si="78"/>
        <v>488.9601262491322</v>
      </c>
      <c r="AC30" s="47">
        <f t="shared" si="78"/>
        <v>485.80366087817498</v>
      </c>
      <c r="AD30" s="47">
        <f t="shared" si="78"/>
        <v>478.30300982425848</v>
      </c>
      <c r="AE30" s="47">
        <f t="shared" si="78"/>
        <v>476.04808301122125</v>
      </c>
      <c r="AF30" s="47">
        <f t="shared" si="78"/>
        <v>475.30440527667679</v>
      </c>
      <c r="AG30" s="47">
        <f t="shared" si="78"/>
        <v>478.5439086890363</v>
      </c>
      <c r="AH30" s="47">
        <f t="shared" si="78"/>
        <v>485.12494574543439</v>
      </c>
      <c r="AI30" s="47">
        <f t="shared" si="78"/>
        <v>493.48017034168231</v>
      </c>
      <c r="AJ30" s="47">
        <f t="shared" si="78"/>
        <v>503.13692081693762</v>
      </c>
      <c r="AK30" s="47">
        <f t="shared" si="78"/>
        <v>512.90671481580921</v>
      </c>
      <c r="AL30" s="47">
        <f t="shared" si="78"/>
        <v>520.12416463285285</v>
      </c>
      <c r="AM30" s="48">
        <f t="shared" si="78"/>
        <v>526.15384379471277</v>
      </c>
      <c r="AN30" s="47" t="e">
        <f>'Input - ENR'!AN29*AN36/'Input - ENR'!AN35</f>
        <v>#DIV/0!</v>
      </c>
      <c r="AO30" s="47" t="e">
        <f>'Input - ENR'!AO29*AO36/'Input - ENR'!AO35</f>
        <v>#DIV/0!</v>
      </c>
      <c r="AP30" s="47" t="e">
        <f>'Input - ENR'!AP29*AP36/'Input - ENR'!AP35</f>
        <v>#DIV/0!</v>
      </c>
      <c r="AQ30" s="47" t="e">
        <f>'Input - ENR'!AQ29*AQ36/'Input - ENR'!AQ35</f>
        <v>#DIV/0!</v>
      </c>
      <c r="AR30" s="47" t="e">
        <f>'Input - ENR'!AR29*AR36/'Input - ENR'!AR35</f>
        <v>#DIV/0!</v>
      </c>
      <c r="AS30" s="47" t="e">
        <f>'Input - ENR'!AS29*AS36/'Input - ENR'!AS35</f>
        <v>#DIV/0!</v>
      </c>
      <c r="AT30" s="47" t="e">
        <f>'Input - ENR'!AT29*AT36/'Input - ENR'!AT35</f>
        <v>#DIV/0!</v>
      </c>
      <c r="AU30" s="47" t="e">
        <f>'Input - ENR'!AU29*AU36/'Input - ENR'!AU35</f>
        <v>#DIV/0!</v>
      </c>
      <c r="AV30" s="47" t="e">
        <f>'Input - ENR'!AV29*AV36/'Input - ENR'!AV35</f>
        <v>#DIV/0!</v>
      </c>
      <c r="AW30" s="47" t="e">
        <f>'Input - ENR'!AW29*AW36/'Input - ENR'!AW35</f>
        <v>#DIV/0!</v>
      </c>
      <c r="AX30" s="48" t="e">
        <f>'Input - ENR'!AX29*AX36/'Input - ENR'!AX35</f>
        <v>#DIV/0!</v>
      </c>
      <c r="AY30" s="47" t="e">
        <f>'Input - ENR'!AY29*AY36/'Input - ENR'!AY35</f>
        <v>#DIV/0!</v>
      </c>
      <c r="AZ30" s="47" t="e">
        <f>'Input - ENR'!AZ29*AZ36/'Input - ENR'!AZ35</f>
        <v>#DIV/0!</v>
      </c>
      <c r="BA30" s="47" t="e">
        <f>'Input - ENR'!BA29*BA36/'Input - ENR'!BA35</f>
        <v>#DIV/0!</v>
      </c>
      <c r="BB30" s="47" t="e">
        <f>'Input - ENR'!BB29*BB36/'Input - ENR'!BB35</f>
        <v>#DIV/0!</v>
      </c>
      <c r="BC30" s="47" t="e">
        <f>'Input - ENR'!BC29*BC36/'Input - ENR'!BC35</f>
        <v>#DIV/0!</v>
      </c>
      <c r="BD30" s="47" t="e">
        <f>'Input - ENR'!BD29*BD36/'Input - ENR'!BD35</f>
        <v>#DIV/0!</v>
      </c>
      <c r="BE30" s="47" t="e">
        <f>'Input - ENR'!BE29*BE36/'Input - ENR'!BE35</f>
        <v>#DIV/0!</v>
      </c>
      <c r="BF30" s="47" t="e">
        <f>'Input - ENR'!BF29*BF36/'Input - ENR'!BF35</f>
        <v>#DIV/0!</v>
      </c>
      <c r="BG30" s="47" t="e">
        <f>'Input - ENR'!BG29*BG36/'Input - ENR'!BG35</f>
        <v>#DIV/0!</v>
      </c>
      <c r="BH30" s="47" t="e">
        <f>'Input - ENR'!BH29*BH36/'Input - ENR'!BH35</f>
        <v>#DIV/0!</v>
      </c>
      <c r="BI30" s="47" t="e">
        <f>'Input - ENR'!BI29*BI36/'Input - ENR'!BI35</f>
        <v>#DIV/0!</v>
      </c>
      <c r="BJ30" s="48" t="e">
        <f>'Input - ENR'!BJ29*BJ36/'Input - ENR'!BJ35</f>
        <v>#DIV/0!</v>
      </c>
    </row>
    <row r="31" spans="1:62" x14ac:dyDescent="0.35">
      <c r="A31" s="3" t="s">
        <v>268</v>
      </c>
      <c r="B31" s="3" t="s">
        <v>259</v>
      </c>
      <c r="C31" s="250">
        <f t="shared" ref="C31:AM31" si="79">C37+C43+C49</f>
        <v>460.83271978986795</v>
      </c>
      <c r="D31" s="50">
        <f t="shared" si="79"/>
        <v>466.51299055594001</v>
      </c>
      <c r="E31" s="50">
        <f t="shared" si="79"/>
        <v>477.14021784337513</v>
      </c>
      <c r="F31" s="50">
        <f t="shared" si="79"/>
        <v>483.97235484222699</v>
      </c>
      <c r="G31" s="50">
        <f t="shared" si="79"/>
        <v>494.89555334888252</v>
      </c>
      <c r="H31" s="50">
        <f t="shared" si="79"/>
        <v>508.54807529320919</v>
      </c>
      <c r="I31" s="50">
        <f t="shared" si="79"/>
        <v>517.61857616111649</v>
      </c>
      <c r="J31" s="50">
        <f t="shared" si="79"/>
        <v>515.66094110319113</v>
      </c>
      <c r="K31" s="50">
        <f t="shared" si="79"/>
        <v>532.19088797857603</v>
      </c>
      <c r="L31" s="50">
        <f t="shared" si="79"/>
        <v>549.2119203441772</v>
      </c>
      <c r="M31" s="50">
        <f t="shared" si="79"/>
        <v>565.25823389934351</v>
      </c>
      <c r="N31" s="50">
        <f t="shared" si="79"/>
        <v>581.42705898161785</v>
      </c>
      <c r="O31" s="51">
        <f t="shared" si="79"/>
        <v>595.55986013844029</v>
      </c>
      <c r="P31" s="50">
        <f t="shared" si="79"/>
        <v>586.68909211735343</v>
      </c>
      <c r="Q31" s="50">
        <f t="shared" si="79"/>
        <v>597.74805640339628</v>
      </c>
      <c r="R31" s="50">
        <f t="shared" si="79"/>
        <v>610.67861163438749</v>
      </c>
      <c r="S31" s="50">
        <f t="shared" si="79"/>
        <v>623.34191522085473</v>
      </c>
      <c r="T31" s="50">
        <f t="shared" si="79"/>
        <v>629.15287890265711</v>
      </c>
      <c r="U31" s="50">
        <f t="shared" si="79"/>
        <v>639.83623596903203</v>
      </c>
      <c r="V31" s="50">
        <f t="shared" si="79"/>
        <v>625.26607821062578</v>
      </c>
      <c r="W31" s="50">
        <f t="shared" si="79"/>
        <v>616.60120786443474</v>
      </c>
      <c r="X31" s="50">
        <f t="shared" si="79"/>
        <v>609.9547144237365</v>
      </c>
      <c r="Y31" s="50">
        <f t="shared" si="79"/>
        <v>606.66515679576355</v>
      </c>
      <c r="Z31" s="50">
        <f t="shared" si="79"/>
        <v>604.13028056602479</v>
      </c>
      <c r="AA31" s="51">
        <f t="shared" si="79"/>
        <v>603.15326104691519</v>
      </c>
      <c r="AB31" s="50">
        <f t="shared" si="79"/>
        <v>589.06051630011882</v>
      </c>
      <c r="AC31" s="50">
        <f t="shared" si="79"/>
        <v>587.88279586453075</v>
      </c>
      <c r="AD31" s="50">
        <f t="shared" si="79"/>
        <v>580.34209824549237</v>
      </c>
      <c r="AE31" s="50">
        <f t="shared" si="79"/>
        <v>575.17864709922753</v>
      </c>
      <c r="AF31" s="50">
        <f t="shared" si="79"/>
        <v>573.51153083369434</v>
      </c>
      <c r="AG31" s="50">
        <f t="shared" si="79"/>
        <v>575.55737304255013</v>
      </c>
      <c r="AH31" s="50">
        <f t="shared" si="79"/>
        <v>578.22752845802518</v>
      </c>
      <c r="AI31" s="50">
        <f t="shared" si="79"/>
        <v>583.62228249749273</v>
      </c>
      <c r="AJ31" s="50">
        <f t="shared" si="79"/>
        <v>590.25453248873509</v>
      </c>
      <c r="AK31" s="50">
        <f t="shared" si="79"/>
        <v>595.69973548510586</v>
      </c>
      <c r="AL31" s="50">
        <f t="shared" si="79"/>
        <v>599.02455828268512</v>
      </c>
      <c r="AM31" s="51">
        <f t="shared" si="79"/>
        <v>602.51645667770617</v>
      </c>
      <c r="AN31" s="50">
        <f>IFERROR('Input - ENR'!AN42*AN37/'Input - ENR'!AN36,0)</f>
        <v>0</v>
      </c>
      <c r="AO31" s="50">
        <f>IFERROR('Input - ENR'!AO42*AO37/'Input - ENR'!AO36,0)</f>
        <v>0</v>
      </c>
      <c r="AP31" s="50">
        <f>IFERROR('Input - ENR'!AP42*AP37/'Input - ENR'!AP36,0)</f>
        <v>0</v>
      </c>
      <c r="AQ31" s="50">
        <f>IFERROR('Input - ENR'!AQ42*AQ37/'Input - ENR'!AQ36,0)</f>
        <v>0</v>
      </c>
      <c r="AR31" s="50">
        <f>IFERROR('Input - ENR'!AR42*AR37/'Input - ENR'!AR36,0)</f>
        <v>0</v>
      </c>
      <c r="AS31" s="50">
        <f>IFERROR('Input - ENR'!AS42*AS37/'Input - ENR'!AS36,0)</f>
        <v>0</v>
      </c>
      <c r="AT31" s="50">
        <f>IFERROR('Input - ENR'!AT42*AT37/'Input - ENR'!AT36,0)</f>
        <v>0</v>
      </c>
      <c r="AU31" s="50">
        <f>IFERROR('Input - ENR'!AU42*AU37/'Input - ENR'!AU36,0)</f>
        <v>0</v>
      </c>
      <c r="AV31" s="50">
        <f>IFERROR('Input - ENR'!AV42*AV37/'Input - ENR'!AV36,0)</f>
        <v>0</v>
      </c>
      <c r="AW31" s="50">
        <f>IFERROR('Input - ENR'!AW42*AW37/'Input - ENR'!AW36,0)</f>
        <v>0</v>
      </c>
      <c r="AX31" s="51">
        <f>IFERROR('Input - ENR'!AX42*AX37/'Input - ENR'!AX36,0)</f>
        <v>0</v>
      </c>
      <c r="AY31" s="50">
        <f>IFERROR('Input - ENR'!AY42*AY37/'Input - ENR'!AY36,0)</f>
        <v>0</v>
      </c>
      <c r="AZ31" s="50">
        <f>IFERROR('Input - ENR'!AZ42*AZ37/'Input - ENR'!AZ36,0)</f>
        <v>0</v>
      </c>
      <c r="BA31" s="50">
        <f>IFERROR('Input - ENR'!BA42*BA37/'Input - ENR'!BA36,0)</f>
        <v>0</v>
      </c>
      <c r="BB31" s="50">
        <f>IFERROR('Input - ENR'!BB42*BB37/'Input - ENR'!BB36,0)</f>
        <v>0</v>
      </c>
      <c r="BC31" s="50">
        <f>IFERROR('Input - ENR'!BC42*BC37/'Input - ENR'!BC36,0)</f>
        <v>0</v>
      </c>
      <c r="BD31" s="50">
        <f>IFERROR('Input - ENR'!BD42*BD37/'Input - ENR'!BD36,0)</f>
        <v>0</v>
      </c>
      <c r="BE31" s="50">
        <f>IFERROR('Input - ENR'!BE42*BE37/'Input - ENR'!BE36,0)</f>
        <v>0</v>
      </c>
      <c r="BF31" s="50">
        <f>IFERROR('Input - ENR'!BF42*BF37/'Input - ENR'!BF36,0)</f>
        <v>0</v>
      </c>
      <c r="BG31" s="50">
        <f>IFERROR('Input - ENR'!BG42*BG37/'Input - ENR'!BG36,0)</f>
        <v>0</v>
      </c>
      <c r="BH31" s="50">
        <f>IFERROR('Input - ENR'!BH42*BH37/'Input - ENR'!BH36,0)</f>
        <v>0</v>
      </c>
      <c r="BI31" s="50">
        <f>IFERROR('Input - ENR'!BI42*BI37/'Input - ENR'!BI36,0)</f>
        <v>0</v>
      </c>
      <c r="BJ31" s="51">
        <f>IFERROR('Input - ENR'!BJ42*BJ37/'Input - ENR'!BJ36,0)</f>
        <v>0</v>
      </c>
    </row>
    <row r="33" spans="1:62" hidden="1" outlineLevel="1" x14ac:dyDescent="0.35">
      <c r="A33" s="25" t="s">
        <v>196</v>
      </c>
      <c r="B33" s="4" t="s">
        <v>3</v>
      </c>
      <c r="C33" s="19">
        <f>$C$3</f>
        <v>45352</v>
      </c>
      <c r="D33" s="20">
        <f>EDATE(C33,1)</f>
        <v>45383</v>
      </c>
      <c r="E33" s="20">
        <f>EDATE(D33,1)</f>
        <v>45413</v>
      </c>
      <c r="F33" s="20">
        <f>EDATE(E33,1)</f>
        <v>45444</v>
      </c>
      <c r="G33" s="20">
        <f t="shared" ref="G33" si="80">EDATE(F33,1)</f>
        <v>45474</v>
      </c>
      <c r="H33" s="20">
        <f t="shared" ref="H33" si="81">EDATE(G33,1)</f>
        <v>45505</v>
      </c>
      <c r="I33" s="20">
        <f t="shared" ref="I33" si="82">EDATE(H33,1)</f>
        <v>45536</v>
      </c>
      <c r="J33" s="20">
        <f t="shared" ref="J33" si="83">EDATE(I33,1)</f>
        <v>45566</v>
      </c>
      <c r="K33" s="20">
        <f t="shared" ref="K33" si="84">EDATE(J33,1)</f>
        <v>45597</v>
      </c>
      <c r="L33" s="20">
        <f t="shared" ref="L33" si="85">EDATE(K33,1)</f>
        <v>45627</v>
      </c>
      <c r="M33" s="20">
        <f t="shared" ref="M33" si="86">EDATE(L33,1)</f>
        <v>45658</v>
      </c>
      <c r="N33" s="20">
        <f t="shared" ref="N33" si="87">EDATE(M33,1)</f>
        <v>45689</v>
      </c>
      <c r="O33" s="21">
        <f t="shared" ref="O33" si="88">EDATE(N33,1)</f>
        <v>45717</v>
      </c>
      <c r="P33" s="20">
        <f t="shared" ref="P33" si="89">EDATE(O33,1)</f>
        <v>45748</v>
      </c>
      <c r="Q33" s="20">
        <f t="shared" ref="Q33" si="90">EDATE(P33,1)</f>
        <v>45778</v>
      </c>
      <c r="R33" s="20">
        <f t="shared" ref="R33" si="91">EDATE(Q33,1)</f>
        <v>45809</v>
      </c>
      <c r="S33" s="20">
        <f t="shared" ref="S33" si="92">EDATE(R33,1)</f>
        <v>45839</v>
      </c>
      <c r="T33" s="20">
        <f t="shared" ref="T33" si="93">EDATE(S33,1)</f>
        <v>45870</v>
      </c>
      <c r="U33" s="20">
        <f t="shared" ref="U33" si="94">EDATE(T33,1)</f>
        <v>45901</v>
      </c>
      <c r="V33" s="20">
        <f t="shared" ref="V33" si="95">EDATE(U33,1)</f>
        <v>45931</v>
      </c>
      <c r="W33" s="20">
        <f t="shared" ref="W33" si="96">EDATE(V33,1)</f>
        <v>45962</v>
      </c>
      <c r="X33" s="20">
        <f t="shared" ref="X33" si="97">EDATE(W33,1)</f>
        <v>45992</v>
      </c>
      <c r="Y33" s="20">
        <f t="shared" ref="Y33" si="98">EDATE(X33,1)</f>
        <v>46023</v>
      </c>
      <c r="Z33" s="20">
        <f t="shared" ref="Z33" si="99">EDATE(Y33,1)</f>
        <v>46054</v>
      </c>
      <c r="AA33" s="21">
        <f t="shared" ref="AA33" si="100">EDATE(Z33,1)</f>
        <v>46082</v>
      </c>
      <c r="AB33" s="20">
        <f t="shared" ref="AB33" si="101">EDATE(AA33,1)</f>
        <v>46113</v>
      </c>
      <c r="AC33" s="20">
        <f t="shared" ref="AC33" si="102">EDATE(AB33,1)</f>
        <v>46143</v>
      </c>
      <c r="AD33" s="20">
        <f t="shared" ref="AD33" si="103">EDATE(AC33,1)</f>
        <v>46174</v>
      </c>
      <c r="AE33" s="20">
        <f t="shared" ref="AE33" si="104">EDATE(AD33,1)</f>
        <v>46204</v>
      </c>
      <c r="AF33" s="20">
        <f t="shared" ref="AF33" si="105">EDATE(AE33,1)</f>
        <v>46235</v>
      </c>
      <c r="AG33" s="20">
        <f t="shared" ref="AG33" si="106">EDATE(AF33,1)</f>
        <v>46266</v>
      </c>
      <c r="AH33" s="20">
        <f t="shared" ref="AH33" si="107">EDATE(AG33,1)</f>
        <v>46296</v>
      </c>
      <c r="AI33" s="20">
        <f t="shared" ref="AI33" si="108">EDATE(AH33,1)</f>
        <v>46327</v>
      </c>
      <c r="AJ33" s="20">
        <f t="shared" ref="AJ33" si="109">EDATE(AI33,1)</f>
        <v>46357</v>
      </c>
      <c r="AK33" s="20">
        <f t="shared" ref="AK33" si="110">EDATE(AJ33,1)</f>
        <v>46388</v>
      </c>
      <c r="AL33" s="20">
        <f t="shared" ref="AL33" si="111">EDATE(AK33,1)</f>
        <v>46419</v>
      </c>
      <c r="AM33" s="21">
        <f t="shared" ref="AM33" si="112">EDATE(AL33,1)</f>
        <v>46447</v>
      </c>
      <c r="AN33" s="20">
        <f t="shared" ref="AN33" si="113">EDATE(AM33,1)</f>
        <v>46478</v>
      </c>
      <c r="AO33" s="20">
        <f t="shared" ref="AO33" si="114">EDATE(AN33,1)</f>
        <v>46508</v>
      </c>
      <c r="AP33" s="20">
        <f t="shared" ref="AP33" si="115">EDATE(AO33,1)</f>
        <v>46539</v>
      </c>
      <c r="AQ33" s="20">
        <f t="shared" ref="AQ33" si="116">EDATE(AP33,1)</f>
        <v>46569</v>
      </c>
      <c r="AR33" s="20">
        <f t="shared" ref="AR33" si="117">EDATE(AQ33,1)</f>
        <v>46600</v>
      </c>
      <c r="AS33" s="20">
        <f t="shared" ref="AS33" si="118">EDATE(AR33,1)</f>
        <v>46631</v>
      </c>
      <c r="AT33" s="20">
        <f t="shared" ref="AT33" si="119">EDATE(AS33,1)</f>
        <v>46661</v>
      </c>
      <c r="AU33" s="20">
        <f t="shared" ref="AU33" si="120">EDATE(AT33,1)</f>
        <v>46692</v>
      </c>
      <c r="AV33" s="20">
        <f t="shared" ref="AV33" si="121">EDATE(AU33,1)</f>
        <v>46722</v>
      </c>
      <c r="AW33" s="20">
        <f t="shared" ref="AW33" si="122">EDATE(AV33,1)</f>
        <v>46753</v>
      </c>
      <c r="AX33" s="21">
        <f t="shared" ref="AX33" si="123">EDATE(AW33,1)</f>
        <v>46784</v>
      </c>
      <c r="AY33" s="20">
        <f t="shared" ref="AY33" si="124">EDATE(AX33,1)</f>
        <v>46813</v>
      </c>
      <c r="AZ33" s="20">
        <f t="shared" ref="AZ33" si="125">EDATE(AY33,1)</f>
        <v>46844</v>
      </c>
      <c r="BA33" s="20">
        <f t="shared" ref="BA33" si="126">EDATE(AZ33,1)</f>
        <v>46874</v>
      </c>
      <c r="BB33" s="20">
        <f t="shared" ref="BB33" si="127">EDATE(BA33,1)</f>
        <v>46905</v>
      </c>
      <c r="BC33" s="20">
        <f t="shared" ref="BC33" si="128">EDATE(BB33,1)</f>
        <v>46935</v>
      </c>
      <c r="BD33" s="20">
        <f t="shared" ref="BD33" si="129">EDATE(BC33,1)</f>
        <v>46966</v>
      </c>
      <c r="BE33" s="20">
        <f t="shared" ref="BE33" si="130">EDATE(BD33,1)</f>
        <v>46997</v>
      </c>
      <c r="BF33" s="20">
        <f t="shared" ref="BF33" si="131">EDATE(BE33,1)</f>
        <v>47027</v>
      </c>
      <c r="BG33" s="20">
        <f t="shared" ref="BG33" si="132">EDATE(BF33,1)</f>
        <v>47058</v>
      </c>
      <c r="BH33" s="20">
        <f t="shared" ref="BH33" si="133">EDATE(BG33,1)</f>
        <v>47088</v>
      </c>
      <c r="BI33" s="20">
        <f t="shared" ref="BI33" si="134">EDATE(BH33,1)</f>
        <v>47119</v>
      </c>
      <c r="BJ33" s="21">
        <f t="shared" ref="BJ33" si="135">EDATE(BI33,1)</f>
        <v>47150</v>
      </c>
    </row>
    <row r="34" spans="1:62" hidden="1" outlineLevel="1" x14ac:dyDescent="0.35">
      <c r="A34" s="15" t="s">
        <v>196</v>
      </c>
      <c r="B34" s="15" t="s">
        <v>157</v>
      </c>
      <c r="C34" s="16">
        <f>SUM(C35:C37)</f>
        <v>907.44038769530005</v>
      </c>
      <c r="D34" s="17">
        <f t="shared" ref="D34:BJ34" si="136">SUM(D35:D37)</f>
        <v>933.63155106720455</v>
      </c>
      <c r="E34" s="17">
        <f t="shared" si="136"/>
        <v>965.80873382971072</v>
      </c>
      <c r="F34" s="17">
        <f t="shared" si="136"/>
        <v>997.14321301343671</v>
      </c>
      <c r="G34" s="17">
        <f t="shared" si="136"/>
        <v>1026.9540485648761</v>
      </c>
      <c r="H34" s="17">
        <f t="shared" si="136"/>
        <v>1057.985115174444</v>
      </c>
      <c r="I34" s="17">
        <f t="shared" si="136"/>
        <v>1090.3136759436334</v>
      </c>
      <c r="J34" s="17">
        <f t="shared" si="136"/>
        <v>1123.4997095532353</v>
      </c>
      <c r="K34" s="17">
        <f t="shared" si="136"/>
        <v>1160.7250238736065</v>
      </c>
      <c r="L34" s="17">
        <f t="shared" si="136"/>
        <v>1200.392660033179</v>
      </c>
      <c r="M34" s="17">
        <f t="shared" si="136"/>
        <v>1239.2438401084751</v>
      </c>
      <c r="N34" s="17">
        <f t="shared" si="136"/>
        <v>1277.7996045743344</v>
      </c>
      <c r="O34" s="18">
        <f t="shared" si="136"/>
        <v>1287.8644686607536</v>
      </c>
      <c r="P34" s="17">
        <f t="shared" si="136"/>
        <v>1326.8656903577644</v>
      </c>
      <c r="Q34" s="17">
        <f t="shared" si="136"/>
        <v>1366.1050697989635</v>
      </c>
      <c r="R34" s="17">
        <f t="shared" si="136"/>
        <v>1405.219243337187</v>
      </c>
      <c r="S34" s="17">
        <f t="shared" si="136"/>
        <v>1440.7472789704739</v>
      </c>
      <c r="T34" s="17">
        <f t="shared" si="136"/>
        <v>1480.2561770567277</v>
      </c>
      <c r="U34" s="17">
        <f t="shared" si="136"/>
        <v>1509.4535489803386</v>
      </c>
      <c r="V34" s="17">
        <f t="shared" si="136"/>
        <v>1486.9802535393133</v>
      </c>
      <c r="W34" s="17">
        <f t="shared" si="136"/>
        <v>1466.2653359884985</v>
      </c>
      <c r="X34" s="17">
        <f t="shared" si="136"/>
        <v>1453.6448527719645</v>
      </c>
      <c r="Y34" s="17">
        <f t="shared" si="136"/>
        <v>1445.7314516286103</v>
      </c>
      <c r="Z34" s="17">
        <f t="shared" si="136"/>
        <v>1440.9828604288546</v>
      </c>
      <c r="AA34" s="18">
        <f t="shared" si="136"/>
        <v>1432.6467104205467</v>
      </c>
      <c r="AB34" s="17">
        <f t="shared" si="136"/>
        <v>1408.4343245196869</v>
      </c>
      <c r="AC34" s="17">
        <f t="shared" si="136"/>
        <v>1412.5510630436731</v>
      </c>
      <c r="AD34" s="17">
        <f t="shared" si="136"/>
        <v>1401.0841248862321</v>
      </c>
      <c r="AE34" s="17">
        <f t="shared" si="136"/>
        <v>1393.4545755450295</v>
      </c>
      <c r="AF34" s="17">
        <f t="shared" si="136"/>
        <v>1394.1153612791622</v>
      </c>
      <c r="AG34" s="17">
        <f t="shared" si="136"/>
        <v>1403.8766199961406</v>
      </c>
      <c r="AH34" s="17">
        <f t="shared" si="136"/>
        <v>1417.119900337274</v>
      </c>
      <c r="AI34" s="17">
        <f t="shared" si="136"/>
        <v>1437.3254977409165</v>
      </c>
      <c r="AJ34" s="17">
        <f t="shared" si="136"/>
        <v>1461.0840592105692</v>
      </c>
      <c r="AK34" s="17">
        <f t="shared" si="136"/>
        <v>1482.4229520370593</v>
      </c>
      <c r="AL34" s="17">
        <f t="shared" si="136"/>
        <v>1498.6369876960348</v>
      </c>
      <c r="AM34" s="18">
        <f t="shared" si="136"/>
        <v>1515.5746186715978</v>
      </c>
      <c r="AN34" s="17">
        <f t="shared" si="136"/>
        <v>0</v>
      </c>
      <c r="AO34" s="17">
        <f t="shared" si="136"/>
        <v>0</v>
      </c>
      <c r="AP34" s="17">
        <f t="shared" si="136"/>
        <v>0</v>
      </c>
      <c r="AQ34" s="17">
        <f t="shared" si="136"/>
        <v>0</v>
      </c>
      <c r="AR34" s="17">
        <f t="shared" si="136"/>
        <v>0</v>
      </c>
      <c r="AS34" s="17">
        <f t="shared" si="136"/>
        <v>0</v>
      </c>
      <c r="AT34" s="17">
        <f t="shared" si="136"/>
        <v>0</v>
      </c>
      <c r="AU34" s="17">
        <f t="shared" si="136"/>
        <v>0</v>
      </c>
      <c r="AV34" s="17">
        <f t="shared" si="136"/>
        <v>0</v>
      </c>
      <c r="AW34" s="17">
        <f t="shared" si="136"/>
        <v>0</v>
      </c>
      <c r="AX34" s="18">
        <f t="shared" si="136"/>
        <v>0</v>
      </c>
      <c r="AY34" s="17">
        <f t="shared" si="136"/>
        <v>0</v>
      </c>
      <c r="AZ34" s="17">
        <f t="shared" si="136"/>
        <v>0</v>
      </c>
      <c r="BA34" s="17">
        <f t="shared" si="136"/>
        <v>0</v>
      </c>
      <c r="BB34" s="17">
        <f t="shared" si="136"/>
        <v>0</v>
      </c>
      <c r="BC34" s="17">
        <f t="shared" si="136"/>
        <v>0</v>
      </c>
      <c r="BD34" s="17">
        <f t="shared" si="136"/>
        <v>0</v>
      </c>
      <c r="BE34" s="17">
        <f t="shared" si="136"/>
        <v>0</v>
      </c>
      <c r="BF34" s="17">
        <f t="shared" si="136"/>
        <v>0</v>
      </c>
      <c r="BG34" s="17">
        <f t="shared" si="136"/>
        <v>0</v>
      </c>
      <c r="BH34" s="17">
        <f t="shared" si="136"/>
        <v>0</v>
      </c>
      <c r="BI34" s="17">
        <f t="shared" si="136"/>
        <v>0</v>
      </c>
      <c r="BJ34" s="18">
        <f t="shared" si="136"/>
        <v>0</v>
      </c>
    </row>
    <row r="35" spans="1:62" hidden="1" outlineLevel="1" x14ac:dyDescent="0.35">
      <c r="A35" s="1" t="s">
        <v>196</v>
      </c>
      <c r="B35" s="1" t="s">
        <v>257</v>
      </c>
      <c r="C35" s="52">
        <f>'Calculation - Stagewise ECL'!C20</f>
        <v>316.97079903914823</v>
      </c>
      <c r="D35" s="53">
        <f>'Calculation - Stagewise ECL'!D20</f>
        <v>331.18322444240579</v>
      </c>
      <c r="E35" s="53">
        <f>'Calculation - Stagewise ECL'!E20</f>
        <v>346.15349607805632</v>
      </c>
      <c r="F35" s="53">
        <f>'Calculation - Stagewise ECL'!F20</f>
        <v>359.80724220613899</v>
      </c>
      <c r="G35" s="53">
        <f>'Calculation - Stagewise ECL'!G20</f>
        <v>371.48046231493618</v>
      </c>
      <c r="H35" s="53">
        <f>'Calculation - Stagewise ECL'!H20</f>
        <v>383.20785032075179</v>
      </c>
      <c r="I35" s="53">
        <f>'Calculation - Stagewise ECL'!I20</f>
        <v>395.18524735935949</v>
      </c>
      <c r="J35" s="53">
        <f>'Calculation - Stagewise ECL'!J20</f>
        <v>405.3185005780482</v>
      </c>
      <c r="K35" s="53">
        <f>'Calculation - Stagewise ECL'!K20</f>
        <v>416.94178875671685</v>
      </c>
      <c r="L35" s="53">
        <f>'Calculation - Stagewise ECL'!L20</f>
        <v>429.7078749451594</v>
      </c>
      <c r="M35" s="53">
        <f>'Calculation - Stagewise ECL'!M20</f>
        <v>442.19886598351923</v>
      </c>
      <c r="N35" s="53">
        <f>'Calculation - Stagewise ECL'!N20</f>
        <v>455.09878862480713</v>
      </c>
      <c r="O35" s="54">
        <f>'Calculation - Stagewise ECL'!O20</f>
        <v>449.83955007962015</v>
      </c>
      <c r="P35" s="53">
        <f>'Calculation - Stagewise ECL'!P20</f>
        <v>467.97840142662216</v>
      </c>
      <c r="Q35" s="53">
        <f>'Calculation - Stagewise ECL'!Q20</f>
        <v>485.04143298781099</v>
      </c>
      <c r="R35" s="53">
        <f>'Calculation - Stagewise ECL'!R20</f>
        <v>501.31235010567434</v>
      </c>
      <c r="S35" s="53">
        <f>'Calculation - Stagewise ECL'!S20</f>
        <v>515.07697626987363</v>
      </c>
      <c r="T35" s="53">
        <f>'Calculation - Stagewise ECL'!T20</f>
        <v>529.66857912737294</v>
      </c>
      <c r="U35" s="53">
        <f>'Calculation - Stagewise ECL'!U20</f>
        <v>537.52396036229811</v>
      </c>
      <c r="V35" s="53">
        <f>'Calculation - Stagewise ECL'!V20</f>
        <v>532.46729063489829</v>
      </c>
      <c r="W35" s="53">
        <f>'Calculation - Stagewise ECL'!W20</f>
        <v>523.9606908239939</v>
      </c>
      <c r="X35" s="53">
        <f>'Calculation - Stagewise ECL'!X20</f>
        <v>518.81762770895159</v>
      </c>
      <c r="Y35" s="53">
        <f>'Calculation - Stagewise ECL'!Y20</f>
        <v>515.52241985607839</v>
      </c>
      <c r="Z35" s="53">
        <f>'Calculation - Stagewise ECL'!Z20</f>
        <v>513.88686276150793</v>
      </c>
      <c r="AA35" s="54">
        <f>'Calculation - Stagewise ECL'!AA20</f>
        <v>504.69765775462707</v>
      </c>
      <c r="AB35" s="53">
        <f>'Calculation - Stagewise ECL'!AB20</f>
        <v>500.3397411634117</v>
      </c>
      <c r="AC35" s="53">
        <f>'Calculation - Stagewise ECL'!AC20</f>
        <v>504.42229824033581</v>
      </c>
      <c r="AD35" s="53">
        <f>'Calculation - Stagewise ECL'!AD20</f>
        <v>503.06335820072889</v>
      </c>
      <c r="AE35" s="53">
        <f>'Calculation - Stagewise ECL'!AE20</f>
        <v>501.54230573919301</v>
      </c>
      <c r="AF35" s="53">
        <f>'Calculation - Stagewise ECL'!AF20</f>
        <v>502.85286044468234</v>
      </c>
      <c r="AG35" s="53">
        <f>'Calculation - Stagewise ECL'!AG20</f>
        <v>507.43065543553882</v>
      </c>
      <c r="AH35" s="53">
        <f>'Calculation - Stagewise ECL'!AH20</f>
        <v>514.276345113253</v>
      </c>
      <c r="AI35" s="53">
        <f>'Calculation - Stagewise ECL'!AI20</f>
        <v>523.78138662804099</v>
      </c>
      <c r="AJ35" s="53">
        <f>'Calculation - Stagewise ECL'!AJ20</f>
        <v>534.74155293517526</v>
      </c>
      <c r="AK35" s="53">
        <f>'Calculation - Stagewise ECL'!AK20</f>
        <v>544.94473778083523</v>
      </c>
      <c r="AL35" s="53">
        <f>'Calculation - Stagewise ECL'!AL20</f>
        <v>553.51402489182681</v>
      </c>
      <c r="AM35" s="54">
        <f>'Calculation - Stagewise ECL'!AM20</f>
        <v>562.6014835660867</v>
      </c>
      <c r="AN35" s="53">
        <f>'Plan - CoC'!AN28-'Plan - CoC'!AN34</f>
        <v>0</v>
      </c>
      <c r="AO35" s="53">
        <f>'Plan - CoC'!AO28-'Plan - CoC'!AO34</f>
        <v>0</v>
      </c>
      <c r="AP35" s="53">
        <f>'Plan - CoC'!AP28-'Plan - CoC'!AP34</f>
        <v>0</v>
      </c>
      <c r="AQ35" s="53">
        <f>'Plan - CoC'!AQ28-'Plan - CoC'!AQ34</f>
        <v>0</v>
      </c>
      <c r="AR35" s="53">
        <f>'Plan - CoC'!AR28-'Plan - CoC'!AR34</f>
        <v>0</v>
      </c>
      <c r="AS35" s="53">
        <f>'Plan - CoC'!AS28-'Plan - CoC'!AS34</f>
        <v>0</v>
      </c>
      <c r="AT35" s="53">
        <f>'Plan - CoC'!AT28-'Plan - CoC'!AT34</f>
        <v>0</v>
      </c>
      <c r="AU35" s="53">
        <f>'Plan - CoC'!AU28-'Plan - CoC'!AU34</f>
        <v>0</v>
      </c>
      <c r="AV35" s="53">
        <f>'Plan - CoC'!AV28-'Plan - CoC'!AV34</f>
        <v>0</v>
      </c>
      <c r="AW35" s="53">
        <f>'Plan - CoC'!AW28-'Plan - CoC'!AW34</f>
        <v>0</v>
      </c>
      <c r="AX35" s="54">
        <f>'Plan - CoC'!AX28-'Plan - CoC'!AX34</f>
        <v>0</v>
      </c>
      <c r="AY35" s="53">
        <f>'Plan - CoC'!AY28-'Plan - CoC'!AY34</f>
        <v>0</v>
      </c>
      <c r="AZ35" s="53">
        <f>'Plan - CoC'!AZ28-'Plan - CoC'!AZ34</f>
        <v>0</v>
      </c>
      <c r="BA35" s="53">
        <f>'Plan - CoC'!BA28-'Plan - CoC'!BA34</f>
        <v>0</v>
      </c>
      <c r="BB35" s="53">
        <f>'Plan - CoC'!BB28-'Plan - CoC'!BB34</f>
        <v>0</v>
      </c>
      <c r="BC35" s="53">
        <f>'Plan - CoC'!BC28-'Plan - CoC'!BC34</f>
        <v>0</v>
      </c>
      <c r="BD35" s="53">
        <f>'Plan - CoC'!BD28-'Plan - CoC'!BD34</f>
        <v>0</v>
      </c>
      <c r="BE35" s="53">
        <f>'Plan - CoC'!BE28-'Plan - CoC'!BE34</f>
        <v>0</v>
      </c>
      <c r="BF35" s="53">
        <f>'Plan - CoC'!BF28-'Plan - CoC'!BF34</f>
        <v>0</v>
      </c>
      <c r="BG35" s="53">
        <f>'Plan - CoC'!BG28-'Plan - CoC'!BG34</f>
        <v>0</v>
      </c>
      <c r="BH35" s="53">
        <f>'Plan - CoC'!BH28-'Plan - CoC'!BH34</f>
        <v>0</v>
      </c>
      <c r="BI35" s="53">
        <f>'Plan - CoC'!BI28-'Plan - CoC'!BI34</f>
        <v>0</v>
      </c>
      <c r="BJ35" s="54">
        <f>'Plan - CoC'!BJ28-'Plan - CoC'!BJ34</f>
        <v>0</v>
      </c>
    </row>
    <row r="36" spans="1:62" hidden="1" outlineLevel="1" x14ac:dyDescent="0.35">
      <c r="A36" s="2" t="s">
        <v>196</v>
      </c>
      <c r="B36" s="2" t="s">
        <v>258</v>
      </c>
      <c r="C36" s="55">
        <f>'Calculation - Stagewise ECL'!C21</f>
        <v>221.43972965051336</v>
      </c>
      <c r="D36" s="56">
        <f>'Calculation - Stagewise ECL'!D21</f>
        <v>226.3418415878848</v>
      </c>
      <c r="E36" s="56">
        <f>'Calculation - Stagewise ECL'!E21</f>
        <v>232.60710647210149</v>
      </c>
      <c r="F36" s="56">
        <f>'Calculation - Stagewise ECL'!F21</f>
        <v>238.884860717891</v>
      </c>
      <c r="G36" s="56">
        <f>'Calculation - Stagewise ECL'!G21</f>
        <v>245.39980558613058</v>
      </c>
      <c r="H36" s="56">
        <f>'Calculation - Stagewise ECL'!H21</f>
        <v>252.35651471579999</v>
      </c>
      <c r="I36" s="56">
        <f>'Calculation - Stagewise ECL'!I21</f>
        <v>259.78874078634857</v>
      </c>
      <c r="J36" s="56">
        <f>'Calculation - Stagewise ECL'!J21</f>
        <v>268.1941752777376</v>
      </c>
      <c r="K36" s="56">
        <f>'Calculation - Stagewise ECL'!K21</f>
        <v>277.5813257551842</v>
      </c>
      <c r="L36" s="56">
        <f>'Calculation - Stagewise ECL'!L21</f>
        <v>287.51510198102574</v>
      </c>
      <c r="M36" s="56">
        <f>'Calculation - Stagewise ECL'!M21</f>
        <v>297.393598513217</v>
      </c>
      <c r="N36" s="56">
        <f>'Calculation - Stagewise ECL'!N21</f>
        <v>306.93643611412369</v>
      </c>
      <c r="O36" s="57">
        <f>'Calculation - Stagewise ECL'!O21</f>
        <v>305.60152774347097</v>
      </c>
      <c r="P36" s="56">
        <f>'Calculation - Stagewise ECL'!P21</f>
        <v>313.61357936669958</v>
      </c>
      <c r="Q36" s="56">
        <f>'Calculation - Stagewise ECL'!Q21</f>
        <v>322.13164624695361</v>
      </c>
      <c r="R36" s="56">
        <f>'Calculation - Stagewise ECL'!R21</f>
        <v>330.98750337705923</v>
      </c>
      <c r="S36" s="56">
        <f>'Calculation - Stagewise ECL'!S21</f>
        <v>339.85295368238741</v>
      </c>
      <c r="T36" s="56">
        <f>'Calculation - Stagewise ECL'!T21</f>
        <v>349.68937730646866</v>
      </c>
      <c r="U36" s="56">
        <f>'Calculation - Stagewise ECL'!U21</f>
        <v>359.83443057826901</v>
      </c>
      <c r="V36" s="56">
        <f>'Calculation - Stagewise ECL'!V21</f>
        <v>353.54248072059818</v>
      </c>
      <c r="W36" s="56">
        <f>'Calculation - Stagewise ECL'!W21</f>
        <v>349.33027748078911</v>
      </c>
      <c r="X36" s="56">
        <f>'Calculation - Stagewise ECL'!X21</f>
        <v>346.84914748157667</v>
      </c>
      <c r="Y36" s="56">
        <f>'Calculation - Stagewise ECL'!Y21</f>
        <v>345.56902463580911</v>
      </c>
      <c r="Z36" s="56">
        <f>'Calculation - Stagewise ECL'!Z21</f>
        <v>344.7445555786731</v>
      </c>
      <c r="AA36" s="57">
        <f>'Calculation - Stagewise ECL'!AA21</f>
        <v>345.47913717606548</v>
      </c>
      <c r="AB36" s="56">
        <f>'Calculation - Stagewise ECL'!AB21</f>
        <v>338.47302201227814</v>
      </c>
      <c r="AC36" s="56">
        <f>'Calculation - Stagewise ECL'!AC21</f>
        <v>338.55770064295172</v>
      </c>
      <c r="AD36" s="56">
        <f>'Calculation - Stagewise ECL'!AD21</f>
        <v>335.02437481352439</v>
      </c>
      <c r="AE36" s="56">
        <f>'Calculation - Stagewise ECL'!AE21</f>
        <v>333.26380260525951</v>
      </c>
      <c r="AF36" s="56">
        <f>'Calculation - Stagewise ECL'!AF21</f>
        <v>333.59326119317927</v>
      </c>
      <c r="AG36" s="56">
        <f>'Calculation - Stagewise ECL'!AG21</f>
        <v>336.14768825685434</v>
      </c>
      <c r="AH36" s="56">
        <f>'Calculation - Stagewise ECL'!AH21</f>
        <v>339.37650402475833</v>
      </c>
      <c r="AI36" s="56">
        <f>'Calculation - Stagewise ECL'!AI21</f>
        <v>344.25145524066539</v>
      </c>
      <c r="AJ36" s="56">
        <f>'Calculation - Stagewise ECL'!AJ21</f>
        <v>350.04065658329574</v>
      </c>
      <c r="AK36" s="56">
        <f>'Calculation - Stagewise ECL'!AK21</f>
        <v>355.39699536923462</v>
      </c>
      <c r="AL36" s="56">
        <f>'Calculation - Stagewise ECL'!AL21</f>
        <v>359.41670584906365</v>
      </c>
      <c r="AM36" s="57">
        <f>'Calculation - Stagewise ECL'!AM21</f>
        <v>363.50261359887679</v>
      </c>
      <c r="AN36" s="56">
        <f>'Plan - CoC'!AN29-'Plan - CoC'!AN35</f>
        <v>0</v>
      </c>
      <c r="AO36" s="56">
        <f>'Plan - CoC'!AO29-'Plan - CoC'!AO35</f>
        <v>0</v>
      </c>
      <c r="AP36" s="56">
        <f>'Plan - CoC'!AP29-'Plan - CoC'!AP35</f>
        <v>0</v>
      </c>
      <c r="AQ36" s="56">
        <f>'Plan - CoC'!AQ29-'Plan - CoC'!AQ35</f>
        <v>0</v>
      </c>
      <c r="AR36" s="56">
        <f>'Plan - CoC'!AR29-'Plan - CoC'!AR35</f>
        <v>0</v>
      </c>
      <c r="AS36" s="56">
        <f>'Plan - CoC'!AS29-'Plan - CoC'!AS35</f>
        <v>0</v>
      </c>
      <c r="AT36" s="56">
        <f>'Plan - CoC'!AT29-'Plan - CoC'!AT35</f>
        <v>0</v>
      </c>
      <c r="AU36" s="56">
        <f>'Plan - CoC'!AU29-'Plan - CoC'!AU35</f>
        <v>0</v>
      </c>
      <c r="AV36" s="56">
        <f>'Plan - CoC'!AV29-'Plan - CoC'!AV35</f>
        <v>0</v>
      </c>
      <c r="AW36" s="56">
        <f>'Plan - CoC'!AW29-'Plan - CoC'!AW35</f>
        <v>0</v>
      </c>
      <c r="AX36" s="57">
        <f>'Plan - CoC'!AX29-'Plan - CoC'!AX35</f>
        <v>0</v>
      </c>
      <c r="AY36" s="56">
        <f>'Plan - CoC'!AY29-'Plan - CoC'!AY35</f>
        <v>0</v>
      </c>
      <c r="AZ36" s="56">
        <f>'Plan - CoC'!AZ29-'Plan - CoC'!AZ35</f>
        <v>0</v>
      </c>
      <c r="BA36" s="56">
        <f>'Plan - CoC'!BA29-'Plan - CoC'!BA35</f>
        <v>0</v>
      </c>
      <c r="BB36" s="56">
        <f>'Plan - CoC'!BB29-'Plan - CoC'!BB35</f>
        <v>0</v>
      </c>
      <c r="BC36" s="56">
        <f>'Plan - CoC'!BC29-'Plan - CoC'!BC35</f>
        <v>0</v>
      </c>
      <c r="BD36" s="56">
        <f>'Plan - CoC'!BD29-'Plan - CoC'!BD35</f>
        <v>0</v>
      </c>
      <c r="BE36" s="56">
        <f>'Plan - CoC'!BE29-'Plan - CoC'!BE35</f>
        <v>0</v>
      </c>
      <c r="BF36" s="56">
        <f>'Plan - CoC'!BF29-'Plan - CoC'!BF35</f>
        <v>0</v>
      </c>
      <c r="BG36" s="56">
        <f>'Plan - CoC'!BG29-'Plan - CoC'!BG35</f>
        <v>0</v>
      </c>
      <c r="BH36" s="56">
        <f>'Plan - CoC'!BH29-'Plan - CoC'!BH35</f>
        <v>0</v>
      </c>
      <c r="BI36" s="56">
        <f>'Plan - CoC'!BI29-'Plan - CoC'!BI35</f>
        <v>0</v>
      </c>
      <c r="BJ36" s="57">
        <f>'Plan - CoC'!BJ29-'Plan - CoC'!BJ35</f>
        <v>0</v>
      </c>
    </row>
    <row r="37" spans="1:62" hidden="1" outlineLevel="1" x14ac:dyDescent="0.35">
      <c r="A37" s="3" t="s">
        <v>196</v>
      </c>
      <c r="B37" s="3" t="s">
        <v>259</v>
      </c>
      <c r="C37" s="58">
        <f>'Calculation - Stagewise ECL'!C22</f>
        <v>369.02985900563851</v>
      </c>
      <c r="D37" s="59">
        <f>'Calculation - Stagewise ECL'!D22</f>
        <v>376.10648503691391</v>
      </c>
      <c r="E37" s="59">
        <f>'Calculation - Stagewise ECL'!E22</f>
        <v>387.04813127955288</v>
      </c>
      <c r="F37" s="59">
        <f>'Calculation - Stagewise ECL'!F22</f>
        <v>398.45111008940677</v>
      </c>
      <c r="G37" s="59">
        <f>'Calculation - Stagewise ECL'!G22</f>
        <v>410.07378066380932</v>
      </c>
      <c r="H37" s="59">
        <f>'Calculation - Stagewise ECL'!H22</f>
        <v>422.4207501378923</v>
      </c>
      <c r="I37" s="59">
        <f>'Calculation - Stagewise ECL'!I22</f>
        <v>435.33968779792525</v>
      </c>
      <c r="J37" s="59">
        <f>'Calculation - Stagewise ECL'!J22</f>
        <v>449.98703369744959</v>
      </c>
      <c r="K37" s="59">
        <f>'Calculation - Stagewise ECL'!K22</f>
        <v>466.20190936170542</v>
      </c>
      <c r="L37" s="59">
        <f>'Calculation - Stagewise ECL'!L22</f>
        <v>483.16968310699394</v>
      </c>
      <c r="M37" s="59">
        <f>'Calculation - Stagewise ECL'!M22</f>
        <v>499.65137561173873</v>
      </c>
      <c r="N37" s="59">
        <f>'Calculation - Stagewise ECL'!N22</f>
        <v>515.76437983540359</v>
      </c>
      <c r="O37" s="60">
        <f>'Calculation - Stagewise ECL'!O22</f>
        <v>532.4233908376624</v>
      </c>
      <c r="P37" s="59">
        <f>'Calculation - Stagewise ECL'!P22</f>
        <v>545.2737095644427</v>
      </c>
      <c r="Q37" s="59">
        <f>'Calculation - Stagewise ECL'!Q22</f>
        <v>558.93199056419883</v>
      </c>
      <c r="R37" s="59">
        <f>'Calculation - Stagewise ECL'!R22</f>
        <v>572.91938985445324</v>
      </c>
      <c r="S37" s="59">
        <f>'Calculation - Stagewise ECL'!S22</f>
        <v>585.81734901821278</v>
      </c>
      <c r="T37" s="59">
        <f>'Calculation - Stagewise ECL'!T22</f>
        <v>600.89822062288613</v>
      </c>
      <c r="U37" s="59">
        <f>'Calculation - Stagewise ECL'!U22</f>
        <v>612.09515803977149</v>
      </c>
      <c r="V37" s="59">
        <f>'Calculation - Stagewise ECL'!V22</f>
        <v>600.9704821838169</v>
      </c>
      <c r="W37" s="59">
        <f>'Calculation - Stagewise ECL'!W22</f>
        <v>592.9743676837154</v>
      </c>
      <c r="X37" s="59">
        <f>'Calculation - Stagewise ECL'!X22</f>
        <v>587.97807758143608</v>
      </c>
      <c r="Y37" s="59">
        <f>'Calculation - Stagewise ECL'!Y22</f>
        <v>584.64000713672283</v>
      </c>
      <c r="Z37" s="59">
        <f>'Calculation - Stagewise ECL'!Z22</f>
        <v>582.35144208867348</v>
      </c>
      <c r="AA37" s="60">
        <f>'Calculation - Stagewise ECL'!AA22</f>
        <v>582.46991548985409</v>
      </c>
      <c r="AB37" s="59">
        <f>'Calculation - Stagewise ECL'!AB22</f>
        <v>569.62156134399709</v>
      </c>
      <c r="AC37" s="59">
        <f>'Calculation - Stagewise ECL'!AC22</f>
        <v>569.57106416038562</v>
      </c>
      <c r="AD37" s="59">
        <f>'Calculation - Stagewise ECL'!AD22</f>
        <v>562.99639187197886</v>
      </c>
      <c r="AE37" s="59">
        <f>'Calculation - Stagewise ECL'!AE22</f>
        <v>558.6484672005771</v>
      </c>
      <c r="AF37" s="59">
        <f>'Calculation - Stagewise ECL'!AF22</f>
        <v>557.66923964130058</v>
      </c>
      <c r="AG37" s="59">
        <f>'Calculation - Stagewise ECL'!AG22</f>
        <v>560.29827630374723</v>
      </c>
      <c r="AH37" s="59">
        <f>'Calculation - Stagewise ECL'!AH22</f>
        <v>563.46705119926253</v>
      </c>
      <c r="AI37" s="59">
        <f>'Calculation - Stagewise ECL'!AI22</f>
        <v>569.29265587221005</v>
      </c>
      <c r="AJ37" s="59">
        <f>'Calculation - Stagewise ECL'!AJ22</f>
        <v>576.30184969209802</v>
      </c>
      <c r="AK37" s="59">
        <f>'Calculation - Stagewise ECL'!AK22</f>
        <v>582.08121888698952</v>
      </c>
      <c r="AL37" s="59">
        <f>'Calculation - Stagewise ECL'!AL22</f>
        <v>585.70625695514434</v>
      </c>
      <c r="AM37" s="60">
        <f>'Calculation - Stagewise ECL'!AM22</f>
        <v>589.47052150663421</v>
      </c>
      <c r="AN37" s="59">
        <f>'Plan - CoC'!AN30-'Plan - CoC'!AN36</f>
        <v>0</v>
      </c>
      <c r="AO37" s="59">
        <f>'Plan - CoC'!AO30-'Plan - CoC'!AO36</f>
        <v>0</v>
      </c>
      <c r="AP37" s="59">
        <f>'Plan - CoC'!AP30-'Plan - CoC'!AP36</f>
        <v>0</v>
      </c>
      <c r="AQ37" s="59">
        <f>'Plan - CoC'!AQ30-'Plan - CoC'!AQ36</f>
        <v>0</v>
      </c>
      <c r="AR37" s="59">
        <f>'Plan - CoC'!AR30-'Plan - CoC'!AR36</f>
        <v>0</v>
      </c>
      <c r="AS37" s="59">
        <f>'Plan - CoC'!AS30-'Plan - CoC'!AS36</f>
        <v>0</v>
      </c>
      <c r="AT37" s="59">
        <f>'Plan - CoC'!AT30-'Plan - CoC'!AT36</f>
        <v>0</v>
      </c>
      <c r="AU37" s="59">
        <f>'Plan - CoC'!AU30-'Plan - CoC'!AU36</f>
        <v>0</v>
      </c>
      <c r="AV37" s="59">
        <f>'Plan - CoC'!AV30-'Plan - CoC'!AV36</f>
        <v>0</v>
      </c>
      <c r="AW37" s="59">
        <f>'Plan - CoC'!AW30-'Plan - CoC'!AW36</f>
        <v>0</v>
      </c>
      <c r="AX37" s="60">
        <f>'Plan - CoC'!AX30-'Plan - CoC'!AX36</f>
        <v>0</v>
      </c>
      <c r="AY37" s="59">
        <f>'Plan - CoC'!AY30-'Plan - CoC'!AY36</f>
        <v>0</v>
      </c>
      <c r="AZ37" s="59">
        <f>'Plan - CoC'!AZ30-'Plan - CoC'!AZ36</f>
        <v>0</v>
      </c>
      <c r="BA37" s="59">
        <f>'Plan - CoC'!BA30-'Plan - CoC'!BA36</f>
        <v>0</v>
      </c>
      <c r="BB37" s="59">
        <f>'Plan - CoC'!BB30-'Plan - CoC'!BB36</f>
        <v>0</v>
      </c>
      <c r="BC37" s="59">
        <f>'Plan - CoC'!BC30-'Plan - CoC'!BC36</f>
        <v>0</v>
      </c>
      <c r="BD37" s="59">
        <f>'Plan - CoC'!BD30-'Plan - CoC'!BD36</f>
        <v>0</v>
      </c>
      <c r="BE37" s="59">
        <f>'Plan - CoC'!BE30-'Plan - CoC'!BE36</f>
        <v>0</v>
      </c>
      <c r="BF37" s="59">
        <f>'Plan - CoC'!BF30-'Plan - CoC'!BF36</f>
        <v>0</v>
      </c>
      <c r="BG37" s="59">
        <f>'Plan - CoC'!BG30-'Plan - CoC'!BG36</f>
        <v>0</v>
      </c>
      <c r="BH37" s="59">
        <f>'Plan - CoC'!BH30-'Plan - CoC'!BH36</f>
        <v>0</v>
      </c>
      <c r="BI37" s="59">
        <f>'Plan - CoC'!BI30-'Plan - CoC'!BI36</f>
        <v>0</v>
      </c>
      <c r="BJ37" s="60">
        <f>'Plan - CoC'!BJ30-'Plan - CoC'!BJ36</f>
        <v>0</v>
      </c>
    </row>
    <row r="38" spans="1:62" hidden="1" outlineLevel="1" x14ac:dyDescent="0.35">
      <c r="O38" s="231"/>
    </row>
    <row r="39" spans="1:62" hidden="1" outlineLevel="1" x14ac:dyDescent="0.35">
      <c r="A39" s="25" t="s">
        <v>195</v>
      </c>
      <c r="B39" s="4" t="s">
        <v>3</v>
      </c>
      <c r="C39" s="19">
        <f>$C$3</f>
        <v>45352</v>
      </c>
      <c r="D39" s="20">
        <f>EDATE(C39,1)</f>
        <v>45383</v>
      </c>
      <c r="E39" s="20">
        <f>EDATE(D39,1)</f>
        <v>45413</v>
      </c>
      <c r="F39" s="20">
        <f>EDATE(E39,1)</f>
        <v>45444</v>
      </c>
      <c r="G39" s="20">
        <f t="shared" ref="G39" si="137">EDATE(F39,1)</f>
        <v>45474</v>
      </c>
      <c r="H39" s="20">
        <f t="shared" ref="H39" si="138">EDATE(G39,1)</f>
        <v>45505</v>
      </c>
      <c r="I39" s="20">
        <f t="shared" ref="I39" si="139">EDATE(H39,1)</f>
        <v>45536</v>
      </c>
      <c r="J39" s="20">
        <f t="shared" ref="J39" si="140">EDATE(I39,1)</f>
        <v>45566</v>
      </c>
      <c r="K39" s="20">
        <f t="shared" ref="K39" si="141">EDATE(J39,1)</f>
        <v>45597</v>
      </c>
      <c r="L39" s="20">
        <f t="shared" ref="L39" si="142">EDATE(K39,1)</f>
        <v>45627</v>
      </c>
      <c r="M39" s="20">
        <f t="shared" ref="M39" si="143">EDATE(L39,1)</f>
        <v>45658</v>
      </c>
      <c r="N39" s="20">
        <f t="shared" ref="N39" si="144">EDATE(M39,1)</f>
        <v>45689</v>
      </c>
      <c r="O39" s="21">
        <f t="shared" ref="O39" si="145">EDATE(N39,1)</f>
        <v>45717</v>
      </c>
      <c r="P39" s="20">
        <f t="shared" ref="P39" si="146">EDATE(O39,1)</f>
        <v>45748</v>
      </c>
      <c r="Q39" s="20">
        <f t="shared" ref="Q39" si="147">EDATE(P39,1)</f>
        <v>45778</v>
      </c>
      <c r="R39" s="20">
        <f t="shared" ref="R39" si="148">EDATE(Q39,1)</f>
        <v>45809</v>
      </c>
      <c r="S39" s="20">
        <f t="shared" ref="S39" si="149">EDATE(R39,1)</f>
        <v>45839</v>
      </c>
      <c r="T39" s="20">
        <f t="shared" ref="T39" si="150">EDATE(S39,1)</f>
        <v>45870</v>
      </c>
      <c r="U39" s="20">
        <f t="shared" ref="U39" si="151">EDATE(T39,1)</f>
        <v>45901</v>
      </c>
      <c r="V39" s="20">
        <f t="shared" ref="V39" si="152">EDATE(U39,1)</f>
        <v>45931</v>
      </c>
      <c r="W39" s="20">
        <f t="shared" ref="W39" si="153">EDATE(V39,1)</f>
        <v>45962</v>
      </c>
      <c r="X39" s="20">
        <f t="shared" ref="X39" si="154">EDATE(W39,1)</f>
        <v>45992</v>
      </c>
      <c r="Y39" s="20">
        <f t="shared" ref="Y39" si="155">EDATE(X39,1)</f>
        <v>46023</v>
      </c>
      <c r="Z39" s="20">
        <f t="shared" ref="Z39" si="156">EDATE(Y39,1)</f>
        <v>46054</v>
      </c>
      <c r="AA39" s="21">
        <f t="shared" ref="AA39" si="157">EDATE(Z39,1)</f>
        <v>46082</v>
      </c>
      <c r="AB39" s="20">
        <f t="shared" ref="AB39" si="158">EDATE(AA39,1)</f>
        <v>46113</v>
      </c>
      <c r="AC39" s="20">
        <f t="shared" ref="AC39" si="159">EDATE(AB39,1)</f>
        <v>46143</v>
      </c>
      <c r="AD39" s="20">
        <f t="shared" ref="AD39" si="160">EDATE(AC39,1)</f>
        <v>46174</v>
      </c>
      <c r="AE39" s="20">
        <f t="shared" ref="AE39" si="161">EDATE(AD39,1)</f>
        <v>46204</v>
      </c>
      <c r="AF39" s="20">
        <f t="shared" ref="AF39" si="162">EDATE(AE39,1)</f>
        <v>46235</v>
      </c>
      <c r="AG39" s="20">
        <f t="shared" ref="AG39" si="163">EDATE(AF39,1)</f>
        <v>46266</v>
      </c>
      <c r="AH39" s="20">
        <f t="shared" ref="AH39" si="164">EDATE(AG39,1)</f>
        <v>46296</v>
      </c>
      <c r="AI39" s="20">
        <f t="shared" ref="AI39" si="165">EDATE(AH39,1)</f>
        <v>46327</v>
      </c>
      <c r="AJ39" s="20">
        <f t="shared" ref="AJ39" si="166">EDATE(AI39,1)</f>
        <v>46357</v>
      </c>
      <c r="AK39" s="20">
        <f t="shared" ref="AK39" si="167">EDATE(AJ39,1)</f>
        <v>46388</v>
      </c>
      <c r="AL39" s="20">
        <f t="shared" ref="AL39" si="168">EDATE(AK39,1)</f>
        <v>46419</v>
      </c>
      <c r="AM39" s="21">
        <f t="shared" ref="AM39" si="169">EDATE(AL39,1)</f>
        <v>46447</v>
      </c>
    </row>
    <row r="40" spans="1:62" hidden="1" outlineLevel="1" x14ac:dyDescent="0.35">
      <c r="A40" s="15" t="s">
        <v>195</v>
      </c>
      <c r="B40" s="15" t="s">
        <v>157</v>
      </c>
      <c r="C40" s="16">
        <f>SUM(C41:C43)</f>
        <v>223.42633692790042</v>
      </c>
      <c r="D40" s="17">
        <f t="shared" ref="D40:AM40" si="170">SUM(D41:D43)</f>
        <v>217.39891809120809</v>
      </c>
      <c r="E40" s="17">
        <f t="shared" si="170"/>
        <v>211.14226348674015</v>
      </c>
      <c r="F40" s="17">
        <f t="shared" si="170"/>
        <v>199.47787530099885</v>
      </c>
      <c r="G40" s="17">
        <f t="shared" si="170"/>
        <v>194.36464858150902</v>
      </c>
      <c r="H40" s="17">
        <f t="shared" si="170"/>
        <v>191.45275450517869</v>
      </c>
      <c r="I40" s="17">
        <f t="shared" si="170"/>
        <v>184.28998002779554</v>
      </c>
      <c r="J40" s="17">
        <f t="shared" si="170"/>
        <v>165.030165289747</v>
      </c>
      <c r="K40" s="17">
        <f t="shared" si="170"/>
        <v>163.1751646915028</v>
      </c>
      <c r="L40" s="17">
        <f t="shared" si="170"/>
        <v>161.4947056498176</v>
      </c>
      <c r="M40" s="17">
        <f t="shared" si="170"/>
        <v>159.37801017680141</v>
      </c>
      <c r="N40" s="17">
        <f t="shared" si="170"/>
        <v>157.9545738313478</v>
      </c>
      <c r="O40" s="18">
        <f t="shared" si="170"/>
        <v>109.99952061219317</v>
      </c>
      <c r="P40" s="17">
        <f t="shared" si="170"/>
        <v>87.360735152602842</v>
      </c>
      <c r="Q40" s="17">
        <f t="shared" si="170"/>
        <v>82.696731639048579</v>
      </c>
      <c r="R40" s="17">
        <f t="shared" si="170"/>
        <v>79.757195084669263</v>
      </c>
      <c r="S40" s="17">
        <f t="shared" si="170"/>
        <v>77.570275722589599</v>
      </c>
      <c r="T40" s="17">
        <f t="shared" si="170"/>
        <v>66.429178620574646</v>
      </c>
      <c r="U40" s="17">
        <f t="shared" si="170"/>
        <v>64.145192651890966</v>
      </c>
      <c r="V40" s="17">
        <f t="shared" si="170"/>
        <v>58.929234733213562</v>
      </c>
      <c r="W40" s="17">
        <f t="shared" si="170"/>
        <v>56.645418570467683</v>
      </c>
      <c r="X40" s="17">
        <f t="shared" si="170"/>
        <v>53.364814915238199</v>
      </c>
      <c r="Y40" s="17">
        <f t="shared" si="170"/>
        <v>51.85070931210263</v>
      </c>
      <c r="Z40" s="17">
        <f t="shared" si="170"/>
        <v>49.619873087917625</v>
      </c>
      <c r="AA40" s="18">
        <f t="shared" si="170"/>
        <v>47.203993221713333</v>
      </c>
      <c r="AB40" s="17">
        <f t="shared" si="170"/>
        <v>45.957501027467345</v>
      </c>
      <c r="AC40" s="17">
        <f t="shared" si="170"/>
        <v>44.823694436161468</v>
      </c>
      <c r="AD40" s="17">
        <f t="shared" si="170"/>
        <v>43.842725501638256</v>
      </c>
      <c r="AE40" s="17">
        <f t="shared" si="170"/>
        <v>43.004082065574536</v>
      </c>
      <c r="AF40" s="17">
        <f t="shared" si="170"/>
        <v>42.286142728250837</v>
      </c>
      <c r="AG40" s="17">
        <f t="shared" si="170"/>
        <v>41.667309286080112</v>
      </c>
      <c r="AH40" s="17">
        <f t="shared" si="170"/>
        <v>41.128671196155828</v>
      </c>
      <c r="AI40" s="17">
        <f t="shared" si="170"/>
        <v>40.654441324619796</v>
      </c>
      <c r="AJ40" s="17">
        <f t="shared" si="170"/>
        <v>40.231602230566196</v>
      </c>
      <c r="AK40" s="17">
        <f t="shared" si="170"/>
        <v>39.849701306638053</v>
      </c>
      <c r="AL40" s="17">
        <f t="shared" si="170"/>
        <v>39.500445181163158</v>
      </c>
      <c r="AM40" s="18">
        <f t="shared" si="170"/>
        <v>39.178084699552301</v>
      </c>
    </row>
    <row r="41" spans="1:62" hidden="1" outlineLevel="1" x14ac:dyDescent="0.35">
      <c r="A41" s="1" t="s">
        <v>195</v>
      </c>
      <c r="B41" s="1" t="s">
        <v>257</v>
      </c>
      <c r="C41" s="52">
        <v>13.066021888370248</v>
      </c>
      <c r="D41" s="53">
        <v>12.363082878618</v>
      </c>
      <c r="E41" s="53">
        <v>9.1308405118500566</v>
      </c>
      <c r="F41" s="53">
        <v>8.9791747874615915</v>
      </c>
      <c r="G41" s="53">
        <v>8.9791747874615915</v>
      </c>
      <c r="H41" s="53">
        <v>8.9791747874615915</v>
      </c>
      <c r="I41" s="53">
        <v>8.9791747874615915</v>
      </c>
      <c r="J41" s="53">
        <v>8.9791747874615915</v>
      </c>
      <c r="K41" s="53">
        <v>8.9791747874615915</v>
      </c>
      <c r="L41" s="53">
        <v>8.9791747874615915</v>
      </c>
      <c r="M41" s="53">
        <v>8.9791747874615915</v>
      </c>
      <c r="N41" s="53">
        <v>8.9791747874615915</v>
      </c>
      <c r="O41" s="54">
        <v>8.9791747874615915</v>
      </c>
      <c r="P41" s="53">
        <v>8.9791747874615915</v>
      </c>
      <c r="Q41" s="53">
        <v>8.9791747874615915</v>
      </c>
      <c r="R41" s="53">
        <v>8.9791747874615915</v>
      </c>
      <c r="S41" s="53">
        <v>8.9791747874615915</v>
      </c>
      <c r="T41" s="53">
        <v>8.9791747874615915</v>
      </c>
      <c r="U41" s="53">
        <v>8.9791747874615915</v>
      </c>
      <c r="V41" s="53">
        <v>8.9791747874615915</v>
      </c>
      <c r="W41" s="53">
        <v>8.9791747874615915</v>
      </c>
      <c r="X41" s="53">
        <v>8.9791747874615915</v>
      </c>
      <c r="Y41" s="53">
        <v>8.9791747874615915</v>
      </c>
      <c r="Z41" s="53">
        <v>8.9791747874615915</v>
      </c>
      <c r="AA41" s="54">
        <v>8.9791747874615915</v>
      </c>
      <c r="AB41" s="53">
        <v>8.9791747874615915</v>
      </c>
      <c r="AC41" s="53">
        <v>8.9791747874615915</v>
      </c>
      <c r="AD41" s="53">
        <v>8.9791747874615915</v>
      </c>
      <c r="AE41" s="53">
        <v>8.9791747874615915</v>
      </c>
      <c r="AF41" s="53">
        <v>8.9791747874615915</v>
      </c>
      <c r="AG41" s="53">
        <v>8.9791747874615915</v>
      </c>
      <c r="AH41" s="53">
        <v>8.9791747874615915</v>
      </c>
      <c r="AI41" s="53">
        <v>8.9791747874615915</v>
      </c>
      <c r="AJ41" s="53">
        <v>8.9791747874615915</v>
      </c>
      <c r="AK41" s="53">
        <v>8.9791747874615915</v>
      </c>
      <c r="AL41" s="53">
        <v>8.9791747874615915</v>
      </c>
      <c r="AM41" s="54">
        <v>8.9791747874615915</v>
      </c>
    </row>
    <row r="42" spans="1:62" hidden="1" outlineLevel="1" x14ac:dyDescent="0.35">
      <c r="A42" s="2" t="s">
        <v>195</v>
      </c>
      <c r="B42" s="2" t="s">
        <v>258</v>
      </c>
      <c r="C42" s="55">
        <v>118.55745425530074</v>
      </c>
      <c r="D42" s="56">
        <v>114.62932969356397</v>
      </c>
      <c r="E42" s="56">
        <v>111.91933641106783</v>
      </c>
      <c r="F42" s="56">
        <v>104.97745576071704</v>
      </c>
      <c r="G42" s="56">
        <v>100.56370110897423</v>
      </c>
      <c r="H42" s="56">
        <v>96.346254562400219</v>
      </c>
      <c r="I42" s="56">
        <v>93.031916877142677</v>
      </c>
      <c r="J42" s="56">
        <v>90.377083096543814</v>
      </c>
      <c r="K42" s="56">
        <v>88.207011287170616</v>
      </c>
      <c r="L42" s="56">
        <v>86.473293625172758</v>
      </c>
      <c r="M42" s="56">
        <v>84.791977101735085</v>
      </c>
      <c r="N42" s="56">
        <v>83.312719897671982</v>
      </c>
      <c r="O42" s="57">
        <v>37.88387652395366</v>
      </c>
      <c r="P42" s="56">
        <v>36.966177812230491</v>
      </c>
      <c r="Q42" s="56">
        <v>34.901491012389542</v>
      </c>
      <c r="R42" s="56">
        <v>33.018798517273439</v>
      </c>
      <c r="S42" s="56">
        <v>31.066534732486101</v>
      </c>
      <c r="T42" s="56">
        <v>29.195345553342104</v>
      </c>
      <c r="U42" s="56">
        <v>27.424939935168865</v>
      </c>
      <c r="V42" s="56">
        <v>25.65446391894308</v>
      </c>
      <c r="W42" s="56">
        <v>24.039403602286782</v>
      </c>
      <c r="X42" s="56">
        <v>22.409003285476153</v>
      </c>
      <c r="Y42" s="56">
        <v>20.846384865600371</v>
      </c>
      <c r="Z42" s="56">
        <v>18.861859823104698</v>
      </c>
      <c r="AA42" s="57">
        <v>17.541472877190603</v>
      </c>
      <c r="AB42" s="56">
        <v>17.539371283883977</v>
      </c>
      <c r="AC42" s="56">
        <v>17.532787944554741</v>
      </c>
      <c r="AD42" s="56">
        <v>17.517844340663196</v>
      </c>
      <c r="AE42" s="56">
        <v>17.494727379462464</v>
      </c>
      <c r="AF42" s="56">
        <v>17.464676748395497</v>
      </c>
      <c r="AG42" s="56">
        <v>17.429037759815582</v>
      </c>
      <c r="AH42" s="56">
        <v>17.389019149931638</v>
      </c>
      <c r="AI42" s="56">
        <v>17.34563991187553</v>
      </c>
      <c r="AJ42" s="56">
        <v>17.299744646467548</v>
      </c>
      <c r="AK42" s="56">
        <v>17.252009921060107</v>
      </c>
      <c r="AL42" s="56">
        <v>17.202969066160815</v>
      </c>
      <c r="AM42" s="57">
        <v>17.152974741018792</v>
      </c>
    </row>
    <row r="43" spans="1:62" hidden="1" outlineLevel="1" x14ac:dyDescent="0.35">
      <c r="A43" s="3" t="s">
        <v>195</v>
      </c>
      <c r="B43" s="3" t="s">
        <v>259</v>
      </c>
      <c r="C43" s="58">
        <v>91.802860784229424</v>
      </c>
      <c r="D43" s="59">
        <v>90.406505519026112</v>
      </c>
      <c r="E43" s="59">
        <v>90.092086563822278</v>
      </c>
      <c r="F43" s="59">
        <v>85.521244752820238</v>
      </c>
      <c r="G43" s="59">
        <v>84.821772685073213</v>
      </c>
      <c r="H43" s="59">
        <v>86.127325155316896</v>
      </c>
      <c r="I43" s="59">
        <v>82.278888363191271</v>
      </c>
      <c r="J43" s="59">
        <v>65.673907405741602</v>
      </c>
      <c r="K43" s="59">
        <v>65.988978616870583</v>
      </c>
      <c r="L43" s="59">
        <v>66.042237237183272</v>
      </c>
      <c r="M43" s="59">
        <v>65.606858287604751</v>
      </c>
      <c r="N43" s="59">
        <v>65.662679146214231</v>
      </c>
      <c r="O43" s="60">
        <v>63.136469300777918</v>
      </c>
      <c r="P43" s="59">
        <v>41.415382552910756</v>
      </c>
      <c r="Q43" s="59">
        <v>38.816065839197449</v>
      </c>
      <c r="R43" s="59">
        <v>37.759221779934229</v>
      </c>
      <c r="S43" s="59">
        <v>37.524566202641907</v>
      </c>
      <c r="T43" s="59">
        <v>28.254658279770958</v>
      </c>
      <c r="U43" s="59">
        <v>27.741077929260506</v>
      </c>
      <c r="V43" s="59">
        <v>24.295596026808894</v>
      </c>
      <c r="W43" s="59">
        <v>23.626840180719313</v>
      </c>
      <c r="X43" s="59">
        <v>21.976636842300454</v>
      </c>
      <c r="Y43" s="59">
        <v>22.025149659040668</v>
      </c>
      <c r="Z43" s="59">
        <v>21.778838477351339</v>
      </c>
      <c r="AA43" s="60">
        <v>20.683345557061141</v>
      </c>
      <c r="AB43" s="59">
        <v>19.438954956121776</v>
      </c>
      <c r="AC43" s="59">
        <v>18.311731704145135</v>
      </c>
      <c r="AD43" s="59">
        <v>17.345706373513469</v>
      </c>
      <c r="AE43" s="59">
        <v>16.530179898650484</v>
      </c>
      <c r="AF43" s="59">
        <v>15.842291192393748</v>
      </c>
      <c r="AG43" s="59">
        <v>15.259096738802942</v>
      </c>
      <c r="AH43" s="59">
        <v>14.760477258762599</v>
      </c>
      <c r="AI43" s="59">
        <v>14.329626625282678</v>
      </c>
      <c r="AJ43" s="59">
        <v>13.95268279663706</v>
      </c>
      <c r="AK43" s="59">
        <v>13.618516598116351</v>
      </c>
      <c r="AL43" s="59">
        <v>13.318301327540748</v>
      </c>
      <c r="AM43" s="60">
        <v>13.045935171071918</v>
      </c>
    </row>
    <row r="44" spans="1:62" hidden="1" outlineLevel="1" x14ac:dyDescent="0.35"/>
    <row r="45" spans="1:62" hidden="1" outlineLevel="1" x14ac:dyDescent="0.35">
      <c r="A45" s="25" t="s">
        <v>264</v>
      </c>
      <c r="B45" s="4" t="s">
        <v>3</v>
      </c>
      <c r="C45" s="19">
        <f>$C$3</f>
        <v>45352</v>
      </c>
      <c r="D45" s="20">
        <f>EDATE(C45,1)</f>
        <v>45383</v>
      </c>
      <c r="E45" s="20">
        <f>EDATE(D45,1)</f>
        <v>45413</v>
      </c>
      <c r="F45" s="20">
        <f>EDATE(E45,1)</f>
        <v>45444</v>
      </c>
      <c r="G45" s="20">
        <f t="shared" ref="G45" si="171">EDATE(F45,1)</f>
        <v>45474</v>
      </c>
      <c r="H45" s="20">
        <f t="shared" ref="H45" si="172">EDATE(G45,1)</f>
        <v>45505</v>
      </c>
      <c r="I45" s="20">
        <f t="shared" ref="I45" si="173">EDATE(H45,1)</f>
        <v>45536</v>
      </c>
      <c r="J45" s="20">
        <f t="shared" ref="J45" si="174">EDATE(I45,1)</f>
        <v>45566</v>
      </c>
      <c r="K45" s="20">
        <f t="shared" ref="K45" si="175">EDATE(J45,1)</f>
        <v>45597</v>
      </c>
      <c r="L45" s="20">
        <f t="shared" ref="L45" si="176">EDATE(K45,1)</f>
        <v>45627</v>
      </c>
      <c r="M45" s="20">
        <f t="shared" ref="M45" si="177">EDATE(L45,1)</f>
        <v>45658</v>
      </c>
      <c r="N45" s="20">
        <f t="shared" ref="N45" si="178">EDATE(M45,1)</f>
        <v>45689</v>
      </c>
      <c r="O45" s="21">
        <f t="shared" ref="O45" si="179">EDATE(N45,1)</f>
        <v>45717</v>
      </c>
      <c r="P45" s="20">
        <f t="shared" ref="P45" si="180">EDATE(O45,1)</f>
        <v>45748</v>
      </c>
      <c r="Q45" s="20">
        <f t="shared" ref="Q45" si="181">EDATE(P45,1)</f>
        <v>45778</v>
      </c>
      <c r="R45" s="20">
        <f t="shared" ref="R45" si="182">EDATE(Q45,1)</f>
        <v>45809</v>
      </c>
      <c r="S45" s="20">
        <f t="shared" ref="S45" si="183">EDATE(R45,1)</f>
        <v>45839</v>
      </c>
      <c r="T45" s="20">
        <f t="shared" ref="T45" si="184">EDATE(S45,1)</f>
        <v>45870</v>
      </c>
      <c r="U45" s="20">
        <f t="shared" ref="U45" si="185">EDATE(T45,1)</f>
        <v>45901</v>
      </c>
      <c r="V45" s="20">
        <f t="shared" ref="V45" si="186">EDATE(U45,1)</f>
        <v>45931</v>
      </c>
      <c r="W45" s="20">
        <f t="shared" ref="W45" si="187">EDATE(V45,1)</f>
        <v>45962</v>
      </c>
      <c r="X45" s="20">
        <f t="shared" ref="X45" si="188">EDATE(W45,1)</f>
        <v>45992</v>
      </c>
      <c r="Y45" s="20">
        <f t="shared" ref="Y45" si="189">EDATE(X45,1)</f>
        <v>46023</v>
      </c>
      <c r="Z45" s="20">
        <f t="shared" ref="Z45" si="190">EDATE(Y45,1)</f>
        <v>46054</v>
      </c>
      <c r="AA45" s="21">
        <f t="shared" ref="AA45" si="191">EDATE(Z45,1)</f>
        <v>46082</v>
      </c>
      <c r="AB45" s="20">
        <f t="shared" ref="AB45" si="192">EDATE(AA45,1)</f>
        <v>46113</v>
      </c>
      <c r="AC45" s="20">
        <f t="shared" ref="AC45" si="193">EDATE(AB45,1)</f>
        <v>46143</v>
      </c>
      <c r="AD45" s="20">
        <f t="shared" ref="AD45" si="194">EDATE(AC45,1)</f>
        <v>46174</v>
      </c>
      <c r="AE45" s="20">
        <f t="shared" ref="AE45" si="195">EDATE(AD45,1)</f>
        <v>46204</v>
      </c>
      <c r="AF45" s="20">
        <f t="shared" ref="AF45" si="196">EDATE(AE45,1)</f>
        <v>46235</v>
      </c>
      <c r="AG45" s="20">
        <f t="shared" ref="AG45" si="197">EDATE(AF45,1)</f>
        <v>46266</v>
      </c>
      <c r="AH45" s="20">
        <f t="shared" ref="AH45" si="198">EDATE(AG45,1)</f>
        <v>46296</v>
      </c>
      <c r="AI45" s="20">
        <f t="shared" ref="AI45" si="199">EDATE(AH45,1)</f>
        <v>46327</v>
      </c>
      <c r="AJ45" s="20">
        <f t="shared" ref="AJ45" si="200">EDATE(AI45,1)</f>
        <v>46357</v>
      </c>
      <c r="AK45" s="20">
        <f t="shared" ref="AK45" si="201">EDATE(AJ45,1)</f>
        <v>46388</v>
      </c>
      <c r="AL45" s="20">
        <f t="shared" ref="AL45" si="202">EDATE(AK45,1)</f>
        <v>46419</v>
      </c>
      <c r="AM45" s="21">
        <f t="shared" ref="AM45" si="203">EDATE(AL45,1)</f>
        <v>46447</v>
      </c>
    </row>
    <row r="46" spans="1:62" hidden="1" outlineLevel="1" x14ac:dyDescent="0.35">
      <c r="A46" s="15" t="s">
        <v>264</v>
      </c>
      <c r="B46" s="15" t="s">
        <v>157</v>
      </c>
      <c r="C46" s="16">
        <f>SUM(C47:C49)</f>
        <v>0</v>
      </c>
      <c r="D46" s="17">
        <f t="shared" ref="D46:AM46" si="204">SUM(D47:D49)</f>
        <v>0</v>
      </c>
      <c r="E46" s="17">
        <f t="shared" si="204"/>
        <v>0</v>
      </c>
      <c r="F46" s="17">
        <f t="shared" si="204"/>
        <v>0</v>
      </c>
      <c r="G46" s="17">
        <f t="shared" si="204"/>
        <v>0</v>
      </c>
      <c r="H46" s="17">
        <f t="shared" si="204"/>
        <v>0</v>
      </c>
      <c r="I46" s="17">
        <f t="shared" si="204"/>
        <v>0</v>
      </c>
      <c r="J46" s="17">
        <f t="shared" si="204"/>
        <v>74.713709473704441</v>
      </c>
      <c r="K46" s="17">
        <f t="shared" si="204"/>
        <v>79.148252013110479</v>
      </c>
      <c r="L46" s="17">
        <f t="shared" si="204"/>
        <v>83.942584737038032</v>
      </c>
      <c r="M46" s="17">
        <f t="shared" si="204"/>
        <v>89.10734058081789</v>
      </c>
      <c r="N46" s="17">
        <f t="shared" si="204"/>
        <v>94.041724744812228</v>
      </c>
      <c r="O46" s="18">
        <f t="shared" si="204"/>
        <v>111.91509461399971</v>
      </c>
      <c r="P46" s="17">
        <f t="shared" si="204"/>
        <v>104.15499979742057</v>
      </c>
      <c r="Q46" s="17">
        <f t="shared" si="204"/>
        <v>104.5438903310619</v>
      </c>
      <c r="R46" s="17">
        <f t="shared" si="204"/>
        <v>105.408902778765</v>
      </c>
      <c r="S46" s="17">
        <f t="shared" si="204"/>
        <v>111.9305829325447</v>
      </c>
      <c r="T46" s="17">
        <f t="shared" si="204"/>
        <v>115.32314417921337</v>
      </c>
      <c r="U46" s="17">
        <f t="shared" si="204"/>
        <v>119.58653440502955</v>
      </c>
      <c r="V46" s="17">
        <f t="shared" si="204"/>
        <v>120.69218684391647</v>
      </c>
      <c r="W46" s="17">
        <f t="shared" si="204"/>
        <v>121.38106897100192</v>
      </c>
      <c r="X46" s="17">
        <f t="shared" si="204"/>
        <v>122.73469803341962</v>
      </c>
      <c r="Y46" s="17">
        <f t="shared" si="204"/>
        <v>124.99096367333109</v>
      </c>
      <c r="Z46" s="17">
        <f t="shared" si="204"/>
        <v>126.758153409258</v>
      </c>
      <c r="AA46" s="18">
        <f t="shared" si="204"/>
        <v>127.77458654629008</v>
      </c>
      <c r="AB46" s="17">
        <f t="shared" si="204"/>
        <v>132.94773295297011</v>
      </c>
      <c r="AC46" s="17">
        <f t="shared" si="204"/>
        <v>129.71317229066852</v>
      </c>
      <c r="AD46" s="17">
        <f t="shared" si="204"/>
        <v>125.76079067007089</v>
      </c>
      <c r="AE46" s="17">
        <f t="shared" si="204"/>
        <v>125.28955302649929</v>
      </c>
      <c r="AF46" s="17">
        <f t="shared" si="204"/>
        <v>124.246467335102</v>
      </c>
      <c r="AG46" s="17">
        <f t="shared" si="204"/>
        <v>124.96718267236639</v>
      </c>
      <c r="AH46" s="17">
        <f t="shared" si="204"/>
        <v>128.35942257074441</v>
      </c>
      <c r="AI46" s="17">
        <f t="shared" si="204"/>
        <v>131.88307518914138</v>
      </c>
      <c r="AJ46" s="17">
        <f t="shared" si="204"/>
        <v>135.79651958717434</v>
      </c>
      <c r="AK46" s="17">
        <f t="shared" si="204"/>
        <v>140.25770952551449</v>
      </c>
      <c r="AL46" s="17">
        <f t="shared" si="204"/>
        <v>143.50448971762836</v>
      </c>
      <c r="AM46" s="18">
        <f t="shared" si="204"/>
        <v>145.49825545481715</v>
      </c>
    </row>
    <row r="47" spans="1:62" hidden="1" outlineLevel="1" x14ac:dyDescent="0.35">
      <c r="A47" s="1" t="s">
        <v>264</v>
      </c>
      <c r="B47" s="1" t="s">
        <v>257</v>
      </c>
      <c r="C47" s="52">
        <v>0</v>
      </c>
      <c r="D47" s="53">
        <v>0</v>
      </c>
      <c r="E47" s="53">
        <v>0</v>
      </c>
      <c r="F47" s="53">
        <v>0</v>
      </c>
      <c r="G47" s="53">
        <v>0</v>
      </c>
      <c r="H47" s="53">
        <v>0</v>
      </c>
      <c r="I47" s="53">
        <v>0</v>
      </c>
      <c r="J47" s="53">
        <v>0</v>
      </c>
      <c r="K47" s="53">
        <v>0</v>
      </c>
      <c r="L47" s="53">
        <v>0</v>
      </c>
      <c r="M47" s="53">
        <v>0</v>
      </c>
      <c r="N47" s="53">
        <v>0</v>
      </c>
      <c r="O47" s="54">
        <v>0</v>
      </c>
      <c r="P47" s="53">
        <v>0</v>
      </c>
      <c r="Q47" s="53">
        <v>0</v>
      </c>
      <c r="R47" s="53">
        <v>0</v>
      </c>
      <c r="S47" s="53">
        <v>0</v>
      </c>
      <c r="T47" s="53">
        <v>0</v>
      </c>
      <c r="U47" s="53">
        <v>0</v>
      </c>
      <c r="V47" s="53">
        <v>0</v>
      </c>
      <c r="W47" s="53">
        <v>0</v>
      </c>
      <c r="X47" s="53">
        <v>0</v>
      </c>
      <c r="Y47" s="53">
        <v>0</v>
      </c>
      <c r="Z47" s="53">
        <v>0</v>
      </c>
      <c r="AA47" s="54">
        <v>0</v>
      </c>
      <c r="AB47" s="53">
        <v>0</v>
      </c>
      <c r="AC47" s="53">
        <v>0</v>
      </c>
      <c r="AD47" s="53">
        <v>0</v>
      </c>
      <c r="AE47" s="53">
        <v>0</v>
      </c>
      <c r="AF47" s="53">
        <v>0</v>
      </c>
      <c r="AG47" s="53">
        <v>0</v>
      </c>
      <c r="AH47" s="53">
        <v>0</v>
      </c>
      <c r="AI47" s="53">
        <v>0</v>
      </c>
      <c r="AJ47" s="53">
        <v>0</v>
      </c>
      <c r="AK47" s="53">
        <v>0</v>
      </c>
      <c r="AL47" s="53">
        <v>0</v>
      </c>
      <c r="AM47" s="54">
        <v>0</v>
      </c>
    </row>
    <row r="48" spans="1:62" hidden="1" outlineLevel="1" x14ac:dyDescent="0.35">
      <c r="A48" s="2" t="s">
        <v>264</v>
      </c>
      <c r="B48" s="2" t="s">
        <v>258</v>
      </c>
      <c r="C48" s="55">
        <f>'Input - GNPA'!C124</f>
        <v>0</v>
      </c>
      <c r="D48" s="56">
        <f>'Input - GNPA'!D124</f>
        <v>0</v>
      </c>
      <c r="E48" s="56">
        <f>'Input - GNPA'!E124</f>
        <v>0</v>
      </c>
      <c r="F48" s="56">
        <f>'Input - GNPA'!F124</f>
        <v>0</v>
      </c>
      <c r="G48" s="56">
        <f>'Input - GNPA'!G124</f>
        <v>0</v>
      </c>
      <c r="H48" s="56">
        <f>'Input - GNPA'!H124</f>
        <v>0</v>
      </c>
      <c r="I48" s="56">
        <f>'Input - GNPA'!I124</f>
        <v>0</v>
      </c>
      <c r="J48" s="56">
        <f>'Input - GNPA'!J124</f>
        <v>74.713709473704441</v>
      </c>
      <c r="K48" s="56">
        <f>'Input - GNPA'!K124</f>
        <v>79.148252013110479</v>
      </c>
      <c r="L48" s="56">
        <f>'Input - GNPA'!L124</f>
        <v>83.942584737038032</v>
      </c>
      <c r="M48" s="56">
        <f>'Input - GNPA'!M124</f>
        <v>89.10734058081789</v>
      </c>
      <c r="N48" s="56">
        <f>'Input - GNPA'!N124</f>
        <v>94.041724744812228</v>
      </c>
      <c r="O48" s="57">
        <f>'Input - GNPA'!O124</f>
        <v>111.91509461399971</v>
      </c>
      <c r="P48" s="56">
        <f>'Input - GNPA'!P124</f>
        <v>104.15499979742057</v>
      </c>
      <c r="Q48" s="56">
        <f>'Input - GNPA'!Q124</f>
        <v>104.5438903310619</v>
      </c>
      <c r="R48" s="56">
        <f>'Input - GNPA'!R124</f>
        <v>105.408902778765</v>
      </c>
      <c r="S48" s="56">
        <f>'Input - GNPA'!S124</f>
        <v>111.9305829325447</v>
      </c>
      <c r="T48" s="56">
        <f>'Input - GNPA'!T124</f>
        <v>115.32314417921337</v>
      </c>
      <c r="U48" s="56">
        <f>'Input - GNPA'!U124</f>
        <v>119.58653440502955</v>
      </c>
      <c r="V48" s="56">
        <f>'Input - GNPA'!V124</f>
        <v>120.69218684391647</v>
      </c>
      <c r="W48" s="56">
        <f>'Input - GNPA'!W124</f>
        <v>121.38106897100192</v>
      </c>
      <c r="X48" s="56">
        <f>'Input - GNPA'!X124</f>
        <v>122.73469803341962</v>
      </c>
      <c r="Y48" s="56">
        <f>'Input - GNPA'!Y124</f>
        <v>124.99096367333109</v>
      </c>
      <c r="Z48" s="56">
        <f>'Input - GNPA'!Z124</f>
        <v>126.758153409258</v>
      </c>
      <c r="AA48" s="57">
        <f>'Input - GNPA'!AA124</f>
        <v>127.77458654629008</v>
      </c>
      <c r="AB48" s="56">
        <f>'Input - GNPA'!AB124</f>
        <v>132.94773295297011</v>
      </c>
      <c r="AC48" s="56">
        <f>'Input - GNPA'!AC124</f>
        <v>129.71317229066852</v>
      </c>
      <c r="AD48" s="56">
        <f>'Input - GNPA'!AD124</f>
        <v>125.76079067007089</v>
      </c>
      <c r="AE48" s="56">
        <f>'Input - GNPA'!AE124</f>
        <v>125.28955302649929</v>
      </c>
      <c r="AF48" s="56">
        <f>'Input - GNPA'!AF124</f>
        <v>124.246467335102</v>
      </c>
      <c r="AG48" s="56">
        <f>'Input - GNPA'!AG124</f>
        <v>124.96718267236639</v>
      </c>
      <c r="AH48" s="56">
        <f>'Input - GNPA'!AH124</f>
        <v>128.35942257074441</v>
      </c>
      <c r="AI48" s="56">
        <f>'Input - GNPA'!AI124</f>
        <v>131.88307518914138</v>
      </c>
      <c r="AJ48" s="56">
        <f>'Input - GNPA'!AJ124</f>
        <v>135.79651958717434</v>
      </c>
      <c r="AK48" s="56">
        <f>'Input - GNPA'!AK124</f>
        <v>140.25770952551449</v>
      </c>
      <c r="AL48" s="56">
        <f>'Input - GNPA'!AL124</f>
        <v>143.50448971762836</v>
      </c>
      <c r="AM48" s="57">
        <f>'Input - GNPA'!AM124</f>
        <v>145.49825545481715</v>
      </c>
    </row>
    <row r="49" spans="1:62" hidden="1" outlineLevel="1" x14ac:dyDescent="0.35">
      <c r="A49" s="3" t="s">
        <v>264</v>
      </c>
      <c r="B49" s="3" t="s">
        <v>259</v>
      </c>
      <c r="C49" s="58">
        <v>0</v>
      </c>
      <c r="D49" s="59">
        <v>0</v>
      </c>
      <c r="E49" s="59">
        <v>0</v>
      </c>
      <c r="F49" s="59">
        <v>0</v>
      </c>
      <c r="G49" s="59">
        <v>0</v>
      </c>
      <c r="H49" s="59">
        <v>0</v>
      </c>
      <c r="I49" s="59">
        <v>0</v>
      </c>
      <c r="J49" s="59">
        <v>0</v>
      </c>
      <c r="K49" s="59">
        <v>0</v>
      </c>
      <c r="L49" s="59">
        <v>0</v>
      </c>
      <c r="M49" s="59">
        <v>0</v>
      </c>
      <c r="N49" s="59">
        <v>0</v>
      </c>
      <c r="O49" s="60">
        <v>0</v>
      </c>
      <c r="P49" s="59">
        <v>0</v>
      </c>
      <c r="Q49" s="59">
        <v>0</v>
      </c>
      <c r="R49" s="59">
        <v>0</v>
      </c>
      <c r="S49" s="59">
        <v>0</v>
      </c>
      <c r="T49" s="59">
        <v>0</v>
      </c>
      <c r="U49" s="59">
        <v>0</v>
      </c>
      <c r="V49" s="59">
        <v>0</v>
      </c>
      <c r="W49" s="59">
        <v>0</v>
      </c>
      <c r="X49" s="59">
        <v>0</v>
      </c>
      <c r="Y49" s="59">
        <v>0</v>
      </c>
      <c r="Z49" s="59">
        <v>0</v>
      </c>
      <c r="AA49" s="60">
        <v>0</v>
      </c>
      <c r="AB49" s="59">
        <v>0</v>
      </c>
      <c r="AC49" s="59">
        <v>0</v>
      </c>
      <c r="AD49" s="59">
        <v>0</v>
      </c>
      <c r="AE49" s="59">
        <v>0</v>
      </c>
      <c r="AF49" s="59">
        <v>0</v>
      </c>
      <c r="AG49" s="59">
        <v>0</v>
      </c>
      <c r="AH49" s="59">
        <v>0</v>
      </c>
      <c r="AI49" s="59">
        <v>0</v>
      </c>
      <c r="AJ49" s="59">
        <v>0</v>
      </c>
      <c r="AK49" s="59">
        <v>0</v>
      </c>
      <c r="AL49" s="59">
        <v>0</v>
      </c>
      <c r="AM49" s="60">
        <v>0</v>
      </c>
    </row>
    <row r="50" spans="1:62" collapsed="1" x14ac:dyDescent="0.35"/>
    <row r="51" spans="1:62" x14ac:dyDescent="0.35">
      <c r="A51" s="25" t="s">
        <v>268</v>
      </c>
      <c r="B51" s="4" t="s">
        <v>3</v>
      </c>
      <c r="C51" s="19">
        <f>$C$3</f>
        <v>45352</v>
      </c>
      <c r="D51" s="20">
        <f>EDATE(C51,1)</f>
        <v>45383</v>
      </c>
      <c r="E51" s="20">
        <f>EDATE(D51,1)</f>
        <v>45413</v>
      </c>
      <c r="F51" s="20">
        <f>EDATE(E51,1)</f>
        <v>45444</v>
      </c>
      <c r="G51" s="20">
        <f t="shared" ref="G51" si="205">EDATE(F51,1)</f>
        <v>45474</v>
      </c>
      <c r="H51" s="20">
        <f t="shared" ref="H51" si="206">EDATE(G51,1)</f>
        <v>45505</v>
      </c>
      <c r="I51" s="20">
        <f t="shared" ref="I51" si="207">EDATE(H51,1)</f>
        <v>45536</v>
      </c>
      <c r="J51" s="20">
        <f t="shared" ref="J51" si="208">EDATE(I51,1)</f>
        <v>45566</v>
      </c>
      <c r="K51" s="20">
        <f t="shared" ref="K51" si="209">EDATE(J51,1)</f>
        <v>45597</v>
      </c>
      <c r="L51" s="20">
        <f t="shared" ref="L51" si="210">EDATE(K51,1)</f>
        <v>45627</v>
      </c>
      <c r="M51" s="20">
        <f t="shared" ref="M51" si="211">EDATE(L51,1)</f>
        <v>45658</v>
      </c>
      <c r="N51" s="20">
        <f t="shared" ref="N51" si="212">EDATE(M51,1)</f>
        <v>45689</v>
      </c>
      <c r="O51" s="21">
        <f t="shared" ref="O51" si="213">EDATE(N51,1)</f>
        <v>45717</v>
      </c>
      <c r="P51" s="20">
        <f t="shared" ref="P51" si="214">EDATE(O51,1)</f>
        <v>45748</v>
      </c>
      <c r="Q51" s="20">
        <f t="shared" ref="Q51" si="215">EDATE(P51,1)</f>
        <v>45778</v>
      </c>
      <c r="R51" s="20">
        <f t="shared" ref="R51" si="216">EDATE(Q51,1)</f>
        <v>45809</v>
      </c>
      <c r="S51" s="20">
        <f t="shared" ref="S51" si="217">EDATE(R51,1)</f>
        <v>45839</v>
      </c>
      <c r="T51" s="20">
        <f t="shared" ref="T51" si="218">EDATE(S51,1)</f>
        <v>45870</v>
      </c>
      <c r="U51" s="20">
        <f t="shared" ref="U51" si="219">EDATE(T51,1)</f>
        <v>45901</v>
      </c>
      <c r="V51" s="20">
        <f t="shared" ref="V51" si="220">EDATE(U51,1)</f>
        <v>45931</v>
      </c>
      <c r="W51" s="20">
        <f t="shared" ref="W51" si="221">EDATE(V51,1)</f>
        <v>45962</v>
      </c>
      <c r="X51" s="20">
        <f t="shared" ref="X51" si="222">EDATE(W51,1)</f>
        <v>45992</v>
      </c>
      <c r="Y51" s="20">
        <f t="shared" ref="Y51" si="223">EDATE(X51,1)</f>
        <v>46023</v>
      </c>
      <c r="Z51" s="20">
        <f t="shared" ref="Z51" si="224">EDATE(Y51,1)</f>
        <v>46054</v>
      </c>
      <c r="AA51" s="21">
        <f t="shared" ref="AA51" si="225">EDATE(Z51,1)</f>
        <v>46082</v>
      </c>
      <c r="AB51" s="20">
        <f t="shared" ref="AB51" si="226">EDATE(AA51,1)</f>
        <v>46113</v>
      </c>
      <c r="AC51" s="20">
        <f t="shared" ref="AC51" si="227">EDATE(AB51,1)</f>
        <v>46143</v>
      </c>
      <c r="AD51" s="20">
        <f t="shared" ref="AD51" si="228">EDATE(AC51,1)</f>
        <v>46174</v>
      </c>
      <c r="AE51" s="20">
        <f t="shared" ref="AE51" si="229">EDATE(AD51,1)</f>
        <v>46204</v>
      </c>
      <c r="AF51" s="20">
        <f t="shared" ref="AF51" si="230">EDATE(AE51,1)</f>
        <v>46235</v>
      </c>
      <c r="AG51" s="20">
        <f t="shared" ref="AG51" si="231">EDATE(AF51,1)</f>
        <v>46266</v>
      </c>
      <c r="AH51" s="20">
        <f t="shared" ref="AH51" si="232">EDATE(AG51,1)</f>
        <v>46296</v>
      </c>
      <c r="AI51" s="20">
        <f t="shared" ref="AI51" si="233">EDATE(AH51,1)</f>
        <v>46327</v>
      </c>
      <c r="AJ51" s="20">
        <f t="shared" ref="AJ51" si="234">EDATE(AI51,1)</f>
        <v>46357</v>
      </c>
      <c r="AK51" s="20">
        <f t="shared" ref="AK51" si="235">EDATE(AJ51,1)</f>
        <v>46388</v>
      </c>
      <c r="AL51" s="20">
        <f t="shared" ref="AL51" si="236">EDATE(AK51,1)</f>
        <v>46419</v>
      </c>
      <c r="AM51" s="21">
        <f t="shared" ref="AM51" si="237">EDATE(AL51,1)</f>
        <v>46447</v>
      </c>
      <c r="AN51" s="20">
        <f t="shared" ref="AN51" si="238">EDATE(AM51,1)</f>
        <v>46478</v>
      </c>
      <c r="AO51" s="20">
        <f t="shared" ref="AO51" si="239">EDATE(AN51,1)</f>
        <v>46508</v>
      </c>
      <c r="AP51" s="20">
        <f t="shared" ref="AP51" si="240">EDATE(AO51,1)</f>
        <v>46539</v>
      </c>
      <c r="AQ51" s="20">
        <f t="shared" ref="AQ51" si="241">EDATE(AP51,1)</f>
        <v>46569</v>
      </c>
      <c r="AR51" s="20">
        <f t="shared" ref="AR51" si="242">EDATE(AQ51,1)</f>
        <v>46600</v>
      </c>
      <c r="AS51" s="20">
        <f t="shared" ref="AS51" si="243">EDATE(AR51,1)</f>
        <v>46631</v>
      </c>
      <c r="AT51" s="20">
        <f t="shared" ref="AT51" si="244">EDATE(AS51,1)</f>
        <v>46661</v>
      </c>
      <c r="AU51" s="20">
        <f t="shared" ref="AU51" si="245">EDATE(AT51,1)</f>
        <v>46692</v>
      </c>
      <c r="AV51" s="20">
        <f t="shared" ref="AV51" si="246">EDATE(AU51,1)</f>
        <v>46722</v>
      </c>
      <c r="AW51" s="20">
        <f t="shared" ref="AW51" si="247">EDATE(AV51,1)</f>
        <v>46753</v>
      </c>
      <c r="AX51" s="21">
        <f t="shared" ref="AX51" si="248">EDATE(AW51,1)</f>
        <v>46784</v>
      </c>
      <c r="AY51" s="20">
        <f t="shared" ref="AY51" si="249">EDATE(AX51,1)</f>
        <v>46813</v>
      </c>
      <c r="AZ51" s="20">
        <f t="shared" ref="AZ51" si="250">EDATE(AY51,1)</f>
        <v>46844</v>
      </c>
      <c r="BA51" s="20">
        <f t="shared" ref="BA51" si="251">EDATE(AZ51,1)</f>
        <v>46874</v>
      </c>
      <c r="BB51" s="20">
        <f t="shared" ref="BB51" si="252">EDATE(BA51,1)</f>
        <v>46905</v>
      </c>
      <c r="BC51" s="20">
        <f t="shared" ref="BC51" si="253">EDATE(BB51,1)</f>
        <v>46935</v>
      </c>
      <c r="BD51" s="20">
        <f t="shared" ref="BD51" si="254">EDATE(BC51,1)</f>
        <v>46966</v>
      </c>
      <c r="BE51" s="20">
        <f t="shared" ref="BE51" si="255">EDATE(BD51,1)</f>
        <v>46997</v>
      </c>
      <c r="BF51" s="20">
        <f t="shared" ref="BF51" si="256">EDATE(BE51,1)</f>
        <v>47027</v>
      </c>
      <c r="BG51" s="20">
        <f t="shared" ref="BG51" si="257">EDATE(BF51,1)</f>
        <v>47058</v>
      </c>
      <c r="BH51" s="20">
        <f t="shared" ref="BH51" si="258">EDATE(BG51,1)</f>
        <v>47088</v>
      </c>
      <c r="BI51" s="20">
        <f t="shared" ref="BI51" si="259">EDATE(BH51,1)</f>
        <v>47119</v>
      </c>
      <c r="BJ51" s="21">
        <f t="shared" ref="BJ51" si="260">EDATE(BI51,1)</f>
        <v>47150</v>
      </c>
    </row>
    <row r="52" spans="1:62" x14ac:dyDescent="0.35">
      <c r="A52" s="15" t="s">
        <v>193</v>
      </c>
      <c r="B52" s="15" t="s">
        <v>158</v>
      </c>
      <c r="C52" s="16">
        <f>SUM(C53:C55)</f>
        <v>626.41677217893516</v>
      </c>
      <c r="D52" s="17">
        <f t="shared" ref="D52:BJ52" si="261">SUM(D53:D55)</f>
        <v>655.81026954153242</v>
      </c>
      <c r="E52" s="17">
        <f t="shared" si="261"/>
        <v>678.13298410422408</v>
      </c>
      <c r="F52" s="17">
        <f t="shared" si="261"/>
        <v>703.22584131248357</v>
      </c>
      <c r="G52" s="17">
        <f t="shared" si="261"/>
        <v>727.89050248205285</v>
      </c>
      <c r="H52" s="17">
        <f t="shared" si="261"/>
        <v>750.75621515060698</v>
      </c>
      <c r="I52" s="17">
        <f t="shared" si="261"/>
        <v>722.16326631197035</v>
      </c>
      <c r="J52" s="17">
        <f t="shared" si="261"/>
        <v>797.05520477646576</v>
      </c>
      <c r="K52" s="17">
        <f t="shared" si="261"/>
        <v>823.41056834309347</v>
      </c>
      <c r="L52" s="17">
        <f t="shared" si="261"/>
        <v>764.94871823061419</v>
      </c>
      <c r="M52" s="17">
        <f t="shared" si="261"/>
        <v>796.35780836878882</v>
      </c>
      <c r="N52" s="17">
        <f t="shared" si="261"/>
        <v>732.47872756756999</v>
      </c>
      <c r="O52" s="18">
        <f t="shared" si="261"/>
        <v>754.19047988240482</v>
      </c>
      <c r="P52" s="17">
        <f t="shared" si="261"/>
        <v>753.33905383780393</v>
      </c>
      <c r="Q52" s="17">
        <f t="shared" si="261"/>
        <v>781.94227416078593</v>
      </c>
      <c r="R52" s="17">
        <f t="shared" si="261"/>
        <v>816.60105956907546</v>
      </c>
      <c r="S52" s="17">
        <f t="shared" si="261"/>
        <v>850.3002026448828</v>
      </c>
      <c r="T52" s="17">
        <f t="shared" si="261"/>
        <v>885.76328939861492</v>
      </c>
      <c r="U52" s="17">
        <f t="shared" si="261"/>
        <v>927.30258238234524</v>
      </c>
      <c r="V52" s="17">
        <f t="shared" si="261"/>
        <v>916.38605247749024</v>
      </c>
      <c r="W52" s="17">
        <f t="shared" si="261"/>
        <v>911.56878031888027</v>
      </c>
      <c r="X52" s="17">
        <f t="shared" si="261"/>
        <v>798.61055608944207</v>
      </c>
      <c r="Y52" s="17">
        <f t="shared" si="261"/>
        <v>806.44045843576612</v>
      </c>
      <c r="Z52" s="17">
        <f t="shared" si="261"/>
        <v>708.66069344997607</v>
      </c>
      <c r="AA52" s="18">
        <f t="shared" si="261"/>
        <v>725.4922260601785</v>
      </c>
      <c r="AB52" s="17">
        <f t="shared" si="261"/>
        <v>719.83857901804311</v>
      </c>
      <c r="AC52" s="17">
        <f t="shared" si="261"/>
        <v>719.93124411507119</v>
      </c>
      <c r="AD52" s="17">
        <f t="shared" si="261"/>
        <v>725.77464657440817</v>
      </c>
      <c r="AE52" s="17">
        <f t="shared" si="261"/>
        <v>732.32778883661615</v>
      </c>
      <c r="AF52" s="17">
        <f t="shared" si="261"/>
        <v>745.62806684947532</v>
      </c>
      <c r="AG52" s="17">
        <f t="shared" si="261"/>
        <v>740.53214286342063</v>
      </c>
      <c r="AH52" s="17">
        <f t="shared" si="261"/>
        <v>761.68898971466774</v>
      </c>
      <c r="AI52" s="17">
        <f t="shared" si="261"/>
        <v>785.4813398573807</v>
      </c>
      <c r="AJ52" s="17">
        <f t="shared" si="261"/>
        <v>733.97454493482621</v>
      </c>
      <c r="AK52" s="17">
        <f t="shared" si="261"/>
        <v>759.91009221802051</v>
      </c>
      <c r="AL52" s="17">
        <f t="shared" si="261"/>
        <v>709.90158724050707</v>
      </c>
      <c r="AM52" s="18">
        <f t="shared" si="261"/>
        <v>732.08749698570261</v>
      </c>
      <c r="AN52" s="17" t="e">
        <f t="shared" si="261"/>
        <v>#DIV/0!</v>
      </c>
      <c r="AO52" s="17" t="e">
        <f t="shared" si="261"/>
        <v>#DIV/0!</v>
      </c>
      <c r="AP52" s="17" t="e">
        <f t="shared" si="261"/>
        <v>#DIV/0!</v>
      </c>
      <c r="AQ52" s="17" t="e">
        <f t="shared" si="261"/>
        <v>#DIV/0!</v>
      </c>
      <c r="AR52" s="17" t="e">
        <f t="shared" si="261"/>
        <v>#DIV/0!</v>
      </c>
      <c r="AS52" s="17" t="e">
        <f t="shared" si="261"/>
        <v>#DIV/0!</v>
      </c>
      <c r="AT52" s="17" t="e">
        <f t="shared" si="261"/>
        <v>#DIV/0!</v>
      </c>
      <c r="AU52" s="17" t="e">
        <f t="shared" si="261"/>
        <v>#DIV/0!</v>
      </c>
      <c r="AV52" s="17" t="e">
        <f t="shared" si="261"/>
        <v>#DIV/0!</v>
      </c>
      <c r="AW52" s="17" t="e">
        <f t="shared" si="261"/>
        <v>#DIV/0!</v>
      </c>
      <c r="AX52" s="18" t="e">
        <f t="shared" si="261"/>
        <v>#DIV/0!</v>
      </c>
      <c r="AY52" s="17" t="e">
        <f t="shared" si="261"/>
        <v>#DIV/0!</v>
      </c>
      <c r="AZ52" s="17" t="e">
        <f t="shared" si="261"/>
        <v>#DIV/0!</v>
      </c>
      <c r="BA52" s="17" t="e">
        <f t="shared" si="261"/>
        <v>#DIV/0!</v>
      </c>
      <c r="BB52" s="17" t="e">
        <f t="shared" si="261"/>
        <v>#DIV/0!</v>
      </c>
      <c r="BC52" s="17" t="e">
        <f t="shared" si="261"/>
        <v>#DIV/0!</v>
      </c>
      <c r="BD52" s="17" t="e">
        <f t="shared" si="261"/>
        <v>#DIV/0!</v>
      </c>
      <c r="BE52" s="17" t="e">
        <f t="shared" si="261"/>
        <v>#DIV/0!</v>
      </c>
      <c r="BF52" s="17" t="e">
        <f t="shared" si="261"/>
        <v>#DIV/0!</v>
      </c>
      <c r="BG52" s="17" t="e">
        <f t="shared" si="261"/>
        <v>#DIV/0!</v>
      </c>
      <c r="BH52" s="17" t="e">
        <f t="shared" si="261"/>
        <v>#DIV/0!</v>
      </c>
      <c r="BI52" s="17" t="e">
        <f t="shared" si="261"/>
        <v>#DIV/0!</v>
      </c>
      <c r="BJ52" s="18" t="e">
        <f t="shared" si="261"/>
        <v>#DIV/0!</v>
      </c>
    </row>
    <row r="53" spans="1:62" x14ac:dyDescent="0.35">
      <c r="A53" s="1" t="s">
        <v>193</v>
      </c>
      <c r="B53" s="1" t="s">
        <v>257</v>
      </c>
      <c r="C53" s="251">
        <f>C59+C65+C71</f>
        <v>150.49060501508276</v>
      </c>
      <c r="D53" s="44">
        <f t="shared" ref="D53:AM53" si="262">D59+D65+D71</f>
        <v>155.41822860579114</v>
      </c>
      <c r="E53" s="44">
        <f t="shared" si="262"/>
        <v>159.48217200996831</v>
      </c>
      <c r="F53" s="44">
        <f t="shared" si="262"/>
        <v>164.30681435834711</v>
      </c>
      <c r="G53" s="44">
        <f t="shared" si="262"/>
        <v>171.10559441315462</v>
      </c>
      <c r="H53" s="44">
        <f t="shared" si="262"/>
        <v>174.10759629751107</v>
      </c>
      <c r="I53" s="44">
        <f t="shared" si="262"/>
        <v>168.13275682625923</v>
      </c>
      <c r="J53" s="44">
        <f t="shared" si="262"/>
        <v>169.58640990436339</v>
      </c>
      <c r="K53" s="44">
        <f t="shared" si="262"/>
        <v>172.15455889452062</v>
      </c>
      <c r="L53" s="44">
        <f t="shared" si="262"/>
        <v>159.79208126232481</v>
      </c>
      <c r="M53" s="44">
        <f t="shared" si="262"/>
        <v>161.80523345425806</v>
      </c>
      <c r="N53" s="44">
        <f t="shared" si="262"/>
        <v>148.50175242192606</v>
      </c>
      <c r="O53" s="45">
        <f t="shared" si="262"/>
        <v>144.6585208683002</v>
      </c>
      <c r="P53" s="44">
        <f t="shared" si="262"/>
        <v>148.27081968772296</v>
      </c>
      <c r="Q53" s="44">
        <f t="shared" si="262"/>
        <v>151.9762406569229</v>
      </c>
      <c r="R53" s="44">
        <f t="shared" si="262"/>
        <v>159.29137400674441</v>
      </c>
      <c r="S53" s="44">
        <f t="shared" si="262"/>
        <v>161.73205071736723</v>
      </c>
      <c r="T53" s="44">
        <f t="shared" si="262"/>
        <v>164.65014662859522</v>
      </c>
      <c r="U53" s="44">
        <f t="shared" si="262"/>
        <v>172.09570443062753</v>
      </c>
      <c r="V53" s="44">
        <f t="shared" si="262"/>
        <v>169.03623337582442</v>
      </c>
      <c r="W53" s="44">
        <f t="shared" si="262"/>
        <v>167.68763738861978</v>
      </c>
      <c r="X53" s="44">
        <f t="shared" si="262"/>
        <v>149.94452711701553</v>
      </c>
      <c r="Y53" s="44">
        <f t="shared" si="262"/>
        <v>150.8952140668415</v>
      </c>
      <c r="Z53" s="44">
        <f t="shared" si="262"/>
        <v>135.43659148236281</v>
      </c>
      <c r="AA53" s="45">
        <f t="shared" si="262"/>
        <v>138.46652650854321</v>
      </c>
      <c r="AB53" s="44">
        <f t="shared" si="262"/>
        <v>139.69028906778865</v>
      </c>
      <c r="AC53" s="44">
        <f t="shared" si="262"/>
        <v>141.61454370041517</v>
      </c>
      <c r="AD53" s="44">
        <f t="shared" si="262"/>
        <v>146.88587006316536</v>
      </c>
      <c r="AE53" s="44">
        <f t="shared" si="262"/>
        <v>148.82668757670186</v>
      </c>
      <c r="AF53" s="44">
        <f t="shared" si="262"/>
        <v>154.36358062989538</v>
      </c>
      <c r="AG53" s="44">
        <f t="shared" si="262"/>
        <v>160.34046992961072</v>
      </c>
      <c r="AH53" s="44">
        <f t="shared" si="262"/>
        <v>170.38830141447531</v>
      </c>
      <c r="AI53" s="44">
        <f t="shared" si="262"/>
        <v>181.87827327044442</v>
      </c>
      <c r="AJ53" s="44">
        <f t="shared" si="262"/>
        <v>176.24996370147227</v>
      </c>
      <c r="AK53" s="44">
        <f t="shared" si="262"/>
        <v>189.45712764722884</v>
      </c>
      <c r="AL53" s="44">
        <f t="shared" si="262"/>
        <v>184.27245650125718</v>
      </c>
      <c r="AM53" s="45">
        <f t="shared" si="262"/>
        <v>198.33793317349372</v>
      </c>
      <c r="AN53" s="44" t="e">
        <f>'Input - ENR'!AN52*AN59/'Input - ENR'!AN58</f>
        <v>#DIV/0!</v>
      </c>
      <c r="AO53" s="44" t="e">
        <f>'Input - ENR'!AO52*AO59/'Input - ENR'!AO58</f>
        <v>#DIV/0!</v>
      </c>
      <c r="AP53" s="44" t="e">
        <f>'Input - ENR'!AP52*AP59/'Input - ENR'!AP58</f>
        <v>#DIV/0!</v>
      </c>
      <c r="AQ53" s="44" t="e">
        <f>'Input - ENR'!AQ52*AQ59/'Input - ENR'!AQ58</f>
        <v>#DIV/0!</v>
      </c>
      <c r="AR53" s="44" t="e">
        <f>'Input - ENR'!AR52*AR59/'Input - ENR'!AR58</f>
        <v>#DIV/0!</v>
      </c>
      <c r="AS53" s="44" t="e">
        <f>'Input - ENR'!AS52*AS59/'Input - ENR'!AS58</f>
        <v>#DIV/0!</v>
      </c>
      <c r="AT53" s="44" t="e">
        <f>'Input - ENR'!AT52*AT59/'Input - ENR'!AT58</f>
        <v>#DIV/0!</v>
      </c>
      <c r="AU53" s="44" t="e">
        <f>'Input - ENR'!AU52*AU59/'Input - ENR'!AU58</f>
        <v>#DIV/0!</v>
      </c>
      <c r="AV53" s="44" t="e">
        <f>'Input - ENR'!AV52*AV59/'Input - ENR'!AV58</f>
        <v>#DIV/0!</v>
      </c>
      <c r="AW53" s="44" t="e">
        <f>'Input - ENR'!AW52*AW59/'Input - ENR'!AW58</f>
        <v>#DIV/0!</v>
      </c>
      <c r="AX53" s="45" t="e">
        <f>'Input - ENR'!AX52*AX59/'Input - ENR'!AX58</f>
        <v>#DIV/0!</v>
      </c>
      <c r="AY53" s="44" t="e">
        <f>'Input - ENR'!AY52*AY59/'Input - ENR'!AY58</f>
        <v>#DIV/0!</v>
      </c>
      <c r="AZ53" s="44" t="e">
        <f>'Input - ENR'!AZ52*AZ59/'Input - ENR'!AZ58</f>
        <v>#DIV/0!</v>
      </c>
      <c r="BA53" s="44" t="e">
        <f>'Input - ENR'!BA52*BA59/'Input - ENR'!BA58</f>
        <v>#DIV/0!</v>
      </c>
      <c r="BB53" s="44" t="e">
        <f>'Input - ENR'!BB52*BB59/'Input - ENR'!BB58</f>
        <v>#DIV/0!</v>
      </c>
      <c r="BC53" s="44" t="e">
        <f>'Input - ENR'!BC52*BC59/'Input - ENR'!BC58</f>
        <v>#DIV/0!</v>
      </c>
      <c r="BD53" s="44" t="e">
        <f>'Input - ENR'!BD52*BD59/'Input - ENR'!BD58</f>
        <v>#DIV/0!</v>
      </c>
      <c r="BE53" s="44" t="e">
        <f>'Input - ENR'!BE52*BE59/'Input - ENR'!BE58</f>
        <v>#DIV/0!</v>
      </c>
      <c r="BF53" s="44" t="e">
        <f>'Input - ENR'!BF52*BF59/'Input - ENR'!BF58</f>
        <v>#DIV/0!</v>
      </c>
      <c r="BG53" s="44" t="e">
        <f>'Input - ENR'!BG52*BG59/'Input - ENR'!BG58</f>
        <v>#DIV/0!</v>
      </c>
      <c r="BH53" s="44" t="e">
        <f>'Input - ENR'!BH52*BH59/'Input - ENR'!BH58</f>
        <v>#DIV/0!</v>
      </c>
      <c r="BI53" s="44" t="e">
        <f>'Input - ENR'!BI52*BI59/'Input - ENR'!BI58</f>
        <v>#DIV/0!</v>
      </c>
      <c r="BJ53" s="45" t="e">
        <f>'Input - ENR'!BJ52*BJ59/'Input - ENR'!BJ58</f>
        <v>#DIV/0!</v>
      </c>
    </row>
    <row r="54" spans="1:62" x14ac:dyDescent="0.35">
      <c r="A54" s="2" t="s">
        <v>193</v>
      </c>
      <c r="B54" s="2" t="s">
        <v>258</v>
      </c>
      <c r="C54" s="249">
        <f t="shared" ref="C54:AM54" si="263">C60+C66+C72</f>
        <v>154.94799721089689</v>
      </c>
      <c r="D54" s="47">
        <f t="shared" si="263"/>
        <v>162.54547232139794</v>
      </c>
      <c r="E54" s="47">
        <f t="shared" si="263"/>
        <v>167.38190400087043</v>
      </c>
      <c r="F54" s="47">
        <f t="shared" si="263"/>
        <v>171.39348256627568</v>
      </c>
      <c r="G54" s="47">
        <f t="shared" si="263"/>
        <v>176.53222467222713</v>
      </c>
      <c r="H54" s="47">
        <f t="shared" si="263"/>
        <v>181.60014866993868</v>
      </c>
      <c r="I54" s="47">
        <f t="shared" si="263"/>
        <v>172.68775245032037</v>
      </c>
      <c r="J54" s="47">
        <f t="shared" si="263"/>
        <v>227.0625944858262</v>
      </c>
      <c r="K54" s="47">
        <f t="shared" si="263"/>
        <v>236.19919366132473</v>
      </c>
      <c r="L54" s="47">
        <f t="shared" si="263"/>
        <v>215.34109650930833</v>
      </c>
      <c r="M54" s="47">
        <f t="shared" si="263"/>
        <v>224.19130532678287</v>
      </c>
      <c r="N54" s="47">
        <f t="shared" si="263"/>
        <v>202.30140102420654</v>
      </c>
      <c r="O54" s="48">
        <f t="shared" si="263"/>
        <v>211.4619260629236</v>
      </c>
      <c r="P54" s="47">
        <f t="shared" si="263"/>
        <v>206.02513657416378</v>
      </c>
      <c r="Q54" s="47">
        <f t="shared" si="263"/>
        <v>211.2138066109186</v>
      </c>
      <c r="R54" s="47">
        <f t="shared" si="263"/>
        <v>216.47804920251789</v>
      </c>
      <c r="S54" s="47">
        <f t="shared" si="263"/>
        <v>223.67135762538175</v>
      </c>
      <c r="T54" s="47">
        <f t="shared" si="263"/>
        <v>231.07013445863021</v>
      </c>
      <c r="U54" s="47">
        <f t="shared" si="263"/>
        <v>239.55451978903682</v>
      </c>
      <c r="V54" s="47">
        <f t="shared" si="263"/>
        <v>237.66045919709296</v>
      </c>
      <c r="W54" s="47">
        <f t="shared" si="263"/>
        <v>239.16855076589232</v>
      </c>
      <c r="X54" s="47">
        <f t="shared" si="263"/>
        <v>210.18013908684617</v>
      </c>
      <c r="Y54" s="47">
        <f t="shared" si="263"/>
        <v>215.18679321700827</v>
      </c>
      <c r="Z54" s="47">
        <f t="shared" si="263"/>
        <v>189.5424391739858</v>
      </c>
      <c r="AA54" s="48">
        <f t="shared" si="263"/>
        <v>196.50026339311387</v>
      </c>
      <c r="AB54" s="47">
        <f t="shared" si="263"/>
        <v>194.22322210966226</v>
      </c>
      <c r="AC54" s="47">
        <f t="shared" si="263"/>
        <v>194.65006395686507</v>
      </c>
      <c r="AD54" s="47">
        <f t="shared" si="263"/>
        <v>196.17480493167963</v>
      </c>
      <c r="AE54" s="47">
        <f t="shared" si="263"/>
        <v>200.30507929686058</v>
      </c>
      <c r="AF54" s="47">
        <f t="shared" si="263"/>
        <v>205.76460321785737</v>
      </c>
      <c r="AG54" s="47">
        <f t="shared" si="263"/>
        <v>204.66262484638725</v>
      </c>
      <c r="AH54" s="47">
        <f t="shared" si="263"/>
        <v>211.26390795476641</v>
      </c>
      <c r="AI54" s="47">
        <f t="shared" si="263"/>
        <v>218.38365817043035</v>
      </c>
      <c r="AJ54" s="47">
        <f t="shared" si="263"/>
        <v>203.76294375906593</v>
      </c>
      <c r="AK54" s="47">
        <f t="shared" si="263"/>
        <v>211.56158769515307</v>
      </c>
      <c r="AL54" s="47">
        <f t="shared" si="263"/>
        <v>196.93097821184344</v>
      </c>
      <c r="AM54" s="48">
        <f t="shared" si="263"/>
        <v>202.84065388299621</v>
      </c>
      <c r="AN54" s="47" t="e">
        <f>'Input - ENR'!AN53*AN60/'Input - ENR'!AN59</f>
        <v>#DIV/0!</v>
      </c>
      <c r="AO54" s="47" t="e">
        <f>'Input - ENR'!AO53*AO60/'Input - ENR'!AO59</f>
        <v>#DIV/0!</v>
      </c>
      <c r="AP54" s="47" t="e">
        <f>'Input - ENR'!AP53*AP60/'Input - ENR'!AP59</f>
        <v>#DIV/0!</v>
      </c>
      <c r="AQ54" s="47" t="e">
        <f>'Input - ENR'!AQ53*AQ60/'Input - ENR'!AQ59</f>
        <v>#DIV/0!</v>
      </c>
      <c r="AR54" s="47" t="e">
        <f>'Input - ENR'!AR53*AR60/'Input - ENR'!AR59</f>
        <v>#DIV/0!</v>
      </c>
      <c r="AS54" s="47" t="e">
        <f>'Input - ENR'!AS53*AS60/'Input - ENR'!AS59</f>
        <v>#DIV/0!</v>
      </c>
      <c r="AT54" s="47" t="e">
        <f>'Input - ENR'!AT53*AT60/'Input - ENR'!AT59</f>
        <v>#DIV/0!</v>
      </c>
      <c r="AU54" s="47" t="e">
        <f>'Input - ENR'!AU53*AU60/'Input - ENR'!AU59</f>
        <v>#DIV/0!</v>
      </c>
      <c r="AV54" s="47" t="e">
        <f>'Input - ENR'!AV53*AV60/'Input - ENR'!AV59</f>
        <v>#DIV/0!</v>
      </c>
      <c r="AW54" s="47" t="e">
        <f>'Input - ENR'!AW53*AW60/'Input - ENR'!AW59</f>
        <v>#DIV/0!</v>
      </c>
      <c r="AX54" s="48" t="e">
        <f>'Input - ENR'!AX53*AX60/'Input - ENR'!AX59</f>
        <v>#DIV/0!</v>
      </c>
      <c r="AY54" s="47" t="e">
        <f>'Input - ENR'!AY53*AY60/'Input - ENR'!AY59</f>
        <v>#DIV/0!</v>
      </c>
      <c r="AZ54" s="47" t="e">
        <f>'Input - ENR'!AZ53*AZ60/'Input - ENR'!AZ59</f>
        <v>#DIV/0!</v>
      </c>
      <c r="BA54" s="47" t="e">
        <f>'Input - ENR'!BA53*BA60/'Input - ENR'!BA59</f>
        <v>#DIV/0!</v>
      </c>
      <c r="BB54" s="47" t="e">
        <f>'Input - ENR'!BB53*BB60/'Input - ENR'!BB59</f>
        <v>#DIV/0!</v>
      </c>
      <c r="BC54" s="47" t="e">
        <f>'Input - ENR'!BC53*BC60/'Input - ENR'!BC59</f>
        <v>#DIV/0!</v>
      </c>
      <c r="BD54" s="47" t="e">
        <f>'Input - ENR'!BD53*BD60/'Input - ENR'!BD59</f>
        <v>#DIV/0!</v>
      </c>
      <c r="BE54" s="47" t="e">
        <f>'Input - ENR'!BE53*BE60/'Input - ENR'!BE59</f>
        <v>#DIV/0!</v>
      </c>
      <c r="BF54" s="47" t="e">
        <f>'Input - ENR'!BF53*BF60/'Input - ENR'!BF59</f>
        <v>#DIV/0!</v>
      </c>
      <c r="BG54" s="47" t="e">
        <f>'Input - ENR'!BG53*BG60/'Input - ENR'!BG59</f>
        <v>#DIV/0!</v>
      </c>
      <c r="BH54" s="47" t="e">
        <f>'Input - ENR'!BH53*BH60/'Input - ENR'!BH59</f>
        <v>#DIV/0!</v>
      </c>
      <c r="BI54" s="47" t="e">
        <f>'Input - ENR'!BI53*BI60/'Input - ENR'!BI59</f>
        <v>#DIV/0!</v>
      </c>
      <c r="BJ54" s="48" t="e">
        <f>'Input - ENR'!BJ53*BJ60/'Input - ENR'!BJ59</f>
        <v>#DIV/0!</v>
      </c>
    </row>
    <row r="55" spans="1:62" x14ac:dyDescent="0.35">
      <c r="A55" s="3" t="s">
        <v>193</v>
      </c>
      <c r="B55" s="3" t="s">
        <v>259</v>
      </c>
      <c r="C55" s="250">
        <f t="shared" ref="C55:AM55" si="264">C61+C67+C73</f>
        <v>320.97816995295557</v>
      </c>
      <c r="D55" s="50">
        <f t="shared" si="264"/>
        <v>337.84656861434337</v>
      </c>
      <c r="E55" s="50">
        <f t="shared" si="264"/>
        <v>351.26890809338533</v>
      </c>
      <c r="F55" s="50">
        <f t="shared" si="264"/>
        <v>367.5255443878608</v>
      </c>
      <c r="G55" s="50">
        <f t="shared" si="264"/>
        <v>380.25268339667105</v>
      </c>
      <c r="H55" s="50">
        <f t="shared" si="264"/>
        <v>395.04847018315718</v>
      </c>
      <c r="I55" s="50">
        <f t="shared" si="264"/>
        <v>381.34275703539072</v>
      </c>
      <c r="J55" s="50">
        <f t="shared" si="264"/>
        <v>400.40620038627617</v>
      </c>
      <c r="K55" s="50">
        <f t="shared" si="264"/>
        <v>415.05681578724807</v>
      </c>
      <c r="L55" s="50">
        <f t="shared" si="264"/>
        <v>389.81554045898105</v>
      </c>
      <c r="M55" s="50">
        <f t="shared" si="264"/>
        <v>410.36126958774787</v>
      </c>
      <c r="N55" s="50">
        <f t="shared" si="264"/>
        <v>381.67557412143742</v>
      </c>
      <c r="O55" s="51">
        <f t="shared" si="264"/>
        <v>398.07003295118102</v>
      </c>
      <c r="P55" s="50">
        <f t="shared" si="264"/>
        <v>399.0430975759171</v>
      </c>
      <c r="Q55" s="50">
        <f t="shared" si="264"/>
        <v>418.75222689294446</v>
      </c>
      <c r="R55" s="50">
        <f t="shared" si="264"/>
        <v>440.83163635981322</v>
      </c>
      <c r="S55" s="50">
        <f t="shared" si="264"/>
        <v>464.8967943021338</v>
      </c>
      <c r="T55" s="50">
        <f t="shared" si="264"/>
        <v>490.04300831138943</v>
      </c>
      <c r="U55" s="50">
        <f t="shared" si="264"/>
        <v>515.65235816268091</v>
      </c>
      <c r="V55" s="50">
        <f t="shared" si="264"/>
        <v>509.68935990457288</v>
      </c>
      <c r="W55" s="50">
        <f t="shared" si="264"/>
        <v>504.71259216436817</v>
      </c>
      <c r="X55" s="50">
        <f t="shared" si="264"/>
        <v>438.48588988558038</v>
      </c>
      <c r="Y55" s="50">
        <f t="shared" si="264"/>
        <v>440.35845115191637</v>
      </c>
      <c r="Z55" s="50">
        <f t="shared" si="264"/>
        <v>383.68166279362742</v>
      </c>
      <c r="AA55" s="51">
        <f t="shared" si="264"/>
        <v>390.52543615852142</v>
      </c>
      <c r="AB55" s="50">
        <f t="shared" si="264"/>
        <v>385.92506784059219</v>
      </c>
      <c r="AC55" s="50">
        <f t="shared" si="264"/>
        <v>383.66663645779096</v>
      </c>
      <c r="AD55" s="50">
        <f t="shared" si="264"/>
        <v>382.71397157956318</v>
      </c>
      <c r="AE55" s="50">
        <f t="shared" si="264"/>
        <v>383.19602196305368</v>
      </c>
      <c r="AF55" s="50">
        <f t="shared" si="264"/>
        <v>385.49988300172254</v>
      </c>
      <c r="AG55" s="50">
        <f t="shared" si="264"/>
        <v>375.52904808742267</v>
      </c>
      <c r="AH55" s="50">
        <f t="shared" si="264"/>
        <v>380.03678034542605</v>
      </c>
      <c r="AI55" s="50">
        <f t="shared" si="264"/>
        <v>385.21940841650593</v>
      </c>
      <c r="AJ55" s="50">
        <f t="shared" si="264"/>
        <v>353.96163747428801</v>
      </c>
      <c r="AK55" s="50">
        <f t="shared" si="264"/>
        <v>358.89137687563863</v>
      </c>
      <c r="AL55" s="50">
        <f t="shared" si="264"/>
        <v>328.69815252740653</v>
      </c>
      <c r="AM55" s="51">
        <f t="shared" si="264"/>
        <v>330.90890992921265</v>
      </c>
      <c r="AN55" s="50">
        <f>IFERROR('Input - ENR'!AN66*AN61/'Input - ENR'!AN60,0)</f>
        <v>0</v>
      </c>
      <c r="AO55" s="50">
        <f>IFERROR('Input - ENR'!AO66*AO61/'Input - ENR'!AO60,0)</f>
        <v>0</v>
      </c>
      <c r="AP55" s="50">
        <f>IFERROR('Input - ENR'!AP66*AP61/'Input - ENR'!AP60,0)</f>
        <v>0</v>
      </c>
      <c r="AQ55" s="50">
        <f>IFERROR('Input - ENR'!AQ66*AQ61/'Input - ENR'!AQ60,0)</f>
        <v>0</v>
      </c>
      <c r="AR55" s="50">
        <f>IFERROR('Input - ENR'!AR66*AR61/'Input - ENR'!AR60,0)</f>
        <v>0</v>
      </c>
      <c r="AS55" s="50">
        <f>IFERROR('Input - ENR'!AS66*AS61/'Input - ENR'!AS60,0)</f>
        <v>0</v>
      </c>
      <c r="AT55" s="50">
        <f>IFERROR('Input - ENR'!AT66*AT61/'Input - ENR'!AT60,0)</f>
        <v>0</v>
      </c>
      <c r="AU55" s="50">
        <f>IFERROR('Input - ENR'!AU66*AU61/'Input - ENR'!AU60,0)</f>
        <v>0</v>
      </c>
      <c r="AV55" s="50">
        <f>IFERROR('Input - ENR'!AV66*AV61/'Input - ENR'!AV60,0)</f>
        <v>0</v>
      </c>
      <c r="AW55" s="50">
        <f>IFERROR('Input - ENR'!AW66*AW61/'Input - ENR'!AW60,0)</f>
        <v>0</v>
      </c>
      <c r="AX55" s="51">
        <f>IFERROR('Input - ENR'!AX66*AX61/'Input - ENR'!AX60,0)</f>
        <v>0</v>
      </c>
      <c r="AY55" s="50">
        <f>IFERROR('Input - ENR'!AY66*AY61/'Input - ENR'!AY60,0)</f>
        <v>0</v>
      </c>
      <c r="AZ55" s="50">
        <f>IFERROR('Input - ENR'!AZ66*AZ61/'Input - ENR'!AZ60,0)</f>
        <v>0</v>
      </c>
      <c r="BA55" s="50">
        <f>IFERROR('Input - ENR'!BA66*BA61/'Input - ENR'!BA60,0)</f>
        <v>0</v>
      </c>
      <c r="BB55" s="50">
        <f>IFERROR('Input - ENR'!BB66*BB61/'Input - ENR'!BB60,0)</f>
        <v>0</v>
      </c>
      <c r="BC55" s="50">
        <f>IFERROR('Input - ENR'!BC66*BC61/'Input - ENR'!BC60,0)</f>
        <v>0</v>
      </c>
      <c r="BD55" s="50">
        <f>IFERROR('Input - ENR'!BD66*BD61/'Input - ENR'!BD60,0)</f>
        <v>0</v>
      </c>
      <c r="BE55" s="50">
        <f>IFERROR('Input - ENR'!BE66*BE61/'Input - ENR'!BE60,0)</f>
        <v>0</v>
      </c>
      <c r="BF55" s="50">
        <f>IFERROR('Input - ENR'!BF66*BF61/'Input - ENR'!BF60,0)</f>
        <v>0</v>
      </c>
      <c r="BG55" s="50">
        <f>IFERROR('Input - ENR'!BG66*BG61/'Input - ENR'!BG60,0)</f>
        <v>0</v>
      </c>
      <c r="BH55" s="50">
        <f>IFERROR('Input - ENR'!BH66*BH61/'Input - ENR'!BH60,0)</f>
        <v>0</v>
      </c>
      <c r="BI55" s="50">
        <f>IFERROR('Input - ENR'!BI66*BI61/'Input - ENR'!BI60,0)</f>
        <v>0</v>
      </c>
      <c r="BJ55" s="51">
        <f>IFERROR('Input - ENR'!BJ66*BJ61/'Input - ENR'!BJ60,0)</f>
        <v>0</v>
      </c>
    </row>
    <row r="57" spans="1:62" hidden="1" outlineLevel="1" x14ac:dyDescent="0.35">
      <c r="A57" s="25" t="s">
        <v>196</v>
      </c>
      <c r="B57" s="4" t="s">
        <v>3</v>
      </c>
      <c r="C57" s="19">
        <f>$C$3</f>
        <v>45352</v>
      </c>
      <c r="D57" s="20">
        <f>EDATE(C57,1)</f>
        <v>45383</v>
      </c>
      <c r="E57" s="20">
        <f>EDATE(D57,1)</f>
        <v>45413</v>
      </c>
      <c r="F57" s="20">
        <f>EDATE(E57,1)</f>
        <v>45444</v>
      </c>
      <c r="G57" s="20">
        <f t="shared" ref="G57" si="265">EDATE(F57,1)</f>
        <v>45474</v>
      </c>
      <c r="H57" s="20">
        <f t="shared" ref="H57" si="266">EDATE(G57,1)</f>
        <v>45505</v>
      </c>
      <c r="I57" s="20">
        <f t="shared" ref="I57" si="267">EDATE(H57,1)</f>
        <v>45536</v>
      </c>
      <c r="J57" s="20">
        <f t="shared" ref="J57" si="268">EDATE(I57,1)</f>
        <v>45566</v>
      </c>
      <c r="K57" s="20">
        <f t="shared" ref="K57" si="269">EDATE(J57,1)</f>
        <v>45597</v>
      </c>
      <c r="L57" s="20">
        <f t="shared" ref="L57" si="270">EDATE(K57,1)</f>
        <v>45627</v>
      </c>
      <c r="M57" s="20">
        <f t="shared" ref="M57" si="271">EDATE(L57,1)</f>
        <v>45658</v>
      </c>
      <c r="N57" s="20">
        <f t="shared" ref="N57" si="272">EDATE(M57,1)</f>
        <v>45689</v>
      </c>
      <c r="O57" s="21">
        <f t="shared" ref="O57" si="273">EDATE(N57,1)</f>
        <v>45717</v>
      </c>
      <c r="P57" s="20">
        <f t="shared" ref="P57" si="274">EDATE(O57,1)</f>
        <v>45748</v>
      </c>
      <c r="Q57" s="20">
        <f t="shared" ref="Q57" si="275">EDATE(P57,1)</f>
        <v>45778</v>
      </c>
      <c r="R57" s="20">
        <f t="shared" ref="R57" si="276">EDATE(Q57,1)</f>
        <v>45809</v>
      </c>
      <c r="S57" s="20">
        <f t="shared" ref="S57" si="277">EDATE(R57,1)</f>
        <v>45839</v>
      </c>
      <c r="T57" s="20">
        <f t="shared" ref="T57" si="278">EDATE(S57,1)</f>
        <v>45870</v>
      </c>
      <c r="U57" s="20">
        <f t="shared" ref="U57" si="279">EDATE(T57,1)</f>
        <v>45901</v>
      </c>
      <c r="V57" s="20">
        <f t="shared" ref="V57" si="280">EDATE(U57,1)</f>
        <v>45931</v>
      </c>
      <c r="W57" s="20">
        <f t="shared" ref="W57" si="281">EDATE(V57,1)</f>
        <v>45962</v>
      </c>
      <c r="X57" s="20">
        <f t="shared" ref="X57" si="282">EDATE(W57,1)</f>
        <v>45992</v>
      </c>
      <c r="Y57" s="20">
        <f t="shared" ref="Y57" si="283">EDATE(X57,1)</f>
        <v>46023</v>
      </c>
      <c r="Z57" s="20">
        <f t="shared" ref="Z57" si="284">EDATE(Y57,1)</f>
        <v>46054</v>
      </c>
      <c r="AA57" s="21">
        <f t="shared" ref="AA57" si="285">EDATE(Z57,1)</f>
        <v>46082</v>
      </c>
      <c r="AB57" s="20">
        <f t="shared" ref="AB57" si="286">EDATE(AA57,1)</f>
        <v>46113</v>
      </c>
      <c r="AC57" s="20">
        <f t="shared" ref="AC57" si="287">EDATE(AB57,1)</f>
        <v>46143</v>
      </c>
      <c r="AD57" s="20">
        <f t="shared" ref="AD57" si="288">EDATE(AC57,1)</f>
        <v>46174</v>
      </c>
      <c r="AE57" s="20">
        <f t="shared" ref="AE57" si="289">EDATE(AD57,1)</f>
        <v>46204</v>
      </c>
      <c r="AF57" s="20">
        <f t="shared" ref="AF57" si="290">EDATE(AE57,1)</f>
        <v>46235</v>
      </c>
      <c r="AG57" s="20">
        <f t="shared" ref="AG57" si="291">EDATE(AF57,1)</f>
        <v>46266</v>
      </c>
      <c r="AH57" s="20">
        <f t="shared" ref="AH57" si="292">EDATE(AG57,1)</f>
        <v>46296</v>
      </c>
      <c r="AI57" s="20">
        <f t="shared" ref="AI57" si="293">EDATE(AH57,1)</f>
        <v>46327</v>
      </c>
      <c r="AJ57" s="20">
        <f t="shared" ref="AJ57" si="294">EDATE(AI57,1)</f>
        <v>46357</v>
      </c>
      <c r="AK57" s="20">
        <f t="shared" ref="AK57" si="295">EDATE(AJ57,1)</f>
        <v>46388</v>
      </c>
      <c r="AL57" s="20">
        <f t="shared" ref="AL57" si="296">EDATE(AK57,1)</f>
        <v>46419</v>
      </c>
      <c r="AM57" s="21">
        <f t="shared" ref="AM57" si="297">EDATE(AL57,1)</f>
        <v>46447</v>
      </c>
      <c r="AN57" s="20">
        <f t="shared" ref="AN57" si="298">EDATE(AM57,1)</f>
        <v>46478</v>
      </c>
      <c r="AO57" s="20">
        <f t="shared" ref="AO57" si="299">EDATE(AN57,1)</f>
        <v>46508</v>
      </c>
      <c r="AP57" s="20">
        <f t="shared" ref="AP57" si="300">EDATE(AO57,1)</f>
        <v>46539</v>
      </c>
      <c r="AQ57" s="20">
        <f t="shared" ref="AQ57" si="301">EDATE(AP57,1)</f>
        <v>46569</v>
      </c>
      <c r="AR57" s="20">
        <f t="shared" ref="AR57" si="302">EDATE(AQ57,1)</f>
        <v>46600</v>
      </c>
      <c r="AS57" s="20">
        <f t="shared" ref="AS57" si="303">EDATE(AR57,1)</f>
        <v>46631</v>
      </c>
      <c r="AT57" s="20">
        <f t="shared" ref="AT57" si="304">EDATE(AS57,1)</f>
        <v>46661</v>
      </c>
      <c r="AU57" s="20">
        <f t="shared" ref="AU57" si="305">EDATE(AT57,1)</f>
        <v>46692</v>
      </c>
      <c r="AV57" s="20">
        <f t="shared" ref="AV57" si="306">EDATE(AU57,1)</f>
        <v>46722</v>
      </c>
      <c r="AW57" s="20">
        <f t="shared" ref="AW57" si="307">EDATE(AV57,1)</f>
        <v>46753</v>
      </c>
      <c r="AX57" s="21">
        <f t="shared" ref="AX57" si="308">EDATE(AW57,1)</f>
        <v>46784</v>
      </c>
      <c r="AY57" s="20">
        <f t="shared" ref="AY57" si="309">EDATE(AX57,1)</f>
        <v>46813</v>
      </c>
      <c r="AZ57" s="20">
        <f t="shared" ref="AZ57" si="310">EDATE(AY57,1)</f>
        <v>46844</v>
      </c>
      <c r="BA57" s="20">
        <f t="shared" ref="BA57" si="311">EDATE(AZ57,1)</f>
        <v>46874</v>
      </c>
      <c r="BB57" s="20">
        <f t="shared" ref="BB57" si="312">EDATE(BA57,1)</f>
        <v>46905</v>
      </c>
      <c r="BC57" s="20">
        <f t="shared" ref="BC57" si="313">EDATE(BB57,1)</f>
        <v>46935</v>
      </c>
      <c r="BD57" s="20">
        <f t="shared" ref="BD57" si="314">EDATE(BC57,1)</f>
        <v>46966</v>
      </c>
      <c r="BE57" s="20">
        <f t="shared" ref="BE57" si="315">EDATE(BD57,1)</f>
        <v>46997</v>
      </c>
      <c r="BF57" s="20">
        <f t="shared" ref="BF57" si="316">EDATE(BE57,1)</f>
        <v>47027</v>
      </c>
      <c r="BG57" s="20">
        <f t="shared" ref="BG57" si="317">EDATE(BF57,1)</f>
        <v>47058</v>
      </c>
      <c r="BH57" s="20">
        <f t="shared" ref="BH57" si="318">EDATE(BG57,1)</f>
        <v>47088</v>
      </c>
      <c r="BI57" s="20">
        <f t="shared" ref="BI57" si="319">EDATE(BH57,1)</f>
        <v>47119</v>
      </c>
      <c r="BJ57" s="21">
        <f t="shared" ref="BJ57" si="320">EDATE(BI57,1)</f>
        <v>47150</v>
      </c>
    </row>
    <row r="58" spans="1:62" hidden="1" outlineLevel="1" x14ac:dyDescent="0.35">
      <c r="A58" s="15" t="s">
        <v>196</v>
      </c>
      <c r="B58" s="15" t="s">
        <v>158</v>
      </c>
      <c r="C58" s="16">
        <f>SUM(C59:C61)</f>
        <v>498.84429181541651</v>
      </c>
      <c r="D58" s="17">
        <f t="shared" ref="D58:BJ58" si="321">SUM(D59:D61)</f>
        <v>530.12258971938286</v>
      </c>
      <c r="E58" s="17">
        <f t="shared" si="321"/>
        <v>554.01645569888797</v>
      </c>
      <c r="F58" s="17">
        <f t="shared" si="321"/>
        <v>583.57686479643098</v>
      </c>
      <c r="G58" s="17">
        <f t="shared" si="321"/>
        <v>612.44969962609707</v>
      </c>
      <c r="H58" s="17">
        <f t="shared" si="321"/>
        <v>638.52562212087162</v>
      </c>
      <c r="I58" s="17">
        <f t="shared" si="321"/>
        <v>614.54411975156563</v>
      </c>
      <c r="J58" s="17">
        <f t="shared" si="321"/>
        <v>641.7775488221439</v>
      </c>
      <c r="K58" s="17">
        <f t="shared" si="321"/>
        <v>672.20466905397029</v>
      </c>
      <c r="L58" s="17">
        <f t="shared" si="321"/>
        <v>619.17776838713394</v>
      </c>
      <c r="M58" s="17">
        <f t="shared" si="321"/>
        <v>648.51641618733061</v>
      </c>
      <c r="N58" s="17">
        <f t="shared" si="321"/>
        <v>590.58115157650172</v>
      </c>
      <c r="O58" s="18">
        <f t="shared" si="321"/>
        <v>610.73068192645303</v>
      </c>
      <c r="P58" s="17">
        <f t="shared" si="321"/>
        <v>640.89817097287096</v>
      </c>
      <c r="Q58" s="17">
        <f t="shared" si="321"/>
        <v>672.57223493949755</v>
      </c>
      <c r="R58" s="17">
        <f t="shared" si="321"/>
        <v>708.20317482346297</v>
      </c>
      <c r="S58" s="17">
        <f t="shared" si="321"/>
        <v>740.85635959860861</v>
      </c>
      <c r="T58" s="17">
        <f t="shared" si="321"/>
        <v>775.19620138957623</v>
      </c>
      <c r="U58" s="17">
        <f t="shared" si="321"/>
        <v>815.00921151498289</v>
      </c>
      <c r="V58" s="17">
        <f t="shared" si="321"/>
        <v>804.52476137659437</v>
      </c>
      <c r="W58" s="17">
        <f t="shared" si="321"/>
        <v>800.11293387381306</v>
      </c>
      <c r="X58" s="17">
        <f t="shared" si="321"/>
        <v>696.87726635008812</v>
      </c>
      <c r="Y58" s="17">
        <f t="shared" si="321"/>
        <v>703.99771048014054</v>
      </c>
      <c r="Z58" s="17">
        <f t="shared" si="321"/>
        <v>615.09918509328054</v>
      </c>
      <c r="AA58" s="18">
        <f t="shared" si="321"/>
        <v>631.41865997863567</v>
      </c>
      <c r="AB58" s="17">
        <f t="shared" si="321"/>
        <v>628.60694306207381</v>
      </c>
      <c r="AC58" s="17">
        <f t="shared" si="321"/>
        <v>629.92777356926126</v>
      </c>
      <c r="AD58" s="17">
        <f t="shared" si="321"/>
        <v>636.60057027986818</v>
      </c>
      <c r="AE58" s="17">
        <f t="shared" si="321"/>
        <v>642.32187009416793</v>
      </c>
      <c r="AF58" s="17">
        <f t="shared" si="321"/>
        <v>654.49506556786582</v>
      </c>
      <c r="AG58" s="17">
        <f t="shared" si="321"/>
        <v>649.8681809633581</v>
      </c>
      <c r="AH58" s="17">
        <f t="shared" si="321"/>
        <v>669.01303304731471</v>
      </c>
      <c r="AI58" s="17">
        <f t="shared" si="321"/>
        <v>690.85794619193234</v>
      </c>
      <c r="AJ58" s="17">
        <f t="shared" si="321"/>
        <v>643.08789863433083</v>
      </c>
      <c r="AK58" s="17">
        <f t="shared" si="321"/>
        <v>666.72673798186781</v>
      </c>
      <c r="AL58" s="17">
        <f t="shared" si="321"/>
        <v>620.85052172152905</v>
      </c>
      <c r="AM58" s="18">
        <f t="shared" si="321"/>
        <v>641.88581863552156</v>
      </c>
      <c r="AN58" s="17">
        <f t="shared" si="321"/>
        <v>0</v>
      </c>
      <c r="AO58" s="17">
        <f t="shared" si="321"/>
        <v>0</v>
      </c>
      <c r="AP58" s="17">
        <f t="shared" si="321"/>
        <v>0</v>
      </c>
      <c r="AQ58" s="17">
        <f t="shared" si="321"/>
        <v>0</v>
      </c>
      <c r="AR58" s="17">
        <f t="shared" si="321"/>
        <v>0</v>
      </c>
      <c r="AS58" s="17">
        <f t="shared" si="321"/>
        <v>0</v>
      </c>
      <c r="AT58" s="17">
        <f t="shared" si="321"/>
        <v>0</v>
      </c>
      <c r="AU58" s="17">
        <f t="shared" si="321"/>
        <v>0</v>
      </c>
      <c r="AV58" s="17">
        <f t="shared" si="321"/>
        <v>0</v>
      </c>
      <c r="AW58" s="17">
        <f t="shared" si="321"/>
        <v>0</v>
      </c>
      <c r="AX58" s="18">
        <f t="shared" si="321"/>
        <v>0</v>
      </c>
      <c r="AY58" s="17">
        <f t="shared" si="321"/>
        <v>0</v>
      </c>
      <c r="AZ58" s="17">
        <f t="shared" si="321"/>
        <v>0</v>
      </c>
      <c r="BA58" s="17">
        <f t="shared" si="321"/>
        <v>0</v>
      </c>
      <c r="BB58" s="17">
        <f t="shared" si="321"/>
        <v>0</v>
      </c>
      <c r="BC58" s="17">
        <f t="shared" si="321"/>
        <v>0</v>
      </c>
      <c r="BD58" s="17">
        <f t="shared" si="321"/>
        <v>0</v>
      </c>
      <c r="BE58" s="17">
        <f t="shared" si="321"/>
        <v>0</v>
      </c>
      <c r="BF58" s="17">
        <f t="shared" si="321"/>
        <v>0</v>
      </c>
      <c r="BG58" s="17">
        <f t="shared" si="321"/>
        <v>0</v>
      </c>
      <c r="BH58" s="17">
        <f t="shared" si="321"/>
        <v>0</v>
      </c>
      <c r="BI58" s="17">
        <f t="shared" si="321"/>
        <v>0</v>
      </c>
      <c r="BJ58" s="18">
        <f t="shared" si="321"/>
        <v>0</v>
      </c>
    </row>
    <row r="59" spans="1:62" hidden="1" outlineLevel="1" x14ac:dyDescent="0.35">
      <c r="A59" s="1" t="s">
        <v>196</v>
      </c>
      <c r="B59" s="1" t="s">
        <v>257</v>
      </c>
      <c r="C59" s="52">
        <f>'Calculation - Stagewise ECL'!C44</f>
        <v>138.70310586465837</v>
      </c>
      <c r="D59" s="53">
        <f>'Calculation - Stagewise ECL'!D44</f>
        <v>143.92544146346128</v>
      </c>
      <c r="E59" s="53">
        <f>'Calculation - Stagewise ECL'!E44</f>
        <v>146.79617395804959</v>
      </c>
      <c r="F59" s="53">
        <f>'Calculation - Stagewise ECL'!F44</f>
        <v>154.74335120955587</v>
      </c>
      <c r="G59" s="53">
        <f>'Calculation - Stagewise ECL'!G44</f>
        <v>161.54213126436338</v>
      </c>
      <c r="H59" s="53">
        <f>'Calculation - Stagewise ECL'!H44</f>
        <v>164.54413314871982</v>
      </c>
      <c r="I59" s="53">
        <f>'Calculation - Stagewise ECL'!I44</f>
        <v>158.56929367746798</v>
      </c>
      <c r="J59" s="53">
        <f>'Calculation - Stagewise ECL'!J44</f>
        <v>160.02294675557215</v>
      </c>
      <c r="K59" s="53">
        <f>'Calculation - Stagewise ECL'!K44</f>
        <v>162.59109574572938</v>
      </c>
      <c r="L59" s="53">
        <f>'Calculation - Stagewise ECL'!L44</f>
        <v>150.22861811353357</v>
      </c>
      <c r="M59" s="53">
        <f>'Calculation - Stagewise ECL'!M44</f>
        <v>152.24177030546682</v>
      </c>
      <c r="N59" s="53">
        <f>'Calculation - Stagewise ECL'!N44</f>
        <v>138.93828927313481</v>
      </c>
      <c r="O59" s="54">
        <f>'Calculation - Stagewise ECL'!O44</f>
        <v>135.09505771950896</v>
      </c>
      <c r="P59" s="53">
        <f>'Calculation - Stagewise ECL'!P44</f>
        <v>138.70735653893172</v>
      </c>
      <c r="Q59" s="53">
        <f>'Calculation - Stagewise ECL'!Q44</f>
        <v>142.41277750813165</v>
      </c>
      <c r="R59" s="53">
        <f>'Calculation - Stagewise ECL'!R44</f>
        <v>149.72791085795316</v>
      </c>
      <c r="S59" s="53">
        <f>'Calculation - Stagewise ECL'!S44</f>
        <v>152.16858756857599</v>
      </c>
      <c r="T59" s="53">
        <f>'Calculation - Stagewise ECL'!T44</f>
        <v>155.08668347980398</v>
      </c>
      <c r="U59" s="53">
        <f>'Calculation - Stagewise ECL'!U44</f>
        <v>162.53224128183629</v>
      </c>
      <c r="V59" s="53">
        <f>'Calculation - Stagewise ECL'!V44</f>
        <v>159.47277022703318</v>
      </c>
      <c r="W59" s="53">
        <f>'Calculation - Stagewise ECL'!W44</f>
        <v>158.12417423982853</v>
      </c>
      <c r="X59" s="53">
        <f>'Calculation - Stagewise ECL'!X44</f>
        <v>140.38106396822428</v>
      </c>
      <c r="Y59" s="53">
        <f>'Calculation - Stagewise ECL'!Y44</f>
        <v>141.33175091805026</v>
      </c>
      <c r="Z59" s="53">
        <f>'Calculation - Stagewise ECL'!Z44</f>
        <v>125.87312833357156</v>
      </c>
      <c r="AA59" s="54">
        <f>'Calculation - Stagewise ECL'!AA44</f>
        <v>128.90306335975197</v>
      </c>
      <c r="AB59" s="53">
        <f>'Calculation - Stagewise ECL'!AB44</f>
        <v>130.12682591899741</v>
      </c>
      <c r="AC59" s="53">
        <f>'Calculation - Stagewise ECL'!AC44</f>
        <v>132.05108055162393</v>
      </c>
      <c r="AD59" s="53">
        <f>'Calculation - Stagewise ECL'!AD44</f>
        <v>137.32240691437411</v>
      </c>
      <c r="AE59" s="53">
        <f>'Calculation - Stagewise ECL'!AE44</f>
        <v>139.26322442791061</v>
      </c>
      <c r="AF59" s="53">
        <f>'Calculation - Stagewise ECL'!AF44</f>
        <v>144.80011748110414</v>
      </c>
      <c r="AG59" s="53">
        <f>'Calculation - Stagewise ECL'!AG44</f>
        <v>150.77700678081948</v>
      </c>
      <c r="AH59" s="53">
        <f>'Calculation - Stagewise ECL'!AH44</f>
        <v>160.82483826568406</v>
      </c>
      <c r="AI59" s="53">
        <f>'Calculation - Stagewise ECL'!AI44</f>
        <v>172.31481012165318</v>
      </c>
      <c r="AJ59" s="53">
        <f>'Calculation - Stagewise ECL'!AJ44</f>
        <v>166.68650055268103</v>
      </c>
      <c r="AK59" s="53">
        <f>'Calculation - Stagewise ECL'!AK44</f>
        <v>179.8936644984376</v>
      </c>
      <c r="AL59" s="53">
        <f>'Calculation - Stagewise ECL'!AL44</f>
        <v>174.70899335246594</v>
      </c>
      <c r="AM59" s="54">
        <f>'Calculation - Stagewise ECL'!AM44</f>
        <v>188.77447002470248</v>
      </c>
      <c r="AN59" s="53">
        <f>'Plan - CoC'!AN52-'Plan - CoC'!AN58</f>
        <v>0</v>
      </c>
      <c r="AO59" s="53">
        <f>'Plan - CoC'!AO52-'Plan - CoC'!AO58</f>
        <v>0</v>
      </c>
      <c r="AP59" s="53">
        <f>'Plan - CoC'!AP52-'Plan - CoC'!AP58</f>
        <v>0</v>
      </c>
      <c r="AQ59" s="53">
        <f>'Plan - CoC'!AQ52-'Plan - CoC'!AQ58</f>
        <v>0</v>
      </c>
      <c r="AR59" s="53">
        <f>'Plan - CoC'!AR52-'Plan - CoC'!AR58</f>
        <v>0</v>
      </c>
      <c r="AS59" s="53">
        <f>'Plan - CoC'!AS52-'Plan - CoC'!AS58</f>
        <v>0</v>
      </c>
      <c r="AT59" s="53">
        <f>'Plan - CoC'!AT52-'Plan - CoC'!AT58</f>
        <v>0</v>
      </c>
      <c r="AU59" s="53">
        <f>'Plan - CoC'!AU52-'Plan - CoC'!AU58</f>
        <v>0</v>
      </c>
      <c r="AV59" s="53">
        <f>'Plan - CoC'!AV52-'Plan - CoC'!AV58</f>
        <v>0</v>
      </c>
      <c r="AW59" s="53">
        <f>'Plan - CoC'!AW52-'Plan - CoC'!AW58</f>
        <v>0</v>
      </c>
      <c r="AX59" s="54">
        <f>'Plan - CoC'!AX52-'Plan - CoC'!AX58</f>
        <v>0</v>
      </c>
      <c r="AY59" s="53">
        <f>'Plan - CoC'!AY52-'Plan - CoC'!AY58</f>
        <v>0</v>
      </c>
      <c r="AZ59" s="53">
        <f>'Plan - CoC'!AZ52-'Plan - CoC'!AZ58</f>
        <v>0</v>
      </c>
      <c r="BA59" s="53">
        <f>'Plan - CoC'!BA52-'Plan - CoC'!BA58</f>
        <v>0</v>
      </c>
      <c r="BB59" s="53">
        <f>'Plan - CoC'!BB52-'Plan - CoC'!BB58</f>
        <v>0</v>
      </c>
      <c r="BC59" s="53">
        <f>'Plan - CoC'!BC52-'Plan - CoC'!BC58</f>
        <v>0</v>
      </c>
      <c r="BD59" s="53">
        <f>'Plan - CoC'!BD52-'Plan - CoC'!BD58</f>
        <v>0</v>
      </c>
      <c r="BE59" s="53">
        <f>'Plan - CoC'!BE52-'Plan - CoC'!BE58</f>
        <v>0</v>
      </c>
      <c r="BF59" s="53">
        <f>'Plan - CoC'!BF52-'Plan - CoC'!BF58</f>
        <v>0</v>
      </c>
      <c r="BG59" s="53">
        <f>'Plan - CoC'!BG52-'Plan - CoC'!BG58</f>
        <v>0</v>
      </c>
      <c r="BH59" s="53">
        <f>'Plan - CoC'!BH52-'Plan - CoC'!BH58</f>
        <v>0</v>
      </c>
      <c r="BI59" s="53">
        <f>'Plan - CoC'!BI52-'Plan - CoC'!BI58</f>
        <v>0</v>
      </c>
      <c r="BJ59" s="54">
        <f>'Plan - CoC'!BJ52-'Plan - CoC'!BJ58</f>
        <v>0</v>
      </c>
    </row>
    <row r="60" spans="1:62" hidden="1" outlineLevel="1" x14ac:dyDescent="0.35">
      <c r="A60" s="2" t="s">
        <v>196</v>
      </c>
      <c r="B60" s="2" t="s">
        <v>258</v>
      </c>
      <c r="C60" s="55">
        <f>'Calculation - Stagewise ECL'!C45</f>
        <v>133.54264395861952</v>
      </c>
      <c r="D60" s="56">
        <f>'Calculation - Stagewise ECL'!D45</f>
        <v>141.13350989818937</v>
      </c>
      <c r="E60" s="56">
        <f>'Calculation - Stagewise ECL'!E45</f>
        <v>146.77250074707069</v>
      </c>
      <c r="F60" s="56">
        <f>'Calculation - Stagewise ECL'!F45</f>
        <v>152.39500369304139</v>
      </c>
      <c r="G60" s="56">
        <f>'Calculation - Stagewise ECL'!G45</f>
        <v>158.05886377780104</v>
      </c>
      <c r="H60" s="56">
        <f>'Calculation - Stagewise ECL'!H45</f>
        <v>163.89519449197678</v>
      </c>
      <c r="I60" s="56">
        <f>'Calculation - Stagewise ECL'!I45</f>
        <v>155.59710063711876</v>
      </c>
      <c r="J60" s="56">
        <f>'Calculation - Stagewise ECL'!J45</f>
        <v>161.45974669070321</v>
      </c>
      <c r="K60" s="56">
        <f>'Calculation - Stagewise ECL'!K45</f>
        <v>167.88304581684184</v>
      </c>
      <c r="L60" s="56">
        <f>'Calculation - Stagewise ECL'!L45</f>
        <v>151.98964512596419</v>
      </c>
      <c r="M60" s="56">
        <f>'Calculation - Stagewise ECL'!M45</f>
        <v>158.37595526033857</v>
      </c>
      <c r="N60" s="56">
        <f>'Calculation - Stagewise ECL'!N45</f>
        <v>141.94554170950468</v>
      </c>
      <c r="O60" s="57">
        <f>'Calculation - Stagewise ECL'!O45</f>
        <v>143.83962716113396</v>
      </c>
      <c r="P60" s="56">
        <f>'Calculation - Stagewise ECL'!P45</f>
        <v>148.1648221377551</v>
      </c>
      <c r="Q60" s="56">
        <f>'Calculation - Stagewise ECL'!Q45</f>
        <v>152.9042333239332</v>
      </c>
      <c r="R60" s="56">
        <f>'Calculation - Stagewise ECL'!R45</f>
        <v>157.69632302647554</v>
      </c>
      <c r="S60" s="56">
        <f>'Calculation - Stagewise ECL'!S45</f>
        <v>163.02524979497551</v>
      </c>
      <c r="T60" s="56">
        <f>'Calculation - Stagewise ECL'!T45</f>
        <v>168.61275175438479</v>
      </c>
      <c r="U60" s="56">
        <f>'Calculation - Stagewise ECL'!U45</f>
        <v>174.96690091638308</v>
      </c>
      <c r="V60" s="56">
        <f>'Calculation - Stagewise ECL'!V45</f>
        <v>174.18063226670586</v>
      </c>
      <c r="W60" s="56">
        <f>'Calculation - Stagewise ECL'!W45</f>
        <v>174.63903160903681</v>
      </c>
      <c r="X60" s="56">
        <f>'Calculation - Stagewise ECL'!X45</f>
        <v>152.57037662575701</v>
      </c>
      <c r="Y60" s="56">
        <f>'Calculation - Stagewise ECL'!Y45</f>
        <v>155.5444490693873</v>
      </c>
      <c r="Z60" s="56">
        <f>'Calculation - Stagewise ECL'!Z45</f>
        <v>136.40159480086422</v>
      </c>
      <c r="AA60" s="57">
        <f>'Calculation - Stagewise ECL'!AA45</f>
        <v>141.35734022469441</v>
      </c>
      <c r="AB60" s="56">
        <f>'Calculation - Stagewise ECL'!AB45</f>
        <v>141.42267555103615</v>
      </c>
      <c r="AC60" s="56">
        <f>'Calculation - Stagewise ECL'!AC45</f>
        <v>142.60770806326789</v>
      </c>
      <c r="AD60" s="56">
        <f>'Calculation - Stagewise ECL'!AD45</f>
        <v>144.50386764085422</v>
      </c>
      <c r="AE60" s="56">
        <f>'Calculation - Stagewise ECL'!AE45</f>
        <v>147.35431164961835</v>
      </c>
      <c r="AF60" s="56">
        <f>'Calculation - Stagewise ECL'!AF45</f>
        <v>151.24809907995601</v>
      </c>
      <c r="AG60" s="56">
        <f>'Calculation - Stagewise ECL'!AG45</f>
        <v>150.18566535744824</v>
      </c>
      <c r="AH60" s="56">
        <f>'Calculation - Stagewise ECL'!AH45</f>
        <v>154.35463832254959</v>
      </c>
      <c r="AI60" s="56">
        <f>'Calculation - Stagewise ECL'!AI45</f>
        <v>159.11593829302433</v>
      </c>
      <c r="AJ60" s="56">
        <f>'Calculation - Stagewise ECL'!AJ45</f>
        <v>147.83041906903972</v>
      </c>
      <c r="AK60" s="56">
        <f>'Calculation - Stagewise ECL'!AK45</f>
        <v>152.94039999375028</v>
      </c>
      <c r="AL60" s="56">
        <f>'Calculation - Stagewise ECL'!AL45</f>
        <v>142.05979804655067</v>
      </c>
      <c r="AM60" s="57">
        <f>'Calculation - Stagewise ECL'!AM45</f>
        <v>146.44644063636287</v>
      </c>
      <c r="AN60" s="56">
        <f>'Plan - CoC'!AN53-'Plan - CoC'!AN59</f>
        <v>0</v>
      </c>
      <c r="AO60" s="56">
        <f>'Plan - CoC'!AO53-'Plan - CoC'!AO59</f>
        <v>0</v>
      </c>
      <c r="AP60" s="56">
        <f>'Plan - CoC'!AP53-'Plan - CoC'!AP59</f>
        <v>0</v>
      </c>
      <c r="AQ60" s="56">
        <f>'Plan - CoC'!AQ53-'Plan - CoC'!AQ59</f>
        <v>0</v>
      </c>
      <c r="AR60" s="56">
        <f>'Plan - CoC'!AR53-'Plan - CoC'!AR59</f>
        <v>0</v>
      </c>
      <c r="AS60" s="56">
        <f>'Plan - CoC'!AS53-'Plan - CoC'!AS59</f>
        <v>0</v>
      </c>
      <c r="AT60" s="56">
        <f>'Plan - CoC'!AT53-'Plan - CoC'!AT59</f>
        <v>0</v>
      </c>
      <c r="AU60" s="56">
        <f>'Plan - CoC'!AU53-'Plan - CoC'!AU59</f>
        <v>0</v>
      </c>
      <c r="AV60" s="56">
        <f>'Plan - CoC'!AV53-'Plan - CoC'!AV59</f>
        <v>0</v>
      </c>
      <c r="AW60" s="56">
        <f>'Plan - CoC'!AW53-'Plan - CoC'!AW59</f>
        <v>0</v>
      </c>
      <c r="AX60" s="57">
        <f>'Plan - CoC'!AX53-'Plan - CoC'!AX59</f>
        <v>0</v>
      </c>
      <c r="AY60" s="56">
        <f>'Plan - CoC'!AY53-'Plan - CoC'!AY59</f>
        <v>0</v>
      </c>
      <c r="AZ60" s="56">
        <f>'Plan - CoC'!AZ53-'Plan - CoC'!AZ59</f>
        <v>0</v>
      </c>
      <c r="BA60" s="56">
        <f>'Plan - CoC'!BA53-'Plan - CoC'!BA59</f>
        <v>0</v>
      </c>
      <c r="BB60" s="56">
        <f>'Plan - CoC'!BB53-'Plan - CoC'!BB59</f>
        <v>0</v>
      </c>
      <c r="BC60" s="56">
        <f>'Plan - CoC'!BC53-'Plan - CoC'!BC59</f>
        <v>0</v>
      </c>
      <c r="BD60" s="56">
        <f>'Plan - CoC'!BD53-'Plan - CoC'!BD59</f>
        <v>0</v>
      </c>
      <c r="BE60" s="56">
        <f>'Plan - CoC'!BE53-'Plan - CoC'!BE59</f>
        <v>0</v>
      </c>
      <c r="BF60" s="56">
        <f>'Plan - CoC'!BF53-'Plan - CoC'!BF59</f>
        <v>0</v>
      </c>
      <c r="BG60" s="56">
        <f>'Plan - CoC'!BG53-'Plan - CoC'!BG59</f>
        <v>0</v>
      </c>
      <c r="BH60" s="56">
        <f>'Plan - CoC'!BH53-'Plan - CoC'!BH59</f>
        <v>0</v>
      </c>
      <c r="BI60" s="56">
        <f>'Plan - CoC'!BI53-'Plan - CoC'!BI59</f>
        <v>0</v>
      </c>
      <c r="BJ60" s="57">
        <f>'Plan - CoC'!BJ53-'Plan - CoC'!BJ59</f>
        <v>0</v>
      </c>
    </row>
    <row r="61" spans="1:62" hidden="1" outlineLevel="1" x14ac:dyDescent="0.35">
      <c r="A61" s="3" t="s">
        <v>196</v>
      </c>
      <c r="B61" s="3" t="s">
        <v>259</v>
      </c>
      <c r="C61" s="58">
        <f>'Calculation - Stagewise ECL'!C46</f>
        <v>226.59854199213862</v>
      </c>
      <c r="D61" s="59">
        <f>'Calculation - Stagewise ECL'!D46</f>
        <v>245.06363835773215</v>
      </c>
      <c r="E61" s="59">
        <f>'Calculation - Stagewise ECL'!E46</f>
        <v>260.44778099376771</v>
      </c>
      <c r="F61" s="59">
        <f>'Calculation - Stagewise ECL'!F46</f>
        <v>276.43850989383378</v>
      </c>
      <c r="G61" s="59">
        <f>'Calculation - Stagewise ECL'!G46</f>
        <v>292.8487045839326</v>
      </c>
      <c r="H61" s="59">
        <f>'Calculation - Stagewise ECL'!H46</f>
        <v>310.08629448017501</v>
      </c>
      <c r="I61" s="59">
        <f>'Calculation - Stagewise ECL'!I46</f>
        <v>300.37772543697889</v>
      </c>
      <c r="J61" s="59">
        <f>'Calculation - Stagewise ECL'!J46</f>
        <v>320.29485537586862</v>
      </c>
      <c r="K61" s="59">
        <f>'Calculation - Stagewise ECL'!K46</f>
        <v>341.73052749139907</v>
      </c>
      <c r="L61" s="59">
        <f>'Calculation - Stagewise ECL'!L46</f>
        <v>316.95950514763615</v>
      </c>
      <c r="M61" s="59">
        <f>'Calculation - Stagewise ECL'!M46</f>
        <v>337.8986906215253</v>
      </c>
      <c r="N61" s="59">
        <f>'Calculation - Stagewise ECL'!N46</f>
        <v>309.69732059386217</v>
      </c>
      <c r="O61" s="60">
        <f>'Calculation - Stagewise ECL'!O46</f>
        <v>331.79599704581011</v>
      </c>
      <c r="P61" s="59">
        <f>'Calculation - Stagewise ECL'!P46</f>
        <v>354.0259922961842</v>
      </c>
      <c r="Q61" s="59">
        <f>'Calculation - Stagewise ECL'!Q46</f>
        <v>377.2552241074327</v>
      </c>
      <c r="R61" s="59">
        <f>'Calculation - Stagewise ECL'!R46</f>
        <v>400.77894093903427</v>
      </c>
      <c r="S61" s="59">
        <f>'Calculation - Stagewise ECL'!S46</f>
        <v>425.66252223505705</v>
      </c>
      <c r="T61" s="59">
        <f>'Calculation - Stagewise ECL'!T46</f>
        <v>451.49676615538749</v>
      </c>
      <c r="U61" s="59">
        <f>'Calculation - Stagewise ECL'!U46</f>
        <v>477.51006931676352</v>
      </c>
      <c r="V61" s="59">
        <f>'Calculation - Stagewise ECL'!V46</f>
        <v>470.87135888285542</v>
      </c>
      <c r="W61" s="59">
        <f>'Calculation - Stagewise ECL'!W46</f>
        <v>467.34972802494769</v>
      </c>
      <c r="X61" s="59">
        <f>'Calculation - Stagewise ECL'!X46</f>
        <v>403.92582575610692</v>
      </c>
      <c r="Y61" s="59">
        <f>'Calculation - Stagewise ECL'!Y46</f>
        <v>407.12151049270295</v>
      </c>
      <c r="Z61" s="59">
        <f>'Calculation - Stagewise ECL'!Z46</f>
        <v>352.82446195884484</v>
      </c>
      <c r="AA61" s="60">
        <f>'Calculation - Stagewise ECL'!AA46</f>
        <v>361.15825639418927</v>
      </c>
      <c r="AB61" s="59">
        <f>'Calculation - Stagewise ECL'!AB46</f>
        <v>357.05744159204028</v>
      </c>
      <c r="AC61" s="59">
        <f>'Calculation - Stagewise ECL'!AC46</f>
        <v>355.2689849543695</v>
      </c>
      <c r="AD61" s="59">
        <f>'Calculation - Stagewise ECL'!AD46</f>
        <v>354.77429572463979</v>
      </c>
      <c r="AE61" s="59">
        <f>'Calculation - Stagewise ECL'!AE46</f>
        <v>355.70433401663905</v>
      </c>
      <c r="AF61" s="59">
        <f>'Calculation - Stagewise ECL'!AF46</f>
        <v>358.44684900680562</v>
      </c>
      <c r="AG61" s="59">
        <f>'Calculation - Stagewise ECL'!AG46</f>
        <v>348.90550882509035</v>
      </c>
      <c r="AH61" s="59">
        <f>'Calculation - Stagewise ECL'!AH46</f>
        <v>353.83355645908102</v>
      </c>
      <c r="AI61" s="59">
        <f>'Calculation - Stagewise ECL'!AI46</f>
        <v>359.42719777725489</v>
      </c>
      <c r="AJ61" s="59">
        <f>'Calculation - Stagewise ECL'!AJ46</f>
        <v>328.57097901261011</v>
      </c>
      <c r="AK61" s="59">
        <f>'Calculation - Stagewise ECL'!AK46</f>
        <v>333.89267348967996</v>
      </c>
      <c r="AL61" s="59">
        <f>'Calculation - Stagewise ECL'!AL46</f>
        <v>304.08173032251239</v>
      </c>
      <c r="AM61" s="60">
        <f>'Calculation - Stagewise ECL'!AM46</f>
        <v>306.66490797445624</v>
      </c>
      <c r="AN61" s="59">
        <f>'Plan - CoC'!AN54-'Plan - CoC'!AN60</f>
        <v>0</v>
      </c>
      <c r="AO61" s="59">
        <f>'Plan - CoC'!AO54-'Plan - CoC'!AO60</f>
        <v>0</v>
      </c>
      <c r="AP61" s="59">
        <f>'Plan - CoC'!AP54-'Plan - CoC'!AP60</f>
        <v>0</v>
      </c>
      <c r="AQ61" s="59">
        <f>'Plan - CoC'!AQ54-'Plan - CoC'!AQ60</f>
        <v>0</v>
      </c>
      <c r="AR61" s="59">
        <f>'Plan - CoC'!AR54-'Plan - CoC'!AR60</f>
        <v>0</v>
      </c>
      <c r="AS61" s="59">
        <f>'Plan - CoC'!AS54-'Plan - CoC'!AS60</f>
        <v>0</v>
      </c>
      <c r="AT61" s="59">
        <f>'Plan - CoC'!AT54-'Plan - CoC'!AT60</f>
        <v>0</v>
      </c>
      <c r="AU61" s="59">
        <f>'Plan - CoC'!AU54-'Plan - CoC'!AU60</f>
        <v>0</v>
      </c>
      <c r="AV61" s="59">
        <f>'Plan - CoC'!AV54-'Plan - CoC'!AV60</f>
        <v>0</v>
      </c>
      <c r="AW61" s="59">
        <f>'Plan - CoC'!AW54-'Plan - CoC'!AW60</f>
        <v>0</v>
      </c>
      <c r="AX61" s="60">
        <f>'Plan - CoC'!AX54-'Plan - CoC'!AX60</f>
        <v>0</v>
      </c>
      <c r="AY61" s="59">
        <f>'Plan - CoC'!AY54-'Plan - CoC'!AY60</f>
        <v>0</v>
      </c>
      <c r="AZ61" s="59">
        <f>'Plan - CoC'!AZ54-'Plan - CoC'!AZ60</f>
        <v>0</v>
      </c>
      <c r="BA61" s="59">
        <f>'Plan - CoC'!BA54-'Plan - CoC'!BA60</f>
        <v>0</v>
      </c>
      <c r="BB61" s="59">
        <f>'Plan - CoC'!BB54-'Plan - CoC'!BB60</f>
        <v>0</v>
      </c>
      <c r="BC61" s="59">
        <f>'Plan - CoC'!BC54-'Plan - CoC'!BC60</f>
        <v>0</v>
      </c>
      <c r="BD61" s="59">
        <f>'Plan - CoC'!BD54-'Plan - CoC'!BD60</f>
        <v>0</v>
      </c>
      <c r="BE61" s="59">
        <f>'Plan - CoC'!BE54-'Plan - CoC'!BE60</f>
        <v>0</v>
      </c>
      <c r="BF61" s="59">
        <f>'Plan - CoC'!BF54-'Plan - CoC'!BF60</f>
        <v>0</v>
      </c>
      <c r="BG61" s="59">
        <f>'Plan - CoC'!BG54-'Plan - CoC'!BG60</f>
        <v>0</v>
      </c>
      <c r="BH61" s="59">
        <f>'Plan - CoC'!BH54-'Plan - CoC'!BH60</f>
        <v>0</v>
      </c>
      <c r="BI61" s="59">
        <f>'Plan - CoC'!BI54-'Plan - CoC'!BI60</f>
        <v>0</v>
      </c>
      <c r="BJ61" s="60">
        <f>'Plan - CoC'!BJ54-'Plan - CoC'!BJ60</f>
        <v>0</v>
      </c>
    </row>
    <row r="62" spans="1:62" hidden="1" outlineLevel="1" x14ac:dyDescent="0.35">
      <c r="O62" s="231"/>
    </row>
    <row r="63" spans="1:62" hidden="1" outlineLevel="1" x14ac:dyDescent="0.35">
      <c r="A63" s="25" t="s">
        <v>195</v>
      </c>
      <c r="B63" s="4" t="s">
        <v>3</v>
      </c>
      <c r="C63" s="19">
        <f>$C$3</f>
        <v>45352</v>
      </c>
      <c r="D63" s="20">
        <f>EDATE(C63,1)</f>
        <v>45383</v>
      </c>
      <c r="E63" s="20">
        <f>EDATE(D63,1)</f>
        <v>45413</v>
      </c>
      <c r="F63" s="20">
        <f>EDATE(E63,1)</f>
        <v>45444</v>
      </c>
      <c r="G63" s="20">
        <f t="shared" ref="G63" si="322">EDATE(F63,1)</f>
        <v>45474</v>
      </c>
      <c r="H63" s="20">
        <f t="shared" ref="H63" si="323">EDATE(G63,1)</f>
        <v>45505</v>
      </c>
      <c r="I63" s="20">
        <f t="shared" ref="I63" si="324">EDATE(H63,1)</f>
        <v>45536</v>
      </c>
      <c r="J63" s="20">
        <f t="shared" ref="J63" si="325">EDATE(I63,1)</f>
        <v>45566</v>
      </c>
      <c r="K63" s="20">
        <f t="shared" ref="K63" si="326">EDATE(J63,1)</f>
        <v>45597</v>
      </c>
      <c r="L63" s="20">
        <f t="shared" ref="L63" si="327">EDATE(K63,1)</f>
        <v>45627</v>
      </c>
      <c r="M63" s="20">
        <f t="shared" ref="M63" si="328">EDATE(L63,1)</f>
        <v>45658</v>
      </c>
      <c r="N63" s="20">
        <f t="shared" ref="N63" si="329">EDATE(M63,1)</f>
        <v>45689</v>
      </c>
      <c r="O63" s="21">
        <f t="shared" ref="O63" si="330">EDATE(N63,1)</f>
        <v>45717</v>
      </c>
      <c r="P63" s="20">
        <f t="shared" ref="P63" si="331">EDATE(O63,1)</f>
        <v>45748</v>
      </c>
      <c r="Q63" s="20">
        <f t="shared" ref="Q63" si="332">EDATE(P63,1)</f>
        <v>45778</v>
      </c>
      <c r="R63" s="20">
        <f t="shared" ref="R63" si="333">EDATE(Q63,1)</f>
        <v>45809</v>
      </c>
      <c r="S63" s="20">
        <f t="shared" ref="S63" si="334">EDATE(R63,1)</f>
        <v>45839</v>
      </c>
      <c r="T63" s="20">
        <f t="shared" ref="T63" si="335">EDATE(S63,1)</f>
        <v>45870</v>
      </c>
      <c r="U63" s="20">
        <f t="shared" ref="U63" si="336">EDATE(T63,1)</f>
        <v>45901</v>
      </c>
      <c r="V63" s="20">
        <f t="shared" ref="V63" si="337">EDATE(U63,1)</f>
        <v>45931</v>
      </c>
      <c r="W63" s="20">
        <f t="shared" ref="W63" si="338">EDATE(V63,1)</f>
        <v>45962</v>
      </c>
      <c r="X63" s="20">
        <f t="shared" ref="X63" si="339">EDATE(W63,1)</f>
        <v>45992</v>
      </c>
      <c r="Y63" s="20">
        <f t="shared" ref="Y63" si="340">EDATE(X63,1)</f>
        <v>46023</v>
      </c>
      <c r="Z63" s="20">
        <f t="shared" ref="Z63" si="341">EDATE(Y63,1)</f>
        <v>46054</v>
      </c>
      <c r="AA63" s="21">
        <f t="shared" ref="AA63" si="342">EDATE(Z63,1)</f>
        <v>46082</v>
      </c>
      <c r="AB63" s="20">
        <f t="shared" ref="AB63" si="343">EDATE(AA63,1)</f>
        <v>46113</v>
      </c>
      <c r="AC63" s="20">
        <f t="shared" ref="AC63" si="344">EDATE(AB63,1)</f>
        <v>46143</v>
      </c>
      <c r="AD63" s="20">
        <f t="shared" ref="AD63" si="345">EDATE(AC63,1)</f>
        <v>46174</v>
      </c>
      <c r="AE63" s="20">
        <f t="shared" ref="AE63" si="346">EDATE(AD63,1)</f>
        <v>46204</v>
      </c>
      <c r="AF63" s="20">
        <f t="shared" ref="AF63" si="347">EDATE(AE63,1)</f>
        <v>46235</v>
      </c>
      <c r="AG63" s="20">
        <f t="shared" ref="AG63" si="348">EDATE(AF63,1)</f>
        <v>46266</v>
      </c>
      <c r="AH63" s="20">
        <f t="shared" ref="AH63" si="349">EDATE(AG63,1)</f>
        <v>46296</v>
      </c>
      <c r="AI63" s="20">
        <f t="shared" ref="AI63" si="350">EDATE(AH63,1)</f>
        <v>46327</v>
      </c>
      <c r="AJ63" s="20">
        <f t="shared" ref="AJ63" si="351">EDATE(AI63,1)</f>
        <v>46357</v>
      </c>
      <c r="AK63" s="20">
        <f t="shared" ref="AK63" si="352">EDATE(AJ63,1)</f>
        <v>46388</v>
      </c>
      <c r="AL63" s="20">
        <f t="shared" ref="AL63" si="353">EDATE(AK63,1)</f>
        <v>46419</v>
      </c>
      <c r="AM63" s="21">
        <f t="shared" ref="AM63" si="354">EDATE(AL63,1)</f>
        <v>46447</v>
      </c>
    </row>
    <row r="64" spans="1:62" hidden="1" outlineLevel="1" x14ac:dyDescent="0.35">
      <c r="A64" s="15" t="s">
        <v>195</v>
      </c>
      <c r="B64" s="15" t="s">
        <v>158</v>
      </c>
      <c r="C64" s="16">
        <f>SUM(C65:C67)</f>
        <v>127.57248036351871</v>
      </c>
      <c r="D64" s="17">
        <f t="shared" ref="D64:AM64" si="355">SUM(D65:D67)</f>
        <v>125.68767982214962</v>
      </c>
      <c r="E64" s="17">
        <f t="shared" si="355"/>
        <v>124.11652840533607</v>
      </c>
      <c r="F64" s="17">
        <f t="shared" si="355"/>
        <v>119.64897651605251</v>
      </c>
      <c r="G64" s="17">
        <f t="shared" si="355"/>
        <v>115.44080285595578</v>
      </c>
      <c r="H64" s="17">
        <f t="shared" si="355"/>
        <v>112.23059302973533</v>
      </c>
      <c r="I64" s="17">
        <f t="shared" si="355"/>
        <v>107.61914656040469</v>
      </c>
      <c r="J64" s="17">
        <f t="shared" si="355"/>
        <v>106.13555082524205</v>
      </c>
      <c r="K64" s="17">
        <f t="shared" si="355"/>
        <v>99.01023694743165</v>
      </c>
      <c r="L64" s="17">
        <f t="shared" si="355"/>
        <v>97.685758992860102</v>
      </c>
      <c r="M64" s="17">
        <f t="shared" si="355"/>
        <v>96.598719234500237</v>
      </c>
      <c r="N64" s="17">
        <f t="shared" si="355"/>
        <v>95.47596288144814</v>
      </c>
      <c r="O64" s="18">
        <f t="shared" si="355"/>
        <v>86.154149240384541</v>
      </c>
      <c r="P64" s="17">
        <f t="shared" si="355"/>
        <v>63.512788557210108</v>
      </c>
      <c r="Q64" s="17">
        <f t="shared" si="355"/>
        <v>59.30556657689651</v>
      </c>
      <c r="R64" s="17">
        <f t="shared" si="355"/>
        <v>57.197306555481049</v>
      </c>
      <c r="S64" s="17">
        <f t="shared" si="355"/>
        <v>55.738050314479942</v>
      </c>
      <c r="T64" s="17">
        <f t="shared" si="355"/>
        <v>54.432129468024932</v>
      </c>
      <c r="U64" s="17">
        <f t="shared" si="355"/>
        <v>53.4329503889808</v>
      </c>
      <c r="V64" s="17">
        <f t="shared" si="355"/>
        <v>51.944192942845461</v>
      </c>
      <c r="W64" s="17">
        <f t="shared" si="355"/>
        <v>50.443486982624336</v>
      </c>
      <c r="X64" s="17">
        <f t="shared" si="355"/>
        <v>47.590229732503914</v>
      </c>
      <c r="Y64" s="17">
        <f t="shared" si="355"/>
        <v>46.212762998889858</v>
      </c>
      <c r="Z64" s="17">
        <f t="shared" si="355"/>
        <v>43.775656648812941</v>
      </c>
      <c r="AA64" s="18">
        <f t="shared" si="355"/>
        <v>42.225987520881006</v>
      </c>
      <c r="AB64" s="17">
        <f t="shared" si="355"/>
        <v>41.665141223534583</v>
      </c>
      <c r="AC64" s="17">
        <f t="shared" si="355"/>
        <v>41.132774873389764</v>
      </c>
      <c r="AD64" s="17">
        <f t="shared" si="355"/>
        <v>40.613897468117614</v>
      </c>
      <c r="AE64" s="17">
        <f t="shared" si="355"/>
        <v>40.106472619480932</v>
      </c>
      <c r="AF64" s="17">
        <f t="shared" si="355"/>
        <v>39.609860695774927</v>
      </c>
      <c r="AG64" s="17">
        <f t="shared" si="355"/>
        <v>39.123913159898223</v>
      </c>
      <c r="AH64" s="17">
        <f t="shared" si="355"/>
        <v>38.648675638671179</v>
      </c>
      <c r="AI64" s="17">
        <f t="shared" si="355"/>
        <v>38.184289383246089</v>
      </c>
      <c r="AJ64" s="17">
        <f t="shared" si="355"/>
        <v>37.730922217005599</v>
      </c>
      <c r="AK64" s="17">
        <f t="shared" si="355"/>
        <v>37.288708991174019</v>
      </c>
      <c r="AL64" s="17">
        <f t="shared" si="355"/>
        <v>36.857715923312938</v>
      </c>
      <c r="AM64" s="18">
        <f t="shared" si="355"/>
        <v>36.438111292298345</v>
      </c>
    </row>
    <row r="65" spans="1:62" hidden="1" outlineLevel="1" x14ac:dyDescent="0.35">
      <c r="A65" s="1" t="s">
        <v>195</v>
      </c>
      <c r="B65" s="1" t="s">
        <v>257</v>
      </c>
      <c r="C65" s="52">
        <v>11.787499150424404</v>
      </c>
      <c r="D65" s="53">
        <v>11.492787142329863</v>
      </c>
      <c r="E65" s="53">
        <v>12.685998051918725</v>
      </c>
      <c r="F65" s="53">
        <v>9.5634631487912429</v>
      </c>
      <c r="G65" s="53">
        <v>9.5634631487912429</v>
      </c>
      <c r="H65" s="53">
        <v>9.5634631487912429</v>
      </c>
      <c r="I65" s="53">
        <v>9.5634631487912429</v>
      </c>
      <c r="J65" s="53">
        <v>9.5634631487912429</v>
      </c>
      <c r="K65" s="53">
        <v>9.5634631487912429</v>
      </c>
      <c r="L65" s="53">
        <v>9.5634631487912429</v>
      </c>
      <c r="M65" s="53">
        <v>9.5634631487912429</v>
      </c>
      <c r="N65" s="53">
        <v>9.5634631487912429</v>
      </c>
      <c r="O65" s="54">
        <v>9.5634631487912429</v>
      </c>
      <c r="P65" s="53">
        <v>9.5634631487912429</v>
      </c>
      <c r="Q65" s="53">
        <v>9.5634631487912429</v>
      </c>
      <c r="R65" s="53">
        <v>9.5634631487912429</v>
      </c>
      <c r="S65" s="53">
        <v>9.5634631487912429</v>
      </c>
      <c r="T65" s="53">
        <v>9.5634631487912429</v>
      </c>
      <c r="U65" s="53">
        <v>9.5634631487912429</v>
      </c>
      <c r="V65" s="53">
        <v>9.5634631487912429</v>
      </c>
      <c r="W65" s="53">
        <v>9.5634631487912429</v>
      </c>
      <c r="X65" s="53">
        <v>9.5634631487912429</v>
      </c>
      <c r="Y65" s="53">
        <v>9.5634631487912429</v>
      </c>
      <c r="Z65" s="53">
        <v>9.5634631487912429</v>
      </c>
      <c r="AA65" s="54">
        <v>9.5634631487912429</v>
      </c>
      <c r="AB65" s="53">
        <v>9.5634631487912429</v>
      </c>
      <c r="AC65" s="53">
        <v>9.5634631487912429</v>
      </c>
      <c r="AD65" s="53">
        <v>9.5634631487912429</v>
      </c>
      <c r="AE65" s="53">
        <v>9.5634631487912429</v>
      </c>
      <c r="AF65" s="53">
        <v>9.5634631487912429</v>
      </c>
      <c r="AG65" s="53">
        <v>9.5634631487912429</v>
      </c>
      <c r="AH65" s="53">
        <v>9.5634631487912429</v>
      </c>
      <c r="AI65" s="53">
        <v>9.5634631487912429</v>
      </c>
      <c r="AJ65" s="53">
        <v>9.5634631487912429</v>
      </c>
      <c r="AK65" s="53">
        <v>9.5634631487912429</v>
      </c>
      <c r="AL65" s="53">
        <v>9.5634631487912429</v>
      </c>
      <c r="AM65" s="54">
        <v>9.5634631487912429</v>
      </c>
    </row>
    <row r="66" spans="1:62" hidden="1" outlineLevel="1" x14ac:dyDescent="0.35">
      <c r="A66" s="2" t="s">
        <v>195</v>
      </c>
      <c r="B66" s="2" t="s">
        <v>258</v>
      </c>
      <c r="C66" s="55">
        <v>21.405353252277376</v>
      </c>
      <c r="D66" s="56">
        <v>21.411962423208568</v>
      </c>
      <c r="E66" s="56">
        <v>20.609403253799748</v>
      </c>
      <c r="F66" s="56">
        <v>18.99847887323428</v>
      </c>
      <c r="G66" s="56">
        <v>18.473360894426104</v>
      </c>
      <c r="H66" s="56">
        <v>17.704954177961898</v>
      </c>
      <c r="I66" s="56">
        <v>17.090651813201614</v>
      </c>
      <c r="J66" s="56">
        <v>16.460742666043291</v>
      </c>
      <c r="K66" s="56">
        <v>16.120485502791411</v>
      </c>
      <c r="L66" s="56">
        <v>15.266260532723958</v>
      </c>
      <c r="M66" s="56">
        <v>14.572677119486398</v>
      </c>
      <c r="N66" s="56">
        <v>13.93424620508168</v>
      </c>
      <c r="O66" s="57">
        <v>10.316650186222422</v>
      </c>
      <c r="P66" s="56">
        <v>8.9322201286859748</v>
      </c>
      <c r="Q66" s="56">
        <v>8.2451006425934885</v>
      </c>
      <c r="R66" s="56">
        <v>7.5811479859108477</v>
      </c>
      <c r="S66" s="56">
        <v>6.9403150986119257</v>
      </c>
      <c r="T66" s="56">
        <v>6.3224241632317497</v>
      </c>
      <c r="U66" s="56">
        <v>5.7271983942722215</v>
      </c>
      <c r="V66" s="56">
        <v>3.5627287723367433</v>
      </c>
      <c r="W66" s="56">
        <v>3.517159694412622</v>
      </c>
      <c r="X66" s="56">
        <v>3.466702454239238</v>
      </c>
      <c r="Y66" s="56">
        <v>3.4123591908851871</v>
      </c>
      <c r="Z66" s="56">
        <v>3.3549926652390951</v>
      </c>
      <c r="AA66" s="57">
        <v>3.2953446077576163</v>
      </c>
      <c r="AB66" s="56">
        <v>3.2340518261914308</v>
      </c>
      <c r="AC66" s="56">
        <v>3.1716602211770448</v>
      </c>
      <c r="AD66" s="56">
        <v>3.1107584644029549</v>
      </c>
      <c r="AE66" s="56">
        <v>3.0513215242750764</v>
      </c>
      <c r="AF66" s="56">
        <v>2.9933635520667861</v>
      </c>
      <c r="AG66" s="56">
        <v>2.9369107487746851</v>
      </c>
      <c r="AH66" s="56">
        <v>2.8819886035348894</v>
      </c>
      <c r="AI66" s="56">
        <v>2.8286155952038263</v>
      </c>
      <c r="AJ66" s="56">
        <v>2.776800606536451</v>
      </c>
      <c r="AK66" s="56">
        <v>2.7265424564241281</v>
      </c>
      <c r="AL66" s="56">
        <v>2.6778305696275391</v>
      </c>
      <c r="AM66" s="57">
        <v>2.630646188750716</v>
      </c>
    </row>
    <row r="67" spans="1:62" hidden="1" outlineLevel="1" x14ac:dyDescent="0.35">
      <c r="A67" s="3" t="s">
        <v>195</v>
      </c>
      <c r="B67" s="3" t="s">
        <v>259</v>
      </c>
      <c r="C67" s="58">
        <v>94.379627960816919</v>
      </c>
      <c r="D67" s="59">
        <v>92.782930256611195</v>
      </c>
      <c r="E67" s="59">
        <v>90.821127099617598</v>
      </c>
      <c r="F67" s="59">
        <v>91.087034494026994</v>
      </c>
      <c r="G67" s="59">
        <v>87.40397881273843</v>
      </c>
      <c r="H67" s="59">
        <v>84.962175702982194</v>
      </c>
      <c r="I67" s="59">
        <v>80.965031598411827</v>
      </c>
      <c r="J67" s="59">
        <v>80.111345010407518</v>
      </c>
      <c r="K67" s="59">
        <v>73.326288295848997</v>
      </c>
      <c r="L67" s="59">
        <v>72.856035311344897</v>
      </c>
      <c r="M67" s="59">
        <v>72.462578966222594</v>
      </c>
      <c r="N67" s="59">
        <v>71.97825352757522</v>
      </c>
      <c r="O67" s="60">
        <v>66.27403590537088</v>
      </c>
      <c r="P67" s="59">
        <v>45.017105279732888</v>
      </c>
      <c r="Q67" s="59">
        <v>41.497002785511782</v>
      </c>
      <c r="R67" s="59">
        <v>40.05269542077896</v>
      </c>
      <c r="S67" s="59">
        <v>39.234272067076773</v>
      </c>
      <c r="T67" s="59">
        <v>38.546242156001938</v>
      </c>
      <c r="U67" s="59">
        <v>38.142288845917335</v>
      </c>
      <c r="V67" s="59">
        <v>38.818001021717478</v>
      </c>
      <c r="W67" s="59">
        <v>37.362864139420473</v>
      </c>
      <c r="X67" s="59">
        <v>34.560064129473432</v>
      </c>
      <c r="Y67" s="59">
        <v>33.236940659213431</v>
      </c>
      <c r="Z67" s="59">
        <v>30.857200834782603</v>
      </c>
      <c r="AA67" s="60">
        <v>29.367179764332143</v>
      </c>
      <c r="AB67" s="59">
        <v>28.867626248551908</v>
      </c>
      <c r="AC67" s="59">
        <v>28.397651503421478</v>
      </c>
      <c r="AD67" s="59">
        <v>27.939675854923415</v>
      </c>
      <c r="AE67" s="59">
        <v>27.491687946414615</v>
      </c>
      <c r="AF67" s="59">
        <v>27.053033994916902</v>
      </c>
      <c r="AG67" s="59">
        <v>26.623539262332294</v>
      </c>
      <c r="AH67" s="59">
        <v>26.20322388634505</v>
      </c>
      <c r="AI67" s="59">
        <v>25.792210639251017</v>
      </c>
      <c r="AJ67" s="59">
        <v>25.390658461677901</v>
      </c>
      <c r="AK67" s="59">
        <v>24.998703385958649</v>
      </c>
      <c r="AL67" s="59">
        <v>24.616422204894157</v>
      </c>
      <c r="AM67" s="60">
        <v>24.244001954756385</v>
      </c>
    </row>
    <row r="68" spans="1:62" hidden="1" outlineLevel="1" x14ac:dyDescent="0.35"/>
    <row r="69" spans="1:62" hidden="1" outlineLevel="1" x14ac:dyDescent="0.35">
      <c r="A69" s="25" t="s">
        <v>264</v>
      </c>
      <c r="B69" s="4" t="s">
        <v>3</v>
      </c>
      <c r="C69" s="19">
        <f>$C$3</f>
        <v>45352</v>
      </c>
      <c r="D69" s="20">
        <f>EDATE(C69,1)</f>
        <v>45383</v>
      </c>
      <c r="E69" s="20">
        <f>EDATE(D69,1)</f>
        <v>45413</v>
      </c>
      <c r="F69" s="20">
        <f>EDATE(E69,1)</f>
        <v>45444</v>
      </c>
      <c r="G69" s="20">
        <f t="shared" ref="G69" si="356">EDATE(F69,1)</f>
        <v>45474</v>
      </c>
      <c r="H69" s="20">
        <f t="shared" ref="H69" si="357">EDATE(G69,1)</f>
        <v>45505</v>
      </c>
      <c r="I69" s="20">
        <f t="shared" ref="I69" si="358">EDATE(H69,1)</f>
        <v>45536</v>
      </c>
      <c r="J69" s="20">
        <f t="shared" ref="J69" si="359">EDATE(I69,1)</f>
        <v>45566</v>
      </c>
      <c r="K69" s="20">
        <f t="shared" ref="K69" si="360">EDATE(J69,1)</f>
        <v>45597</v>
      </c>
      <c r="L69" s="20">
        <f t="shared" ref="L69" si="361">EDATE(K69,1)</f>
        <v>45627</v>
      </c>
      <c r="M69" s="20">
        <f t="shared" ref="M69" si="362">EDATE(L69,1)</f>
        <v>45658</v>
      </c>
      <c r="N69" s="20">
        <f t="shared" ref="N69" si="363">EDATE(M69,1)</f>
        <v>45689</v>
      </c>
      <c r="O69" s="21">
        <f t="shared" ref="O69" si="364">EDATE(N69,1)</f>
        <v>45717</v>
      </c>
      <c r="P69" s="20">
        <f t="shared" ref="P69" si="365">EDATE(O69,1)</f>
        <v>45748</v>
      </c>
      <c r="Q69" s="20">
        <f t="shared" ref="Q69" si="366">EDATE(P69,1)</f>
        <v>45778</v>
      </c>
      <c r="R69" s="20">
        <f t="shared" ref="R69" si="367">EDATE(Q69,1)</f>
        <v>45809</v>
      </c>
      <c r="S69" s="20">
        <f t="shared" ref="S69" si="368">EDATE(R69,1)</f>
        <v>45839</v>
      </c>
      <c r="T69" s="20">
        <f t="shared" ref="T69" si="369">EDATE(S69,1)</f>
        <v>45870</v>
      </c>
      <c r="U69" s="20">
        <f t="shared" ref="U69" si="370">EDATE(T69,1)</f>
        <v>45901</v>
      </c>
      <c r="V69" s="20">
        <f t="shared" ref="V69" si="371">EDATE(U69,1)</f>
        <v>45931</v>
      </c>
      <c r="W69" s="20">
        <f t="shared" ref="W69" si="372">EDATE(V69,1)</f>
        <v>45962</v>
      </c>
      <c r="X69" s="20">
        <f t="shared" ref="X69" si="373">EDATE(W69,1)</f>
        <v>45992</v>
      </c>
      <c r="Y69" s="20">
        <f t="shared" ref="Y69" si="374">EDATE(X69,1)</f>
        <v>46023</v>
      </c>
      <c r="Z69" s="20">
        <f t="shared" ref="Z69" si="375">EDATE(Y69,1)</f>
        <v>46054</v>
      </c>
      <c r="AA69" s="21">
        <f t="shared" ref="AA69" si="376">EDATE(Z69,1)</f>
        <v>46082</v>
      </c>
      <c r="AB69" s="20">
        <f t="shared" ref="AB69" si="377">EDATE(AA69,1)</f>
        <v>46113</v>
      </c>
      <c r="AC69" s="20">
        <f t="shared" ref="AC69" si="378">EDATE(AB69,1)</f>
        <v>46143</v>
      </c>
      <c r="AD69" s="20">
        <f t="shared" ref="AD69" si="379">EDATE(AC69,1)</f>
        <v>46174</v>
      </c>
      <c r="AE69" s="20">
        <f t="shared" ref="AE69" si="380">EDATE(AD69,1)</f>
        <v>46204</v>
      </c>
      <c r="AF69" s="20">
        <f t="shared" ref="AF69" si="381">EDATE(AE69,1)</f>
        <v>46235</v>
      </c>
      <c r="AG69" s="20">
        <f t="shared" ref="AG69" si="382">EDATE(AF69,1)</f>
        <v>46266</v>
      </c>
      <c r="AH69" s="20">
        <f t="shared" ref="AH69" si="383">EDATE(AG69,1)</f>
        <v>46296</v>
      </c>
      <c r="AI69" s="20">
        <f t="shared" ref="AI69" si="384">EDATE(AH69,1)</f>
        <v>46327</v>
      </c>
      <c r="AJ69" s="20">
        <f t="shared" ref="AJ69" si="385">EDATE(AI69,1)</f>
        <v>46357</v>
      </c>
      <c r="AK69" s="20">
        <f t="shared" ref="AK69" si="386">EDATE(AJ69,1)</f>
        <v>46388</v>
      </c>
      <c r="AL69" s="20">
        <f t="shared" ref="AL69" si="387">EDATE(AK69,1)</f>
        <v>46419</v>
      </c>
      <c r="AM69" s="21">
        <f t="shared" ref="AM69" si="388">EDATE(AL69,1)</f>
        <v>46447</v>
      </c>
    </row>
    <row r="70" spans="1:62" hidden="1" outlineLevel="1" x14ac:dyDescent="0.35">
      <c r="A70" s="15" t="s">
        <v>264</v>
      </c>
      <c r="B70" s="15" t="s">
        <v>158</v>
      </c>
      <c r="C70" s="16">
        <f>SUM(C71:C73)</f>
        <v>0</v>
      </c>
      <c r="D70" s="17">
        <f t="shared" ref="D70:AM70" si="389">SUM(D71:D73)</f>
        <v>0</v>
      </c>
      <c r="E70" s="17">
        <f t="shared" si="389"/>
        <v>0</v>
      </c>
      <c r="F70" s="17">
        <f t="shared" si="389"/>
        <v>0</v>
      </c>
      <c r="G70" s="17">
        <f t="shared" si="389"/>
        <v>0</v>
      </c>
      <c r="H70" s="17">
        <f t="shared" si="389"/>
        <v>0</v>
      </c>
      <c r="I70" s="17">
        <f t="shared" si="389"/>
        <v>0</v>
      </c>
      <c r="J70" s="17">
        <f t="shared" si="389"/>
        <v>49.142105129079688</v>
      </c>
      <c r="K70" s="17">
        <f t="shared" si="389"/>
        <v>52.195662341691467</v>
      </c>
      <c r="L70" s="17">
        <f t="shared" si="389"/>
        <v>48.08519085062018</v>
      </c>
      <c r="M70" s="17">
        <f t="shared" si="389"/>
        <v>51.242672946957889</v>
      </c>
      <c r="N70" s="17">
        <f t="shared" si="389"/>
        <v>46.421613109620196</v>
      </c>
      <c r="O70" s="18">
        <f t="shared" si="389"/>
        <v>57.305648715567202</v>
      </c>
      <c r="P70" s="17">
        <f t="shared" si="389"/>
        <v>48.928094307722723</v>
      </c>
      <c r="Q70" s="17">
        <f t="shared" si="389"/>
        <v>50.06447264439192</v>
      </c>
      <c r="R70" s="17">
        <f t="shared" si="389"/>
        <v>51.200578190131488</v>
      </c>
      <c r="S70" s="17">
        <f t="shared" si="389"/>
        <v>53.705792731794311</v>
      </c>
      <c r="T70" s="17">
        <f t="shared" si="389"/>
        <v>56.134958541013674</v>
      </c>
      <c r="U70" s="17">
        <f t="shared" si="389"/>
        <v>58.860420478381513</v>
      </c>
      <c r="V70" s="17">
        <f t="shared" si="389"/>
        <v>59.917098158050351</v>
      </c>
      <c r="W70" s="17">
        <f t="shared" si="389"/>
        <v>61.012359462442902</v>
      </c>
      <c r="X70" s="17">
        <f t="shared" si="389"/>
        <v>54.143060006849922</v>
      </c>
      <c r="Y70" s="17">
        <f t="shared" si="389"/>
        <v>56.229984956735791</v>
      </c>
      <c r="Z70" s="17">
        <f t="shared" si="389"/>
        <v>49.785851707882472</v>
      </c>
      <c r="AA70" s="18">
        <f t="shared" si="389"/>
        <v>51.847578560661852</v>
      </c>
      <c r="AB70" s="17">
        <f t="shared" si="389"/>
        <v>49.566494732434684</v>
      </c>
      <c r="AC70" s="17">
        <f t="shared" si="389"/>
        <v>48.87069567242014</v>
      </c>
      <c r="AD70" s="17">
        <f t="shared" si="389"/>
        <v>48.560178826422451</v>
      </c>
      <c r="AE70" s="17">
        <f t="shared" si="389"/>
        <v>49.89944612296717</v>
      </c>
      <c r="AF70" s="17">
        <f t="shared" si="389"/>
        <v>51.523140585834575</v>
      </c>
      <c r="AG70" s="17">
        <f t="shared" si="389"/>
        <v>51.540048740164295</v>
      </c>
      <c r="AH70" s="17">
        <f t="shared" si="389"/>
        <v>54.027281028681941</v>
      </c>
      <c r="AI70" s="17">
        <f t="shared" si="389"/>
        <v>56.439104282202223</v>
      </c>
      <c r="AJ70" s="17">
        <f t="shared" si="389"/>
        <v>53.155724083489773</v>
      </c>
      <c r="AK70" s="17">
        <f t="shared" si="389"/>
        <v>55.894645244978655</v>
      </c>
      <c r="AL70" s="17">
        <f t="shared" si="389"/>
        <v>52.193349595665232</v>
      </c>
      <c r="AM70" s="18">
        <f t="shared" si="389"/>
        <v>53.763567057882618</v>
      </c>
    </row>
    <row r="71" spans="1:62" hidden="1" outlineLevel="1" x14ac:dyDescent="0.35">
      <c r="A71" s="1" t="s">
        <v>264</v>
      </c>
      <c r="B71" s="1" t="s">
        <v>257</v>
      </c>
      <c r="C71" s="52">
        <v>0</v>
      </c>
      <c r="D71" s="53">
        <v>0</v>
      </c>
      <c r="E71" s="53">
        <v>0</v>
      </c>
      <c r="F71" s="53">
        <v>0</v>
      </c>
      <c r="G71" s="53">
        <v>0</v>
      </c>
      <c r="H71" s="53">
        <v>0</v>
      </c>
      <c r="I71" s="53">
        <v>0</v>
      </c>
      <c r="J71" s="53">
        <v>0</v>
      </c>
      <c r="K71" s="53">
        <v>0</v>
      </c>
      <c r="L71" s="53">
        <v>0</v>
      </c>
      <c r="M71" s="53">
        <v>0</v>
      </c>
      <c r="N71" s="53">
        <v>0</v>
      </c>
      <c r="O71" s="54">
        <v>0</v>
      </c>
      <c r="P71" s="53">
        <v>0</v>
      </c>
      <c r="Q71" s="53">
        <v>0</v>
      </c>
      <c r="R71" s="53">
        <v>0</v>
      </c>
      <c r="S71" s="53">
        <v>0</v>
      </c>
      <c r="T71" s="53">
        <v>0</v>
      </c>
      <c r="U71" s="53">
        <v>0</v>
      </c>
      <c r="V71" s="53">
        <v>0</v>
      </c>
      <c r="W71" s="53">
        <v>0</v>
      </c>
      <c r="X71" s="53">
        <v>0</v>
      </c>
      <c r="Y71" s="53">
        <v>0</v>
      </c>
      <c r="Z71" s="53">
        <v>0</v>
      </c>
      <c r="AA71" s="54">
        <v>0</v>
      </c>
      <c r="AB71" s="53">
        <v>0</v>
      </c>
      <c r="AC71" s="53">
        <v>0</v>
      </c>
      <c r="AD71" s="53">
        <v>0</v>
      </c>
      <c r="AE71" s="53">
        <v>0</v>
      </c>
      <c r="AF71" s="53">
        <v>0</v>
      </c>
      <c r="AG71" s="53">
        <v>0</v>
      </c>
      <c r="AH71" s="53">
        <v>0</v>
      </c>
      <c r="AI71" s="53">
        <v>0</v>
      </c>
      <c r="AJ71" s="53">
        <v>0</v>
      </c>
      <c r="AK71" s="53">
        <v>0</v>
      </c>
      <c r="AL71" s="53">
        <v>0</v>
      </c>
      <c r="AM71" s="54">
        <v>0</v>
      </c>
    </row>
    <row r="72" spans="1:62" hidden="1" outlineLevel="1" x14ac:dyDescent="0.35">
      <c r="A72" s="2" t="s">
        <v>264</v>
      </c>
      <c r="B72" s="2" t="s">
        <v>258</v>
      </c>
      <c r="C72" s="55">
        <f>'Input - GNPA'!C125</f>
        <v>0</v>
      </c>
      <c r="D72" s="56">
        <f>'Input - GNPA'!D125</f>
        <v>0</v>
      </c>
      <c r="E72" s="56">
        <f>'Input - GNPA'!E125</f>
        <v>0</v>
      </c>
      <c r="F72" s="56">
        <f>'Input - GNPA'!F125</f>
        <v>0</v>
      </c>
      <c r="G72" s="56">
        <f>'Input - GNPA'!G125</f>
        <v>0</v>
      </c>
      <c r="H72" s="56">
        <f>'Input - GNPA'!H125</f>
        <v>0</v>
      </c>
      <c r="I72" s="56">
        <f>'Input - GNPA'!I125</f>
        <v>0</v>
      </c>
      <c r="J72" s="56">
        <f>'Input - GNPA'!J125</f>
        <v>49.142105129079688</v>
      </c>
      <c r="K72" s="56">
        <f>'Input - GNPA'!K125</f>
        <v>52.195662341691467</v>
      </c>
      <c r="L72" s="56">
        <f>'Input - GNPA'!L125</f>
        <v>48.08519085062018</v>
      </c>
      <c r="M72" s="56">
        <f>'Input - GNPA'!M125</f>
        <v>51.242672946957889</v>
      </c>
      <c r="N72" s="56">
        <f>'Input - GNPA'!N125</f>
        <v>46.421613109620196</v>
      </c>
      <c r="O72" s="57">
        <f>'Input - GNPA'!O125</f>
        <v>57.305648715567202</v>
      </c>
      <c r="P72" s="56">
        <f>'Input - GNPA'!P125</f>
        <v>48.928094307722723</v>
      </c>
      <c r="Q72" s="56">
        <f>'Input - GNPA'!Q125</f>
        <v>50.06447264439192</v>
      </c>
      <c r="R72" s="56">
        <f>'Input - GNPA'!R125</f>
        <v>51.200578190131488</v>
      </c>
      <c r="S72" s="56">
        <f>'Input - GNPA'!S125</f>
        <v>53.705792731794311</v>
      </c>
      <c r="T72" s="56">
        <f>'Input - GNPA'!T125</f>
        <v>56.134958541013674</v>
      </c>
      <c r="U72" s="56">
        <f>'Input - GNPA'!U125</f>
        <v>58.860420478381513</v>
      </c>
      <c r="V72" s="56">
        <f>'Input - GNPA'!V125</f>
        <v>59.917098158050351</v>
      </c>
      <c r="W72" s="56">
        <f>'Input - GNPA'!W125</f>
        <v>61.012359462442902</v>
      </c>
      <c r="X72" s="56">
        <f>'Input - GNPA'!X125</f>
        <v>54.143060006849922</v>
      </c>
      <c r="Y72" s="56">
        <f>'Input - GNPA'!Y125</f>
        <v>56.229984956735791</v>
      </c>
      <c r="Z72" s="56">
        <f>'Input - GNPA'!Z125</f>
        <v>49.785851707882472</v>
      </c>
      <c r="AA72" s="57">
        <f>'Input - GNPA'!AA125</f>
        <v>51.847578560661852</v>
      </c>
      <c r="AB72" s="56">
        <f>'Input - GNPA'!AB125</f>
        <v>49.566494732434684</v>
      </c>
      <c r="AC72" s="56">
        <f>'Input - GNPA'!AC125</f>
        <v>48.87069567242014</v>
      </c>
      <c r="AD72" s="56">
        <f>'Input - GNPA'!AD125</f>
        <v>48.560178826422451</v>
      </c>
      <c r="AE72" s="56">
        <f>'Input - GNPA'!AE125</f>
        <v>49.89944612296717</v>
      </c>
      <c r="AF72" s="56">
        <f>'Input - GNPA'!AF125</f>
        <v>51.523140585834575</v>
      </c>
      <c r="AG72" s="56">
        <f>'Input - GNPA'!AG125</f>
        <v>51.540048740164295</v>
      </c>
      <c r="AH72" s="56">
        <f>'Input - GNPA'!AH125</f>
        <v>54.027281028681941</v>
      </c>
      <c r="AI72" s="56">
        <f>'Input - GNPA'!AI125</f>
        <v>56.439104282202223</v>
      </c>
      <c r="AJ72" s="56">
        <f>'Input - GNPA'!AJ125</f>
        <v>53.155724083489773</v>
      </c>
      <c r="AK72" s="56">
        <f>'Input - GNPA'!AK125</f>
        <v>55.894645244978655</v>
      </c>
      <c r="AL72" s="56">
        <f>'Input - GNPA'!AL125</f>
        <v>52.193349595665232</v>
      </c>
      <c r="AM72" s="57">
        <f>'Input - GNPA'!AM125</f>
        <v>53.763567057882618</v>
      </c>
    </row>
    <row r="73" spans="1:62" hidden="1" outlineLevel="1" x14ac:dyDescent="0.35">
      <c r="A73" s="3" t="s">
        <v>264</v>
      </c>
      <c r="B73" s="3" t="s">
        <v>259</v>
      </c>
      <c r="C73" s="58">
        <v>0</v>
      </c>
      <c r="D73" s="59">
        <v>0</v>
      </c>
      <c r="E73" s="59">
        <v>0</v>
      </c>
      <c r="F73" s="59">
        <v>0</v>
      </c>
      <c r="G73" s="59">
        <v>0</v>
      </c>
      <c r="H73" s="59">
        <v>0</v>
      </c>
      <c r="I73" s="59">
        <v>0</v>
      </c>
      <c r="J73" s="59">
        <v>0</v>
      </c>
      <c r="K73" s="59">
        <v>0</v>
      </c>
      <c r="L73" s="59">
        <v>0</v>
      </c>
      <c r="M73" s="59">
        <v>0</v>
      </c>
      <c r="N73" s="59">
        <v>0</v>
      </c>
      <c r="O73" s="60">
        <v>0</v>
      </c>
      <c r="P73" s="59">
        <v>0</v>
      </c>
      <c r="Q73" s="59">
        <v>0</v>
      </c>
      <c r="R73" s="59">
        <v>0</v>
      </c>
      <c r="S73" s="59">
        <v>0</v>
      </c>
      <c r="T73" s="59">
        <v>0</v>
      </c>
      <c r="U73" s="59">
        <v>0</v>
      </c>
      <c r="V73" s="59">
        <v>0</v>
      </c>
      <c r="W73" s="59">
        <v>0</v>
      </c>
      <c r="X73" s="59">
        <v>0</v>
      </c>
      <c r="Y73" s="59">
        <v>0</v>
      </c>
      <c r="Z73" s="59">
        <v>0</v>
      </c>
      <c r="AA73" s="60">
        <v>0</v>
      </c>
      <c r="AB73" s="59">
        <v>0</v>
      </c>
      <c r="AC73" s="59">
        <v>0</v>
      </c>
      <c r="AD73" s="59">
        <v>0</v>
      </c>
      <c r="AE73" s="59">
        <v>0</v>
      </c>
      <c r="AF73" s="59">
        <v>0</v>
      </c>
      <c r="AG73" s="59">
        <v>0</v>
      </c>
      <c r="AH73" s="59">
        <v>0</v>
      </c>
      <c r="AI73" s="59">
        <v>0</v>
      </c>
      <c r="AJ73" s="59">
        <v>0</v>
      </c>
      <c r="AK73" s="59">
        <v>0</v>
      </c>
      <c r="AL73" s="59">
        <v>0</v>
      </c>
      <c r="AM73" s="60">
        <v>0</v>
      </c>
    </row>
    <row r="74" spans="1:62" hidden="1" outlineLevel="1" x14ac:dyDescent="0.35"/>
    <row r="75" spans="1:62" collapsed="1" x14ac:dyDescent="0.35">
      <c r="A75" s="25" t="s">
        <v>268</v>
      </c>
      <c r="B75" s="4" t="s">
        <v>3</v>
      </c>
      <c r="C75" s="19">
        <f>$C$3</f>
        <v>45352</v>
      </c>
      <c r="D75" s="20">
        <f>EDATE(C75,1)</f>
        <v>45383</v>
      </c>
      <c r="E75" s="20">
        <f>EDATE(D75,1)</f>
        <v>45413</v>
      </c>
      <c r="F75" s="20">
        <f>EDATE(E75,1)</f>
        <v>45444</v>
      </c>
      <c r="G75" s="20">
        <f t="shared" ref="G75" si="390">EDATE(F75,1)</f>
        <v>45474</v>
      </c>
      <c r="H75" s="20">
        <f t="shared" ref="H75" si="391">EDATE(G75,1)</f>
        <v>45505</v>
      </c>
      <c r="I75" s="20">
        <f t="shared" ref="I75" si="392">EDATE(H75,1)</f>
        <v>45536</v>
      </c>
      <c r="J75" s="20">
        <f t="shared" ref="J75" si="393">EDATE(I75,1)</f>
        <v>45566</v>
      </c>
      <c r="K75" s="20">
        <f t="shared" ref="K75" si="394">EDATE(J75,1)</f>
        <v>45597</v>
      </c>
      <c r="L75" s="20">
        <f t="shared" ref="L75" si="395">EDATE(K75,1)</f>
        <v>45627</v>
      </c>
      <c r="M75" s="20">
        <f t="shared" ref="M75" si="396">EDATE(L75,1)</f>
        <v>45658</v>
      </c>
      <c r="N75" s="20">
        <f t="shared" ref="N75" si="397">EDATE(M75,1)</f>
        <v>45689</v>
      </c>
      <c r="O75" s="21">
        <f t="shared" ref="O75" si="398">EDATE(N75,1)</f>
        <v>45717</v>
      </c>
      <c r="P75" s="20">
        <f t="shared" ref="P75" si="399">EDATE(O75,1)</f>
        <v>45748</v>
      </c>
      <c r="Q75" s="20">
        <f t="shared" ref="Q75" si="400">EDATE(P75,1)</f>
        <v>45778</v>
      </c>
      <c r="R75" s="20">
        <f t="shared" ref="R75" si="401">EDATE(Q75,1)</f>
        <v>45809</v>
      </c>
      <c r="S75" s="20">
        <f t="shared" ref="S75" si="402">EDATE(R75,1)</f>
        <v>45839</v>
      </c>
      <c r="T75" s="20">
        <f t="shared" ref="T75" si="403">EDATE(S75,1)</f>
        <v>45870</v>
      </c>
      <c r="U75" s="20">
        <f t="shared" ref="U75" si="404">EDATE(T75,1)</f>
        <v>45901</v>
      </c>
      <c r="V75" s="20">
        <f t="shared" ref="V75" si="405">EDATE(U75,1)</f>
        <v>45931</v>
      </c>
      <c r="W75" s="20">
        <f t="shared" ref="W75" si="406">EDATE(V75,1)</f>
        <v>45962</v>
      </c>
      <c r="X75" s="20">
        <f t="shared" ref="X75" si="407">EDATE(W75,1)</f>
        <v>45992</v>
      </c>
      <c r="Y75" s="20">
        <f t="shared" ref="Y75" si="408">EDATE(X75,1)</f>
        <v>46023</v>
      </c>
      <c r="Z75" s="20">
        <f t="shared" ref="Z75" si="409">EDATE(Y75,1)</f>
        <v>46054</v>
      </c>
      <c r="AA75" s="21">
        <f t="shared" ref="AA75" si="410">EDATE(Z75,1)</f>
        <v>46082</v>
      </c>
      <c r="AB75" s="20">
        <f t="shared" ref="AB75" si="411">EDATE(AA75,1)</f>
        <v>46113</v>
      </c>
      <c r="AC75" s="20">
        <f t="shared" ref="AC75" si="412">EDATE(AB75,1)</f>
        <v>46143</v>
      </c>
      <c r="AD75" s="20">
        <f t="shared" ref="AD75" si="413">EDATE(AC75,1)</f>
        <v>46174</v>
      </c>
      <c r="AE75" s="20">
        <f t="shared" ref="AE75" si="414">EDATE(AD75,1)</f>
        <v>46204</v>
      </c>
      <c r="AF75" s="20">
        <f t="shared" ref="AF75" si="415">EDATE(AE75,1)</f>
        <v>46235</v>
      </c>
      <c r="AG75" s="20">
        <f t="shared" ref="AG75" si="416">EDATE(AF75,1)</f>
        <v>46266</v>
      </c>
      <c r="AH75" s="20">
        <f t="shared" ref="AH75" si="417">EDATE(AG75,1)</f>
        <v>46296</v>
      </c>
      <c r="AI75" s="20">
        <f t="shared" ref="AI75" si="418">EDATE(AH75,1)</f>
        <v>46327</v>
      </c>
      <c r="AJ75" s="20">
        <f t="shared" ref="AJ75" si="419">EDATE(AI75,1)</f>
        <v>46357</v>
      </c>
      <c r="AK75" s="20">
        <f t="shared" ref="AK75" si="420">EDATE(AJ75,1)</f>
        <v>46388</v>
      </c>
      <c r="AL75" s="20">
        <f t="shared" ref="AL75" si="421">EDATE(AK75,1)</f>
        <v>46419</v>
      </c>
      <c r="AM75" s="21">
        <f t="shared" ref="AM75" si="422">EDATE(AL75,1)</f>
        <v>46447</v>
      </c>
      <c r="AN75" s="20">
        <f t="shared" ref="AN75" si="423">EDATE(AM75,1)</f>
        <v>46478</v>
      </c>
      <c r="AO75" s="20">
        <f t="shared" ref="AO75" si="424">EDATE(AN75,1)</f>
        <v>46508</v>
      </c>
      <c r="AP75" s="20">
        <f t="shared" ref="AP75" si="425">EDATE(AO75,1)</f>
        <v>46539</v>
      </c>
      <c r="AQ75" s="20">
        <f t="shared" ref="AQ75" si="426">EDATE(AP75,1)</f>
        <v>46569</v>
      </c>
      <c r="AR75" s="20">
        <f t="shared" ref="AR75" si="427">EDATE(AQ75,1)</f>
        <v>46600</v>
      </c>
      <c r="AS75" s="20">
        <f t="shared" ref="AS75" si="428">EDATE(AR75,1)</f>
        <v>46631</v>
      </c>
      <c r="AT75" s="20">
        <f t="shared" ref="AT75" si="429">EDATE(AS75,1)</f>
        <v>46661</v>
      </c>
      <c r="AU75" s="20">
        <f t="shared" ref="AU75" si="430">EDATE(AT75,1)</f>
        <v>46692</v>
      </c>
      <c r="AV75" s="20">
        <f t="shared" ref="AV75" si="431">EDATE(AU75,1)</f>
        <v>46722</v>
      </c>
      <c r="AW75" s="20">
        <f t="shared" ref="AW75" si="432">EDATE(AV75,1)</f>
        <v>46753</v>
      </c>
      <c r="AX75" s="21">
        <f t="shared" ref="AX75" si="433">EDATE(AW75,1)</f>
        <v>46784</v>
      </c>
      <c r="AY75" s="20">
        <f t="shared" ref="AY75" si="434">EDATE(AX75,1)</f>
        <v>46813</v>
      </c>
      <c r="AZ75" s="20">
        <f t="shared" ref="AZ75" si="435">EDATE(AY75,1)</f>
        <v>46844</v>
      </c>
      <c r="BA75" s="20">
        <f t="shared" ref="BA75" si="436">EDATE(AZ75,1)</f>
        <v>46874</v>
      </c>
      <c r="BB75" s="20">
        <f t="shared" ref="BB75" si="437">EDATE(BA75,1)</f>
        <v>46905</v>
      </c>
      <c r="BC75" s="20">
        <f t="shared" ref="BC75" si="438">EDATE(BB75,1)</f>
        <v>46935</v>
      </c>
      <c r="BD75" s="20">
        <f t="shared" ref="BD75" si="439">EDATE(BC75,1)</f>
        <v>46966</v>
      </c>
      <c r="BE75" s="20">
        <f t="shared" ref="BE75" si="440">EDATE(BD75,1)</f>
        <v>46997</v>
      </c>
      <c r="BF75" s="20">
        <f t="shared" ref="BF75" si="441">EDATE(BE75,1)</f>
        <v>47027</v>
      </c>
      <c r="BG75" s="20">
        <f t="shared" ref="BG75" si="442">EDATE(BF75,1)</f>
        <v>47058</v>
      </c>
      <c r="BH75" s="20">
        <f t="shared" ref="BH75" si="443">EDATE(BG75,1)</f>
        <v>47088</v>
      </c>
      <c r="BI75" s="20">
        <f t="shared" ref="BI75" si="444">EDATE(BH75,1)</f>
        <v>47119</v>
      </c>
      <c r="BJ75" s="21">
        <f t="shared" ref="BJ75" si="445">EDATE(BI75,1)</f>
        <v>47150</v>
      </c>
    </row>
    <row r="76" spans="1:62" x14ac:dyDescent="0.35">
      <c r="A76" s="15" t="s">
        <v>193</v>
      </c>
      <c r="B76" s="15" t="s">
        <v>159</v>
      </c>
      <c r="C76" s="16">
        <f>SUM(C77:C79)</f>
        <v>89.146480292920245</v>
      </c>
      <c r="D76" s="17">
        <f t="shared" ref="D76:BJ76" si="446">SUM(D77:D79)</f>
        <v>88.033561075874601</v>
      </c>
      <c r="E76" s="17">
        <f t="shared" si="446"/>
        <v>84.409120819573914</v>
      </c>
      <c r="F76" s="17">
        <f t="shared" si="446"/>
        <v>81.257349967831644</v>
      </c>
      <c r="G76" s="17">
        <f t="shared" si="446"/>
        <v>78.949689814554603</v>
      </c>
      <c r="H76" s="17">
        <f t="shared" si="446"/>
        <v>76.844184954741564</v>
      </c>
      <c r="I76" s="17">
        <f t="shared" si="446"/>
        <v>74.871347624963406</v>
      </c>
      <c r="J76" s="17">
        <f t="shared" si="446"/>
        <v>72.873756572516683</v>
      </c>
      <c r="K76" s="17">
        <f t="shared" si="446"/>
        <v>70.736166630936694</v>
      </c>
      <c r="L76" s="17">
        <f t="shared" si="446"/>
        <v>68.807457651835861</v>
      </c>
      <c r="M76" s="17">
        <f t="shared" si="446"/>
        <v>66.848352846095878</v>
      </c>
      <c r="N76" s="17">
        <f t="shared" si="446"/>
        <v>64.933938702864069</v>
      </c>
      <c r="O76" s="18">
        <f t="shared" si="446"/>
        <v>63.421126384580951</v>
      </c>
      <c r="P76" s="17">
        <f t="shared" si="446"/>
        <v>60.779542982308456</v>
      </c>
      <c r="Q76" s="17">
        <f t="shared" si="446"/>
        <v>58.311637443885701</v>
      </c>
      <c r="R76" s="17">
        <f t="shared" si="446"/>
        <v>55.989411901810826</v>
      </c>
      <c r="S76" s="17">
        <f t="shared" si="446"/>
        <v>53.823386028107819</v>
      </c>
      <c r="T76" s="17">
        <f t="shared" si="446"/>
        <v>51.822466001658661</v>
      </c>
      <c r="U76" s="17">
        <f t="shared" si="446"/>
        <v>49.92985805447141</v>
      </c>
      <c r="V76" s="17">
        <f t="shared" si="446"/>
        <v>48.621824997710554</v>
      </c>
      <c r="W76" s="17">
        <f t="shared" si="446"/>
        <v>47.796962064110474</v>
      </c>
      <c r="X76" s="17">
        <f t="shared" si="446"/>
        <v>47.560399263207046</v>
      </c>
      <c r="Y76" s="17">
        <f t="shared" si="446"/>
        <v>47.922732702757393</v>
      </c>
      <c r="Z76" s="17">
        <f t="shared" si="446"/>
        <v>48.799511340816593</v>
      </c>
      <c r="AA76" s="18">
        <f t="shared" si="446"/>
        <v>51.02916559631192</v>
      </c>
      <c r="AB76" s="17">
        <f t="shared" si="446"/>
        <v>50.91014697792022</v>
      </c>
      <c r="AC76" s="17">
        <f t="shared" si="446"/>
        <v>51.320761425716512</v>
      </c>
      <c r="AD76" s="17">
        <f t="shared" si="446"/>
        <v>52.449024555084016</v>
      </c>
      <c r="AE76" s="17">
        <f t="shared" si="446"/>
        <v>54.523150256518619</v>
      </c>
      <c r="AF76" s="17">
        <f t="shared" si="446"/>
        <v>57.595898798383878</v>
      </c>
      <c r="AG76" s="17">
        <f t="shared" si="446"/>
        <v>61.637439018704377</v>
      </c>
      <c r="AH76" s="17">
        <f t="shared" si="446"/>
        <v>69.199584971965834</v>
      </c>
      <c r="AI76" s="17">
        <f t="shared" si="446"/>
        <v>76.26691424933729</v>
      </c>
      <c r="AJ76" s="17">
        <f t="shared" si="446"/>
        <v>83.556822190503851</v>
      </c>
      <c r="AK76" s="17">
        <f t="shared" si="446"/>
        <v>91.052777497848126</v>
      </c>
      <c r="AL76" s="17">
        <f t="shared" si="446"/>
        <v>98.399025161802584</v>
      </c>
      <c r="AM76" s="18">
        <f t="shared" si="446"/>
        <v>108.3268055876915</v>
      </c>
      <c r="AN76" s="17" t="e">
        <f t="shared" si="446"/>
        <v>#DIV/0!</v>
      </c>
      <c r="AO76" s="17" t="e">
        <f t="shared" si="446"/>
        <v>#DIV/0!</v>
      </c>
      <c r="AP76" s="17" t="e">
        <f t="shared" si="446"/>
        <v>#DIV/0!</v>
      </c>
      <c r="AQ76" s="17" t="e">
        <f t="shared" si="446"/>
        <v>#DIV/0!</v>
      </c>
      <c r="AR76" s="17" t="e">
        <f t="shared" si="446"/>
        <v>#DIV/0!</v>
      </c>
      <c r="AS76" s="17" t="e">
        <f t="shared" si="446"/>
        <v>#DIV/0!</v>
      </c>
      <c r="AT76" s="17" t="e">
        <f t="shared" si="446"/>
        <v>#DIV/0!</v>
      </c>
      <c r="AU76" s="17" t="e">
        <f t="shared" si="446"/>
        <v>#DIV/0!</v>
      </c>
      <c r="AV76" s="17" t="e">
        <f t="shared" si="446"/>
        <v>#DIV/0!</v>
      </c>
      <c r="AW76" s="17" t="e">
        <f t="shared" si="446"/>
        <v>#DIV/0!</v>
      </c>
      <c r="AX76" s="18" t="e">
        <f t="shared" si="446"/>
        <v>#DIV/0!</v>
      </c>
      <c r="AY76" s="17" t="e">
        <f t="shared" si="446"/>
        <v>#DIV/0!</v>
      </c>
      <c r="AZ76" s="17" t="e">
        <f t="shared" si="446"/>
        <v>#DIV/0!</v>
      </c>
      <c r="BA76" s="17" t="e">
        <f t="shared" si="446"/>
        <v>#DIV/0!</v>
      </c>
      <c r="BB76" s="17" t="e">
        <f t="shared" si="446"/>
        <v>#DIV/0!</v>
      </c>
      <c r="BC76" s="17" t="e">
        <f t="shared" si="446"/>
        <v>#DIV/0!</v>
      </c>
      <c r="BD76" s="17" t="e">
        <f t="shared" si="446"/>
        <v>#DIV/0!</v>
      </c>
      <c r="BE76" s="17" t="e">
        <f t="shared" si="446"/>
        <v>#DIV/0!</v>
      </c>
      <c r="BF76" s="17" t="e">
        <f t="shared" si="446"/>
        <v>#DIV/0!</v>
      </c>
      <c r="BG76" s="17" t="e">
        <f t="shared" si="446"/>
        <v>#DIV/0!</v>
      </c>
      <c r="BH76" s="17" t="e">
        <f t="shared" si="446"/>
        <v>#DIV/0!</v>
      </c>
      <c r="BI76" s="17" t="e">
        <f t="shared" si="446"/>
        <v>#DIV/0!</v>
      </c>
      <c r="BJ76" s="18" t="e">
        <f t="shared" si="446"/>
        <v>#DIV/0!</v>
      </c>
    </row>
    <row r="77" spans="1:62" x14ac:dyDescent="0.35">
      <c r="A77" s="1" t="s">
        <v>193</v>
      </c>
      <c r="B77" s="1" t="s">
        <v>257</v>
      </c>
      <c r="C77" s="251">
        <f>C83+C89+C95</f>
        <v>85.23787390067227</v>
      </c>
      <c r="D77" s="44">
        <f t="shared" ref="D77:AM77" si="447">D83+D89+D95</f>
        <v>84.131802165730448</v>
      </c>
      <c r="E77" s="44">
        <f t="shared" si="447"/>
        <v>80.64965251635941</v>
      </c>
      <c r="F77" s="44">
        <f t="shared" si="447"/>
        <v>77.651219981078739</v>
      </c>
      <c r="G77" s="44">
        <f t="shared" si="447"/>
        <v>75.5118013660869</v>
      </c>
      <c r="H77" s="44">
        <f t="shared" si="447"/>
        <v>73.585402500414375</v>
      </c>
      <c r="I77" s="44">
        <f t="shared" si="447"/>
        <v>71.790463900845751</v>
      </c>
      <c r="J77" s="44">
        <f t="shared" si="447"/>
        <v>69.97349530581505</v>
      </c>
      <c r="K77" s="44">
        <f t="shared" si="447"/>
        <v>68.006450073007244</v>
      </c>
      <c r="L77" s="44">
        <f t="shared" si="447"/>
        <v>66.239569027538991</v>
      </c>
      <c r="M77" s="44">
        <f t="shared" si="447"/>
        <v>64.441589218163642</v>
      </c>
      <c r="N77" s="44">
        <f t="shared" si="447"/>
        <v>62.677348061341576</v>
      </c>
      <c r="O77" s="45">
        <f t="shared" si="447"/>
        <v>61.33116609224826</v>
      </c>
      <c r="P77" s="44">
        <f t="shared" si="447"/>
        <v>58.76098517685805</v>
      </c>
      <c r="Q77" s="44">
        <f t="shared" si="447"/>
        <v>56.372162756777271</v>
      </c>
      <c r="R77" s="44">
        <f t="shared" si="447"/>
        <v>54.135612471920666</v>
      </c>
      <c r="S77" s="44">
        <f t="shared" si="447"/>
        <v>52.06413990666325</v>
      </c>
      <c r="T77" s="44">
        <f t="shared" si="447"/>
        <v>50.162945385486012</v>
      </c>
      <c r="U77" s="44">
        <f t="shared" si="447"/>
        <v>48.369898392903131</v>
      </c>
      <c r="V77" s="44">
        <f t="shared" si="447"/>
        <v>47.143203048775099</v>
      </c>
      <c r="W77" s="44">
        <f t="shared" si="447"/>
        <v>46.377639334369128</v>
      </c>
      <c r="X77" s="44">
        <f t="shared" si="447"/>
        <v>46.183475628089447</v>
      </c>
      <c r="Y77" s="44">
        <f t="shared" si="447"/>
        <v>46.571418498645883</v>
      </c>
      <c r="Z77" s="44">
        <f t="shared" si="447"/>
        <v>47.457302386587287</v>
      </c>
      <c r="AA77" s="45">
        <f t="shared" si="447"/>
        <v>49.679988957578892</v>
      </c>
      <c r="AB77" s="44">
        <f t="shared" si="447"/>
        <v>49.543262197773487</v>
      </c>
      <c r="AC77" s="44">
        <f t="shared" si="447"/>
        <v>49.928120824172382</v>
      </c>
      <c r="AD77" s="44">
        <f t="shared" si="447"/>
        <v>51.01649254460964</v>
      </c>
      <c r="AE77" s="44">
        <f t="shared" si="447"/>
        <v>53.033509211617918</v>
      </c>
      <c r="AF77" s="44">
        <f t="shared" si="447"/>
        <v>56.03112923582988</v>
      </c>
      <c r="AG77" s="44">
        <f t="shared" si="447"/>
        <v>59.97768015440181</v>
      </c>
      <c r="AH77" s="44">
        <f t="shared" si="447"/>
        <v>67.352389131422512</v>
      </c>
      <c r="AI77" s="44">
        <f t="shared" si="447"/>
        <v>74.251129006729599</v>
      </c>
      <c r="AJ77" s="44">
        <f t="shared" si="447"/>
        <v>81.380207370467843</v>
      </c>
      <c r="AK77" s="44">
        <f t="shared" si="447"/>
        <v>88.724253156116689</v>
      </c>
      <c r="AL77" s="44">
        <f t="shared" si="447"/>
        <v>95.93166484493463</v>
      </c>
      <c r="AM77" s="45">
        <f t="shared" si="447"/>
        <v>105.70878746799053</v>
      </c>
      <c r="AN77" s="44" t="e">
        <f>'Input - ENR'!AN76*AN83/'Input - ENR'!AN82</f>
        <v>#DIV/0!</v>
      </c>
      <c r="AO77" s="44" t="e">
        <f>'Input - ENR'!AO76*AO83/'Input - ENR'!AO82</f>
        <v>#DIV/0!</v>
      </c>
      <c r="AP77" s="44" t="e">
        <f>'Input - ENR'!AP76*AP83/'Input - ENR'!AP82</f>
        <v>#DIV/0!</v>
      </c>
      <c r="AQ77" s="44" t="e">
        <f>'Input - ENR'!AQ76*AQ83/'Input - ENR'!AQ82</f>
        <v>#DIV/0!</v>
      </c>
      <c r="AR77" s="44" t="e">
        <f>'Input - ENR'!AR76*AR83/'Input - ENR'!AR82</f>
        <v>#DIV/0!</v>
      </c>
      <c r="AS77" s="44" t="e">
        <f>'Input - ENR'!AS76*AS83/'Input - ENR'!AS82</f>
        <v>#DIV/0!</v>
      </c>
      <c r="AT77" s="44" t="e">
        <f>'Input - ENR'!AT76*AT83/'Input - ENR'!AT82</f>
        <v>#DIV/0!</v>
      </c>
      <c r="AU77" s="44" t="e">
        <f>'Input - ENR'!AU76*AU83/'Input - ENR'!AU82</f>
        <v>#DIV/0!</v>
      </c>
      <c r="AV77" s="44" t="e">
        <f>'Input - ENR'!AV76*AV83/'Input - ENR'!AV82</f>
        <v>#DIV/0!</v>
      </c>
      <c r="AW77" s="44" t="e">
        <f>'Input - ENR'!AW76*AW83/'Input - ENR'!AW82</f>
        <v>#DIV/0!</v>
      </c>
      <c r="AX77" s="45" t="e">
        <f>'Input - ENR'!AX76*AX83/'Input - ENR'!AX82</f>
        <v>#DIV/0!</v>
      </c>
      <c r="AY77" s="44" t="e">
        <f>'Input - ENR'!AY76*AY83/'Input - ENR'!AY82</f>
        <v>#DIV/0!</v>
      </c>
      <c r="AZ77" s="44" t="e">
        <f>'Input - ENR'!AZ76*AZ83/'Input - ENR'!AZ82</f>
        <v>#DIV/0!</v>
      </c>
      <c r="BA77" s="44" t="e">
        <f>'Input - ENR'!BA76*BA83/'Input - ENR'!BA82</f>
        <v>#DIV/0!</v>
      </c>
      <c r="BB77" s="44" t="e">
        <f>'Input - ENR'!BB76*BB83/'Input - ENR'!BB82</f>
        <v>#DIV/0!</v>
      </c>
      <c r="BC77" s="44" t="e">
        <f>'Input - ENR'!BC76*BC83/'Input - ENR'!BC82</f>
        <v>#DIV/0!</v>
      </c>
      <c r="BD77" s="44" t="e">
        <f>'Input - ENR'!BD76*BD83/'Input - ENR'!BD82</f>
        <v>#DIV/0!</v>
      </c>
      <c r="BE77" s="44" t="e">
        <f>'Input - ENR'!BE76*BE83/'Input - ENR'!BE82</f>
        <v>#DIV/0!</v>
      </c>
      <c r="BF77" s="44" t="e">
        <f>'Input - ENR'!BF76*BF83/'Input - ENR'!BF82</f>
        <v>#DIV/0!</v>
      </c>
      <c r="BG77" s="44" t="e">
        <f>'Input - ENR'!BG76*BG83/'Input - ENR'!BG82</f>
        <v>#DIV/0!</v>
      </c>
      <c r="BH77" s="44" t="e">
        <f>'Input - ENR'!BH76*BH83/'Input - ENR'!BH82</f>
        <v>#DIV/0!</v>
      </c>
      <c r="BI77" s="44" t="e">
        <f>'Input - ENR'!BI76*BI83/'Input - ENR'!BI82</f>
        <v>#DIV/0!</v>
      </c>
      <c r="BJ77" s="45" t="e">
        <f>'Input - ENR'!BJ76*BJ83/'Input - ENR'!BJ82</f>
        <v>#DIV/0!</v>
      </c>
    </row>
    <row r="78" spans="1:62" x14ac:dyDescent="0.35">
      <c r="A78" s="2" t="s">
        <v>193</v>
      </c>
      <c r="B78" s="2" t="s">
        <v>258</v>
      </c>
      <c r="C78" s="249">
        <f t="shared" ref="C78:AM78" si="448">C84+C90+C96</f>
        <v>0</v>
      </c>
      <c r="D78" s="47">
        <f t="shared" si="448"/>
        <v>0</v>
      </c>
      <c r="E78" s="47">
        <f t="shared" si="448"/>
        <v>0</v>
      </c>
      <c r="F78" s="47">
        <f t="shared" si="448"/>
        <v>0</v>
      </c>
      <c r="G78" s="47">
        <f t="shared" si="448"/>
        <v>0</v>
      </c>
      <c r="H78" s="47">
        <f t="shared" si="448"/>
        <v>0</v>
      </c>
      <c r="I78" s="47">
        <f t="shared" si="448"/>
        <v>0</v>
      </c>
      <c r="J78" s="47">
        <f t="shared" si="448"/>
        <v>0</v>
      </c>
      <c r="K78" s="47">
        <f t="shared" si="448"/>
        <v>0</v>
      </c>
      <c r="L78" s="47">
        <f t="shared" si="448"/>
        <v>0</v>
      </c>
      <c r="M78" s="47">
        <f t="shared" si="448"/>
        <v>0</v>
      </c>
      <c r="N78" s="47">
        <f t="shared" si="448"/>
        <v>0</v>
      </c>
      <c r="O78" s="48">
        <f t="shared" si="448"/>
        <v>0</v>
      </c>
      <c r="P78" s="47">
        <f t="shared" si="448"/>
        <v>0</v>
      </c>
      <c r="Q78" s="47">
        <f t="shared" si="448"/>
        <v>0</v>
      </c>
      <c r="R78" s="47">
        <f t="shared" si="448"/>
        <v>0</v>
      </c>
      <c r="S78" s="47">
        <f t="shared" si="448"/>
        <v>0</v>
      </c>
      <c r="T78" s="47">
        <f t="shared" si="448"/>
        <v>0</v>
      </c>
      <c r="U78" s="47">
        <f t="shared" si="448"/>
        <v>0</v>
      </c>
      <c r="V78" s="47">
        <f t="shared" si="448"/>
        <v>0</v>
      </c>
      <c r="W78" s="47">
        <f t="shared" si="448"/>
        <v>0</v>
      </c>
      <c r="X78" s="47">
        <f t="shared" si="448"/>
        <v>0</v>
      </c>
      <c r="Y78" s="47">
        <f t="shared" si="448"/>
        <v>0</v>
      </c>
      <c r="Z78" s="47">
        <f t="shared" si="448"/>
        <v>0</v>
      </c>
      <c r="AA78" s="48">
        <f t="shared" si="448"/>
        <v>0</v>
      </c>
      <c r="AB78" s="47">
        <f t="shared" si="448"/>
        <v>0</v>
      </c>
      <c r="AC78" s="47">
        <f t="shared" si="448"/>
        <v>0</v>
      </c>
      <c r="AD78" s="47">
        <f t="shared" si="448"/>
        <v>0</v>
      </c>
      <c r="AE78" s="47">
        <f t="shared" si="448"/>
        <v>0</v>
      </c>
      <c r="AF78" s="47">
        <f t="shared" si="448"/>
        <v>0</v>
      </c>
      <c r="AG78" s="47">
        <f t="shared" si="448"/>
        <v>0</v>
      </c>
      <c r="AH78" s="47">
        <f t="shared" si="448"/>
        <v>0</v>
      </c>
      <c r="AI78" s="47">
        <f t="shared" si="448"/>
        <v>0</v>
      </c>
      <c r="AJ78" s="47">
        <f t="shared" si="448"/>
        <v>0</v>
      </c>
      <c r="AK78" s="47">
        <f t="shared" si="448"/>
        <v>0</v>
      </c>
      <c r="AL78" s="47">
        <f t="shared" si="448"/>
        <v>0</v>
      </c>
      <c r="AM78" s="48">
        <f t="shared" si="448"/>
        <v>0</v>
      </c>
      <c r="AN78" s="47" t="e">
        <f>'Input - ENR'!AN77*AN84/'Input - ENR'!AN83</f>
        <v>#DIV/0!</v>
      </c>
      <c r="AO78" s="47" t="e">
        <f>'Input - ENR'!AO77*AO84/'Input - ENR'!AO83</f>
        <v>#DIV/0!</v>
      </c>
      <c r="AP78" s="47" t="e">
        <f>'Input - ENR'!AP77*AP84/'Input - ENR'!AP83</f>
        <v>#DIV/0!</v>
      </c>
      <c r="AQ78" s="47" t="e">
        <f>'Input - ENR'!AQ77*AQ84/'Input - ENR'!AQ83</f>
        <v>#DIV/0!</v>
      </c>
      <c r="AR78" s="47" t="e">
        <f>'Input - ENR'!AR77*AR84/'Input - ENR'!AR83</f>
        <v>#DIV/0!</v>
      </c>
      <c r="AS78" s="47" t="e">
        <f>'Input - ENR'!AS77*AS84/'Input - ENR'!AS83</f>
        <v>#DIV/0!</v>
      </c>
      <c r="AT78" s="47" t="e">
        <f>'Input - ENR'!AT77*AT84/'Input - ENR'!AT83</f>
        <v>#DIV/0!</v>
      </c>
      <c r="AU78" s="47" t="e">
        <f>'Input - ENR'!AU77*AU84/'Input - ENR'!AU83</f>
        <v>#DIV/0!</v>
      </c>
      <c r="AV78" s="47" t="e">
        <f>'Input - ENR'!AV77*AV84/'Input - ENR'!AV83</f>
        <v>#DIV/0!</v>
      </c>
      <c r="AW78" s="47" t="e">
        <f>'Input - ENR'!AW77*AW84/'Input - ENR'!AW83</f>
        <v>#DIV/0!</v>
      </c>
      <c r="AX78" s="48" t="e">
        <f>'Input - ENR'!AX77*AX84/'Input - ENR'!AX83</f>
        <v>#DIV/0!</v>
      </c>
      <c r="AY78" s="47" t="e">
        <f>'Input - ENR'!AY77*AY84/'Input - ENR'!AY83</f>
        <v>#DIV/0!</v>
      </c>
      <c r="AZ78" s="47" t="e">
        <f>'Input - ENR'!AZ77*AZ84/'Input - ENR'!AZ83</f>
        <v>#DIV/0!</v>
      </c>
      <c r="BA78" s="47" t="e">
        <f>'Input - ENR'!BA77*BA84/'Input - ENR'!BA83</f>
        <v>#DIV/0!</v>
      </c>
      <c r="BB78" s="47" t="e">
        <f>'Input - ENR'!BB77*BB84/'Input - ENR'!BB83</f>
        <v>#DIV/0!</v>
      </c>
      <c r="BC78" s="47" t="e">
        <f>'Input - ENR'!BC77*BC84/'Input - ENR'!BC83</f>
        <v>#DIV/0!</v>
      </c>
      <c r="BD78" s="47" t="e">
        <f>'Input - ENR'!BD77*BD84/'Input - ENR'!BD83</f>
        <v>#DIV/0!</v>
      </c>
      <c r="BE78" s="47" t="e">
        <f>'Input - ENR'!BE77*BE84/'Input - ENR'!BE83</f>
        <v>#DIV/0!</v>
      </c>
      <c r="BF78" s="47" t="e">
        <f>'Input - ENR'!BF77*BF84/'Input - ENR'!BF83</f>
        <v>#DIV/0!</v>
      </c>
      <c r="BG78" s="47" t="e">
        <f>'Input - ENR'!BG77*BG84/'Input - ENR'!BG83</f>
        <v>#DIV/0!</v>
      </c>
      <c r="BH78" s="47" t="e">
        <f>'Input - ENR'!BH77*BH84/'Input - ENR'!BH83</f>
        <v>#DIV/0!</v>
      </c>
      <c r="BI78" s="47" t="e">
        <f>'Input - ENR'!BI77*BI84/'Input - ENR'!BI83</f>
        <v>#DIV/0!</v>
      </c>
      <c r="BJ78" s="48" t="e">
        <f>'Input - ENR'!BJ77*BJ84/'Input - ENR'!BJ83</f>
        <v>#DIV/0!</v>
      </c>
    </row>
    <row r="79" spans="1:62" x14ac:dyDescent="0.35">
      <c r="A79" s="3" t="s">
        <v>193</v>
      </c>
      <c r="B79" s="3" t="s">
        <v>259</v>
      </c>
      <c r="C79" s="250">
        <f t="shared" ref="C79:AM79" si="449">C85+C91+C97</f>
        <v>3.9086063922479695</v>
      </c>
      <c r="D79" s="50">
        <f t="shared" si="449"/>
        <v>3.9017589101441521</v>
      </c>
      <c r="E79" s="50">
        <f t="shared" si="449"/>
        <v>3.7594683032145091</v>
      </c>
      <c r="F79" s="50">
        <f t="shared" si="449"/>
        <v>3.6061299867529022</v>
      </c>
      <c r="G79" s="50">
        <f t="shared" si="449"/>
        <v>3.4378884484677026</v>
      </c>
      <c r="H79" s="50">
        <f t="shared" si="449"/>
        <v>3.2587824543271866</v>
      </c>
      <c r="I79" s="50">
        <f t="shared" si="449"/>
        <v>3.0808837241176517</v>
      </c>
      <c r="J79" s="50">
        <f t="shared" si="449"/>
        <v>2.9002612667016341</v>
      </c>
      <c r="K79" s="50">
        <f t="shared" si="449"/>
        <v>2.7297165579294531</v>
      </c>
      <c r="L79" s="50">
        <f t="shared" si="449"/>
        <v>2.567888624296871</v>
      </c>
      <c r="M79" s="50">
        <f t="shared" si="449"/>
        <v>2.4067636279322402</v>
      </c>
      <c r="N79" s="50">
        <f t="shared" si="449"/>
        <v>2.2565906415224943</v>
      </c>
      <c r="O79" s="51">
        <f t="shared" si="449"/>
        <v>2.0899602923326914</v>
      </c>
      <c r="P79" s="50">
        <f t="shared" si="449"/>
        <v>2.0185578054504072</v>
      </c>
      <c r="Q79" s="50">
        <f t="shared" si="449"/>
        <v>1.9394746871084263</v>
      </c>
      <c r="R79" s="50">
        <f t="shared" si="449"/>
        <v>1.8537994298901599</v>
      </c>
      <c r="S79" s="50">
        <f t="shared" si="449"/>
        <v>1.7592461214445674</v>
      </c>
      <c r="T79" s="50">
        <f t="shared" si="449"/>
        <v>1.6595206161726521</v>
      </c>
      <c r="U79" s="50">
        <f t="shared" si="449"/>
        <v>1.5599596615682785</v>
      </c>
      <c r="V79" s="50">
        <f t="shared" si="449"/>
        <v>1.4786219489354571</v>
      </c>
      <c r="W79" s="50">
        <f t="shared" si="449"/>
        <v>1.4193227297413433</v>
      </c>
      <c r="X79" s="50">
        <f t="shared" si="449"/>
        <v>1.3769236351175966</v>
      </c>
      <c r="Y79" s="50">
        <f t="shared" si="449"/>
        <v>1.3513142041115074</v>
      </c>
      <c r="Z79" s="50">
        <f t="shared" si="449"/>
        <v>1.342208954229305</v>
      </c>
      <c r="AA79" s="51">
        <f t="shared" si="449"/>
        <v>1.3491766387330248</v>
      </c>
      <c r="AB79" s="50">
        <f t="shared" si="449"/>
        <v>1.3668847801467334</v>
      </c>
      <c r="AC79" s="50">
        <f t="shared" si="449"/>
        <v>1.3926406015441304</v>
      </c>
      <c r="AD79" s="50">
        <f t="shared" si="449"/>
        <v>1.4325320104743737</v>
      </c>
      <c r="AE79" s="50">
        <f t="shared" si="449"/>
        <v>1.4896410449007031</v>
      </c>
      <c r="AF79" s="50">
        <f t="shared" si="449"/>
        <v>1.5647695625539997</v>
      </c>
      <c r="AG79" s="50">
        <f t="shared" si="449"/>
        <v>1.6597588643025658</v>
      </c>
      <c r="AH79" s="50">
        <f t="shared" si="449"/>
        <v>1.8471958405433164</v>
      </c>
      <c r="AI79" s="50">
        <f t="shared" si="449"/>
        <v>2.0157852426076932</v>
      </c>
      <c r="AJ79" s="50">
        <f t="shared" si="449"/>
        <v>2.1766148200360012</v>
      </c>
      <c r="AK79" s="50">
        <f t="shared" si="449"/>
        <v>2.3285243417314407</v>
      </c>
      <c r="AL79" s="50">
        <f t="shared" si="449"/>
        <v>2.4673603168679521</v>
      </c>
      <c r="AM79" s="51">
        <f t="shared" si="449"/>
        <v>2.6180181197009622</v>
      </c>
      <c r="AN79" s="50">
        <f>IFERROR('Input - ENR'!AN90*AN85/'Input - ENR'!AN84,0)</f>
        <v>0</v>
      </c>
      <c r="AO79" s="50">
        <f>IFERROR('Input - ENR'!AO90*AO85/'Input - ENR'!AO84,0)</f>
        <v>0</v>
      </c>
      <c r="AP79" s="50">
        <f>IFERROR('Input - ENR'!AP90*AP85/'Input - ENR'!AP84,0)</f>
        <v>0</v>
      </c>
      <c r="AQ79" s="50">
        <f>IFERROR('Input - ENR'!AQ90*AQ85/'Input - ENR'!AQ84,0)</f>
        <v>0</v>
      </c>
      <c r="AR79" s="50">
        <f>IFERROR('Input - ENR'!AR90*AR85/'Input - ENR'!AR84,0)</f>
        <v>0</v>
      </c>
      <c r="AS79" s="50">
        <f>IFERROR('Input - ENR'!AS90*AS85/'Input - ENR'!AS84,0)</f>
        <v>0</v>
      </c>
      <c r="AT79" s="50">
        <f>IFERROR('Input - ENR'!AT90*AT85/'Input - ENR'!AT84,0)</f>
        <v>0</v>
      </c>
      <c r="AU79" s="50">
        <f>IFERROR('Input - ENR'!AU90*AU85/'Input - ENR'!AU84,0)</f>
        <v>0</v>
      </c>
      <c r="AV79" s="50">
        <f>IFERROR('Input - ENR'!AV90*AV85/'Input - ENR'!AV84,0)</f>
        <v>0</v>
      </c>
      <c r="AW79" s="50">
        <f>IFERROR('Input - ENR'!AW90*AW85/'Input - ENR'!AW84,0)</f>
        <v>0</v>
      </c>
      <c r="AX79" s="51">
        <f>IFERROR('Input - ENR'!AX90*AX85/'Input - ENR'!AX84,0)</f>
        <v>0</v>
      </c>
      <c r="AY79" s="50">
        <f>IFERROR('Input - ENR'!AY90*AY85/'Input - ENR'!AY84,0)</f>
        <v>0</v>
      </c>
      <c r="AZ79" s="50">
        <f>IFERROR('Input - ENR'!AZ90*AZ85/'Input - ENR'!AZ84,0)</f>
        <v>0</v>
      </c>
      <c r="BA79" s="50">
        <f>IFERROR('Input - ENR'!BA90*BA85/'Input - ENR'!BA84,0)</f>
        <v>0</v>
      </c>
      <c r="BB79" s="50">
        <f>IFERROR('Input - ENR'!BB90*BB85/'Input - ENR'!BB84,0)</f>
        <v>0</v>
      </c>
      <c r="BC79" s="50">
        <f>IFERROR('Input - ENR'!BC90*BC85/'Input - ENR'!BC84,0)</f>
        <v>0</v>
      </c>
      <c r="BD79" s="50">
        <f>IFERROR('Input - ENR'!BD90*BD85/'Input - ENR'!BD84,0)</f>
        <v>0</v>
      </c>
      <c r="BE79" s="50">
        <f>IFERROR('Input - ENR'!BE90*BE85/'Input - ENR'!BE84,0)</f>
        <v>0</v>
      </c>
      <c r="BF79" s="50">
        <f>IFERROR('Input - ENR'!BF90*BF85/'Input - ENR'!BF84,0)</f>
        <v>0</v>
      </c>
      <c r="BG79" s="50">
        <f>IFERROR('Input - ENR'!BG90*BG85/'Input - ENR'!BG84,0)</f>
        <v>0</v>
      </c>
      <c r="BH79" s="50">
        <f>IFERROR('Input - ENR'!BH90*BH85/'Input - ENR'!BH84,0)</f>
        <v>0</v>
      </c>
      <c r="BI79" s="50">
        <f>IFERROR('Input - ENR'!BI90*BI85/'Input - ENR'!BI84,0)</f>
        <v>0</v>
      </c>
      <c r="BJ79" s="51">
        <f>IFERROR('Input - ENR'!BJ90*BJ85/'Input - ENR'!BJ84,0)</f>
        <v>0</v>
      </c>
    </row>
    <row r="81" spans="1:62" hidden="1" outlineLevel="1" x14ac:dyDescent="0.35">
      <c r="A81" s="25" t="s">
        <v>196</v>
      </c>
      <c r="B81" s="4" t="s">
        <v>3</v>
      </c>
      <c r="C81" s="19">
        <f>$C$3</f>
        <v>45352</v>
      </c>
      <c r="D81" s="20">
        <f>EDATE(C81,1)</f>
        <v>45383</v>
      </c>
      <c r="E81" s="20">
        <f>EDATE(D81,1)</f>
        <v>45413</v>
      </c>
      <c r="F81" s="20">
        <f>EDATE(E81,1)</f>
        <v>45444</v>
      </c>
      <c r="G81" s="20">
        <f t="shared" ref="G81" si="450">EDATE(F81,1)</f>
        <v>45474</v>
      </c>
      <c r="H81" s="20">
        <f t="shared" ref="H81" si="451">EDATE(G81,1)</f>
        <v>45505</v>
      </c>
      <c r="I81" s="20">
        <f t="shared" ref="I81" si="452">EDATE(H81,1)</f>
        <v>45536</v>
      </c>
      <c r="J81" s="20">
        <f t="shared" ref="J81" si="453">EDATE(I81,1)</f>
        <v>45566</v>
      </c>
      <c r="K81" s="20">
        <f t="shared" ref="K81" si="454">EDATE(J81,1)</f>
        <v>45597</v>
      </c>
      <c r="L81" s="20">
        <f t="shared" ref="L81" si="455">EDATE(K81,1)</f>
        <v>45627</v>
      </c>
      <c r="M81" s="20">
        <f t="shared" ref="M81" si="456">EDATE(L81,1)</f>
        <v>45658</v>
      </c>
      <c r="N81" s="20">
        <f t="shared" ref="N81" si="457">EDATE(M81,1)</f>
        <v>45689</v>
      </c>
      <c r="O81" s="21">
        <f t="shared" ref="O81" si="458">EDATE(N81,1)</f>
        <v>45717</v>
      </c>
      <c r="P81" s="20">
        <f t="shared" ref="P81" si="459">EDATE(O81,1)</f>
        <v>45748</v>
      </c>
      <c r="Q81" s="20">
        <f t="shared" ref="Q81" si="460">EDATE(P81,1)</f>
        <v>45778</v>
      </c>
      <c r="R81" s="20">
        <f t="shared" ref="R81" si="461">EDATE(Q81,1)</f>
        <v>45809</v>
      </c>
      <c r="S81" s="20">
        <f t="shared" ref="S81" si="462">EDATE(R81,1)</f>
        <v>45839</v>
      </c>
      <c r="T81" s="20">
        <f t="shared" ref="T81" si="463">EDATE(S81,1)</f>
        <v>45870</v>
      </c>
      <c r="U81" s="20">
        <f t="shared" ref="U81" si="464">EDATE(T81,1)</f>
        <v>45901</v>
      </c>
      <c r="V81" s="20">
        <f t="shared" ref="V81" si="465">EDATE(U81,1)</f>
        <v>45931</v>
      </c>
      <c r="W81" s="20">
        <f t="shared" ref="W81" si="466">EDATE(V81,1)</f>
        <v>45962</v>
      </c>
      <c r="X81" s="20">
        <f t="shared" ref="X81" si="467">EDATE(W81,1)</f>
        <v>45992</v>
      </c>
      <c r="Y81" s="20">
        <f t="shared" ref="Y81" si="468">EDATE(X81,1)</f>
        <v>46023</v>
      </c>
      <c r="Z81" s="20">
        <f t="shared" ref="Z81" si="469">EDATE(Y81,1)</f>
        <v>46054</v>
      </c>
      <c r="AA81" s="21">
        <f t="shared" ref="AA81" si="470">EDATE(Z81,1)</f>
        <v>46082</v>
      </c>
      <c r="AB81" s="20">
        <f t="shared" ref="AB81" si="471">EDATE(AA81,1)</f>
        <v>46113</v>
      </c>
      <c r="AC81" s="20">
        <f t="shared" ref="AC81" si="472">EDATE(AB81,1)</f>
        <v>46143</v>
      </c>
      <c r="AD81" s="20">
        <f t="shared" ref="AD81" si="473">EDATE(AC81,1)</f>
        <v>46174</v>
      </c>
      <c r="AE81" s="20">
        <f t="shared" ref="AE81" si="474">EDATE(AD81,1)</f>
        <v>46204</v>
      </c>
      <c r="AF81" s="20">
        <f t="shared" ref="AF81" si="475">EDATE(AE81,1)</f>
        <v>46235</v>
      </c>
      <c r="AG81" s="20">
        <f t="shared" ref="AG81" si="476">EDATE(AF81,1)</f>
        <v>46266</v>
      </c>
      <c r="AH81" s="20">
        <f t="shared" ref="AH81" si="477">EDATE(AG81,1)</f>
        <v>46296</v>
      </c>
      <c r="AI81" s="20">
        <f t="shared" ref="AI81" si="478">EDATE(AH81,1)</f>
        <v>46327</v>
      </c>
      <c r="AJ81" s="20">
        <f t="shared" ref="AJ81" si="479">EDATE(AI81,1)</f>
        <v>46357</v>
      </c>
      <c r="AK81" s="20">
        <f t="shared" ref="AK81" si="480">EDATE(AJ81,1)</f>
        <v>46388</v>
      </c>
      <c r="AL81" s="20">
        <f t="shared" ref="AL81" si="481">EDATE(AK81,1)</f>
        <v>46419</v>
      </c>
      <c r="AM81" s="21">
        <f t="shared" ref="AM81" si="482">EDATE(AL81,1)</f>
        <v>46447</v>
      </c>
      <c r="AN81" s="20">
        <f t="shared" ref="AN81" si="483">EDATE(AM81,1)</f>
        <v>46478</v>
      </c>
      <c r="AO81" s="20">
        <f t="shared" ref="AO81" si="484">EDATE(AN81,1)</f>
        <v>46508</v>
      </c>
      <c r="AP81" s="20">
        <f t="shared" ref="AP81" si="485">EDATE(AO81,1)</f>
        <v>46539</v>
      </c>
      <c r="AQ81" s="20">
        <f t="shared" ref="AQ81" si="486">EDATE(AP81,1)</f>
        <v>46569</v>
      </c>
      <c r="AR81" s="20">
        <f t="shared" ref="AR81" si="487">EDATE(AQ81,1)</f>
        <v>46600</v>
      </c>
      <c r="AS81" s="20">
        <f t="shared" ref="AS81" si="488">EDATE(AR81,1)</f>
        <v>46631</v>
      </c>
      <c r="AT81" s="20">
        <f t="shared" ref="AT81" si="489">EDATE(AS81,1)</f>
        <v>46661</v>
      </c>
      <c r="AU81" s="20">
        <f t="shared" ref="AU81" si="490">EDATE(AT81,1)</f>
        <v>46692</v>
      </c>
      <c r="AV81" s="20">
        <f t="shared" ref="AV81" si="491">EDATE(AU81,1)</f>
        <v>46722</v>
      </c>
      <c r="AW81" s="20">
        <f t="shared" ref="AW81" si="492">EDATE(AV81,1)</f>
        <v>46753</v>
      </c>
      <c r="AX81" s="21">
        <f t="shared" ref="AX81" si="493">EDATE(AW81,1)</f>
        <v>46784</v>
      </c>
      <c r="AY81" s="20">
        <f t="shared" ref="AY81" si="494">EDATE(AX81,1)</f>
        <v>46813</v>
      </c>
      <c r="AZ81" s="20">
        <f t="shared" ref="AZ81" si="495">EDATE(AY81,1)</f>
        <v>46844</v>
      </c>
      <c r="BA81" s="20">
        <f t="shared" ref="BA81" si="496">EDATE(AZ81,1)</f>
        <v>46874</v>
      </c>
      <c r="BB81" s="20">
        <f t="shared" ref="BB81" si="497">EDATE(BA81,1)</f>
        <v>46905</v>
      </c>
      <c r="BC81" s="20">
        <f t="shared" ref="BC81" si="498">EDATE(BB81,1)</f>
        <v>46935</v>
      </c>
      <c r="BD81" s="20">
        <f t="shared" ref="BD81" si="499">EDATE(BC81,1)</f>
        <v>46966</v>
      </c>
      <c r="BE81" s="20">
        <f t="shared" ref="BE81" si="500">EDATE(BD81,1)</f>
        <v>46997</v>
      </c>
      <c r="BF81" s="20">
        <f t="shared" ref="BF81" si="501">EDATE(BE81,1)</f>
        <v>47027</v>
      </c>
      <c r="BG81" s="20">
        <f t="shared" ref="BG81" si="502">EDATE(BF81,1)</f>
        <v>47058</v>
      </c>
      <c r="BH81" s="20">
        <f t="shared" ref="BH81" si="503">EDATE(BG81,1)</f>
        <v>47088</v>
      </c>
      <c r="BI81" s="20">
        <f t="shared" ref="BI81" si="504">EDATE(BH81,1)</f>
        <v>47119</v>
      </c>
      <c r="BJ81" s="21">
        <f t="shared" ref="BJ81" si="505">EDATE(BI81,1)</f>
        <v>47150</v>
      </c>
    </row>
    <row r="82" spans="1:62" hidden="1" outlineLevel="1" x14ac:dyDescent="0.35">
      <c r="A82" s="15" t="s">
        <v>196</v>
      </c>
      <c r="B82" s="15" t="s">
        <v>159</v>
      </c>
      <c r="C82" s="16">
        <f>SUM(C83:C85)</f>
        <v>81.380854763248266</v>
      </c>
      <c r="D82" s="17">
        <f t="shared" ref="D82:BJ82" si="506">SUM(D83:D85)</f>
        <v>80.889384170623416</v>
      </c>
      <c r="E82" s="17">
        <f t="shared" si="506"/>
        <v>78.109877114704759</v>
      </c>
      <c r="F82" s="17">
        <f t="shared" si="506"/>
        <v>75.542137853709846</v>
      </c>
      <c r="G82" s="17">
        <f t="shared" si="506"/>
        <v>73.234477700432805</v>
      </c>
      <c r="H82" s="17">
        <f t="shared" si="506"/>
        <v>71.128972840619767</v>
      </c>
      <c r="I82" s="17">
        <f t="shared" si="506"/>
        <v>69.156135510841608</v>
      </c>
      <c r="J82" s="17">
        <f t="shared" si="506"/>
        <v>67.158544458394886</v>
      </c>
      <c r="K82" s="17">
        <f t="shared" si="506"/>
        <v>65.020954516814896</v>
      </c>
      <c r="L82" s="17">
        <f t="shared" si="506"/>
        <v>63.092245537714064</v>
      </c>
      <c r="M82" s="17">
        <f t="shared" si="506"/>
        <v>61.133140731974088</v>
      </c>
      <c r="N82" s="17">
        <f t="shared" si="506"/>
        <v>59.218726588742264</v>
      </c>
      <c r="O82" s="18">
        <f t="shared" si="506"/>
        <v>57.705914270459147</v>
      </c>
      <c r="P82" s="17">
        <f t="shared" si="506"/>
        <v>55.064330868186651</v>
      </c>
      <c r="Q82" s="17">
        <f t="shared" si="506"/>
        <v>52.596425329763896</v>
      </c>
      <c r="R82" s="17">
        <f t="shared" si="506"/>
        <v>50.274199787689021</v>
      </c>
      <c r="S82" s="17">
        <f t="shared" si="506"/>
        <v>48.108173913986015</v>
      </c>
      <c r="T82" s="17">
        <f t="shared" si="506"/>
        <v>46.107253887536856</v>
      </c>
      <c r="U82" s="17">
        <f t="shared" si="506"/>
        <v>44.214645940349605</v>
      </c>
      <c r="V82" s="17">
        <f t="shared" si="506"/>
        <v>42.90661288358875</v>
      </c>
      <c r="W82" s="17">
        <f t="shared" si="506"/>
        <v>42.081749949988669</v>
      </c>
      <c r="X82" s="17">
        <f t="shared" si="506"/>
        <v>41.845187149085241</v>
      </c>
      <c r="Y82" s="17">
        <f t="shared" si="506"/>
        <v>42.207520588635589</v>
      </c>
      <c r="Z82" s="17">
        <f t="shared" si="506"/>
        <v>43.084299226694789</v>
      </c>
      <c r="AA82" s="18">
        <f t="shared" si="506"/>
        <v>45.313953482190115</v>
      </c>
      <c r="AB82" s="17">
        <f t="shared" si="506"/>
        <v>45.194934863798416</v>
      </c>
      <c r="AC82" s="17">
        <f t="shared" si="506"/>
        <v>45.605549311594707</v>
      </c>
      <c r="AD82" s="17">
        <f t="shared" si="506"/>
        <v>46.733812440962211</v>
      </c>
      <c r="AE82" s="17">
        <f t="shared" si="506"/>
        <v>48.807938142396814</v>
      </c>
      <c r="AF82" s="17">
        <f t="shared" si="506"/>
        <v>51.880686684262074</v>
      </c>
      <c r="AG82" s="17">
        <f t="shared" si="506"/>
        <v>55.922226904582573</v>
      </c>
      <c r="AH82" s="17">
        <f t="shared" si="506"/>
        <v>63.484372857844022</v>
      </c>
      <c r="AI82" s="17">
        <f t="shared" si="506"/>
        <v>70.551702135215493</v>
      </c>
      <c r="AJ82" s="17">
        <f t="shared" si="506"/>
        <v>77.841610076382054</v>
      </c>
      <c r="AK82" s="17">
        <f t="shared" si="506"/>
        <v>85.337565383726329</v>
      </c>
      <c r="AL82" s="17">
        <f t="shared" si="506"/>
        <v>92.683813047680786</v>
      </c>
      <c r="AM82" s="18">
        <f t="shared" si="506"/>
        <v>102.6115934735697</v>
      </c>
      <c r="AN82" s="17">
        <f t="shared" si="506"/>
        <v>0</v>
      </c>
      <c r="AO82" s="17">
        <f t="shared" si="506"/>
        <v>0</v>
      </c>
      <c r="AP82" s="17">
        <f t="shared" si="506"/>
        <v>0</v>
      </c>
      <c r="AQ82" s="17">
        <f t="shared" si="506"/>
        <v>0</v>
      </c>
      <c r="AR82" s="17">
        <f t="shared" si="506"/>
        <v>0</v>
      </c>
      <c r="AS82" s="17">
        <f t="shared" si="506"/>
        <v>0</v>
      </c>
      <c r="AT82" s="17">
        <f t="shared" si="506"/>
        <v>0</v>
      </c>
      <c r="AU82" s="17">
        <f t="shared" si="506"/>
        <v>0</v>
      </c>
      <c r="AV82" s="17">
        <f t="shared" si="506"/>
        <v>0</v>
      </c>
      <c r="AW82" s="17">
        <f t="shared" si="506"/>
        <v>0</v>
      </c>
      <c r="AX82" s="18">
        <f t="shared" si="506"/>
        <v>0</v>
      </c>
      <c r="AY82" s="17">
        <f t="shared" si="506"/>
        <v>0</v>
      </c>
      <c r="AZ82" s="17">
        <f t="shared" si="506"/>
        <v>0</v>
      </c>
      <c r="BA82" s="17">
        <f t="shared" si="506"/>
        <v>0</v>
      </c>
      <c r="BB82" s="17">
        <f t="shared" si="506"/>
        <v>0</v>
      </c>
      <c r="BC82" s="17">
        <f t="shared" si="506"/>
        <v>0</v>
      </c>
      <c r="BD82" s="17">
        <f t="shared" si="506"/>
        <v>0</v>
      </c>
      <c r="BE82" s="17">
        <f t="shared" si="506"/>
        <v>0</v>
      </c>
      <c r="BF82" s="17">
        <f t="shared" si="506"/>
        <v>0</v>
      </c>
      <c r="BG82" s="17">
        <f t="shared" si="506"/>
        <v>0</v>
      </c>
      <c r="BH82" s="17">
        <f t="shared" si="506"/>
        <v>0</v>
      </c>
      <c r="BI82" s="17">
        <f t="shared" si="506"/>
        <v>0</v>
      </c>
      <c r="BJ82" s="18">
        <f t="shared" si="506"/>
        <v>0</v>
      </c>
    </row>
    <row r="83" spans="1:62" hidden="1" outlineLevel="1" x14ac:dyDescent="0.35">
      <c r="A83" s="1" t="s">
        <v>196</v>
      </c>
      <c r="B83" s="1" t="s">
        <v>257</v>
      </c>
      <c r="C83" s="52">
        <f>'Calculation - Stagewise ECL'!C68</f>
        <v>77.47224837100029</v>
      </c>
      <c r="D83" s="53">
        <f>'Calculation - Stagewise ECL'!D68</f>
        <v>76.987625260479263</v>
      </c>
      <c r="E83" s="53">
        <f>'Calculation - Stagewise ECL'!E68</f>
        <v>74.350408811490254</v>
      </c>
      <c r="F83" s="53">
        <f>'Calculation - Stagewise ECL'!F68</f>
        <v>71.936007866956942</v>
      </c>
      <c r="G83" s="53">
        <f>'Calculation - Stagewise ECL'!G68</f>
        <v>69.796589251965102</v>
      </c>
      <c r="H83" s="53">
        <f>'Calculation - Stagewise ECL'!H68</f>
        <v>67.870190386292578</v>
      </c>
      <c r="I83" s="53">
        <f>'Calculation - Stagewise ECL'!I68</f>
        <v>66.075251786723953</v>
      </c>
      <c r="J83" s="53">
        <f>'Calculation - Stagewise ECL'!J68</f>
        <v>64.258283191693252</v>
      </c>
      <c r="K83" s="53">
        <f>'Calculation - Stagewise ECL'!K68</f>
        <v>62.291237958885446</v>
      </c>
      <c r="L83" s="53">
        <f>'Calculation - Stagewise ECL'!L68</f>
        <v>60.524356913417193</v>
      </c>
      <c r="M83" s="53">
        <f>'Calculation - Stagewise ECL'!M68</f>
        <v>58.726377104041845</v>
      </c>
      <c r="N83" s="53">
        <f>'Calculation - Stagewise ECL'!N68</f>
        <v>56.962135947219771</v>
      </c>
      <c r="O83" s="54">
        <f>'Calculation - Stagewise ECL'!O68</f>
        <v>55.615953978126456</v>
      </c>
      <c r="P83" s="53">
        <f>'Calculation - Stagewise ECL'!P68</f>
        <v>53.045773062736245</v>
      </c>
      <c r="Q83" s="53">
        <f>'Calculation - Stagewise ECL'!Q68</f>
        <v>50.656950642655467</v>
      </c>
      <c r="R83" s="53">
        <f>'Calculation - Stagewise ECL'!R68</f>
        <v>48.420400357798862</v>
      </c>
      <c r="S83" s="53">
        <f>'Calculation - Stagewise ECL'!S68</f>
        <v>46.348927792541446</v>
      </c>
      <c r="T83" s="53">
        <f>'Calculation - Stagewise ECL'!T68</f>
        <v>44.447733271364207</v>
      </c>
      <c r="U83" s="53">
        <f>'Calculation - Stagewise ECL'!U68</f>
        <v>42.654686278781327</v>
      </c>
      <c r="V83" s="53">
        <f>'Calculation - Stagewise ECL'!V68</f>
        <v>41.427990934653295</v>
      </c>
      <c r="W83" s="53">
        <f>'Calculation - Stagewise ECL'!W68</f>
        <v>40.662427220247324</v>
      </c>
      <c r="X83" s="53">
        <f>'Calculation - Stagewise ECL'!X68</f>
        <v>40.468263513967642</v>
      </c>
      <c r="Y83" s="53">
        <f>'Calculation - Stagewise ECL'!Y68</f>
        <v>40.856206384524079</v>
      </c>
      <c r="Z83" s="53">
        <f>'Calculation - Stagewise ECL'!Z68</f>
        <v>41.742090272465482</v>
      </c>
      <c r="AA83" s="54">
        <f>'Calculation - Stagewise ECL'!AA68</f>
        <v>43.964776843457088</v>
      </c>
      <c r="AB83" s="53">
        <f>'Calculation - Stagewise ECL'!AB68</f>
        <v>43.828050083651682</v>
      </c>
      <c r="AC83" s="53">
        <f>'Calculation - Stagewise ECL'!AC68</f>
        <v>44.212908710050577</v>
      </c>
      <c r="AD83" s="53">
        <f>'Calculation - Stagewise ECL'!AD68</f>
        <v>45.301280430487836</v>
      </c>
      <c r="AE83" s="53">
        <f>'Calculation - Stagewise ECL'!AE68</f>
        <v>47.318297097496114</v>
      </c>
      <c r="AF83" s="53">
        <f>'Calculation - Stagewise ECL'!AF68</f>
        <v>50.315917121708075</v>
      </c>
      <c r="AG83" s="53">
        <f>'Calculation - Stagewise ECL'!AG68</f>
        <v>54.262468040280005</v>
      </c>
      <c r="AH83" s="53">
        <f>'Calculation - Stagewise ECL'!AH68</f>
        <v>61.637177017300708</v>
      </c>
      <c r="AI83" s="53">
        <f>'Calculation - Stagewise ECL'!AI68</f>
        <v>68.535916892607801</v>
      </c>
      <c r="AJ83" s="53">
        <f>'Calculation - Stagewise ECL'!AJ68</f>
        <v>75.664995256346046</v>
      </c>
      <c r="AK83" s="53">
        <f>'Calculation - Stagewise ECL'!AK68</f>
        <v>83.009041041994891</v>
      </c>
      <c r="AL83" s="53">
        <f>'Calculation - Stagewise ECL'!AL68</f>
        <v>90.216452730812833</v>
      </c>
      <c r="AM83" s="54">
        <f>'Calculation - Stagewise ECL'!AM68</f>
        <v>99.993575353868735</v>
      </c>
      <c r="AN83" s="53">
        <f>'Plan - CoC'!AN76-'Plan - CoC'!AN82</f>
        <v>0</v>
      </c>
      <c r="AO83" s="53">
        <f>'Plan - CoC'!AO76-'Plan - CoC'!AO82</f>
        <v>0</v>
      </c>
      <c r="AP83" s="53">
        <f>'Plan - CoC'!AP76-'Plan - CoC'!AP82</f>
        <v>0</v>
      </c>
      <c r="AQ83" s="53">
        <f>'Plan - CoC'!AQ76-'Plan - CoC'!AQ82</f>
        <v>0</v>
      </c>
      <c r="AR83" s="53">
        <f>'Plan - CoC'!AR76-'Plan - CoC'!AR82</f>
        <v>0</v>
      </c>
      <c r="AS83" s="53">
        <f>'Plan - CoC'!AS76-'Plan - CoC'!AS82</f>
        <v>0</v>
      </c>
      <c r="AT83" s="53">
        <f>'Plan - CoC'!AT76-'Plan - CoC'!AT82</f>
        <v>0</v>
      </c>
      <c r="AU83" s="53">
        <f>'Plan - CoC'!AU76-'Plan - CoC'!AU82</f>
        <v>0</v>
      </c>
      <c r="AV83" s="53">
        <f>'Plan - CoC'!AV76-'Plan - CoC'!AV82</f>
        <v>0</v>
      </c>
      <c r="AW83" s="53">
        <f>'Plan - CoC'!AW76-'Plan - CoC'!AW82</f>
        <v>0</v>
      </c>
      <c r="AX83" s="54">
        <f>'Plan - CoC'!AX76-'Plan - CoC'!AX82</f>
        <v>0</v>
      </c>
      <c r="AY83" s="53">
        <f>'Plan - CoC'!AY76-'Plan - CoC'!AY82</f>
        <v>0</v>
      </c>
      <c r="AZ83" s="53">
        <f>'Plan - CoC'!AZ76-'Plan - CoC'!AZ82</f>
        <v>0</v>
      </c>
      <c r="BA83" s="53">
        <f>'Plan - CoC'!BA76-'Plan - CoC'!BA82</f>
        <v>0</v>
      </c>
      <c r="BB83" s="53">
        <f>'Plan - CoC'!BB76-'Plan - CoC'!BB82</f>
        <v>0</v>
      </c>
      <c r="BC83" s="53">
        <f>'Plan - CoC'!BC76-'Plan - CoC'!BC82</f>
        <v>0</v>
      </c>
      <c r="BD83" s="53">
        <f>'Plan - CoC'!BD76-'Plan - CoC'!BD82</f>
        <v>0</v>
      </c>
      <c r="BE83" s="53">
        <f>'Plan - CoC'!BE76-'Plan - CoC'!BE82</f>
        <v>0</v>
      </c>
      <c r="BF83" s="53">
        <f>'Plan - CoC'!BF76-'Plan - CoC'!BF82</f>
        <v>0</v>
      </c>
      <c r="BG83" s="53">
        <f>'Plan - CoC'!BG76-'Plan - CoC'!BG82</f>
        <v>0</v>
      </c>
      <c r="BH83" s="53">
        <f>'Plan - CoC'!BH76-'Plan - CoC'!BH82</f>
        <v>0</v>
      </c>
      <c r="BI83" s="53">
        <f>'Plan - CoC'!BI76-'Plan - CoC'!BI82</f>
        <v>0</v>
      </c>
      <c r="BJ83" s="54">
        <f>'Plan - CoC'!BJ76-'Plan - CoC'!BJ82</f>
        <v>0</v>
      </c>
    </row>
    <row r="84" spans="1:62" hidden="1" outlineLevel="1" x14ac:dyDescent="0.35">
      <c r="A84" s="2" t="s">
        <v>196</v>
      </c>
      <c r="B84" s="2" t="s">
        <v>258</v>
      </c>
      <c r="C84" s="55">
        <f>'Calculation - Stagewise ECL'!C69</f>
        <v>0</v>
      </c>
      <c r="D84" s="56">
        <f>'Calculation - Stagewise ECL'!D69</f>
        <v>0</v>
      </c>
      <c r="E84" s="56">
        <f>'Calculation - Stagewise ECL'!E69</f>
        <v>0</v>
      </c>
      <c r="F84" s="56">
        <f>'Calculation - Stagewise ECL'!F69</f>
        <v>0</v>
      </c>
      <c r="G84" s="56">
        <f>'Calculation - Stagewise ECL'!G69</f>
        <v>0</v>
      </c>
      <c r="H84" s="56">
        <f>'Calculation - Stagewise ECL'!H69</f>
        <v>0</v>
      </c>
      <c r="I84" s="56">
        <f>'Calculation - Stagewise ECL'!I69</f>
        <v>0</v>
      </c>
      <c r="J84" s="56">
        <f>'Calculation - Stagewise ECL'!J69</f>
        <v>0</v>
      </c>
      <c r="K84" s="56">
        <f>'Calculation - Stagewise ECL'!K69</f>
        <v>0</v>
      </c>
      <c r="L84" s="56">
        <f>'Calculation - Stagewise ECL'!L69</f>
        <v>0</v>
      </c>
      <c r="M84" s="56">
        <f>'Calculation - Stagewise ECL'!M69</f>
        <v>0</v>
      </c>
      <c r="N84" s="56">
        <f>'Calculation - Stagewise ECL'!N69</f>
        <v>0</v>
      </c>
      <c r="O84" s="57">
        <f>'Calculation - Stagewise ECL'!O69</f>
        <v>0</v>
      </c>
      <c r="P84" s="56">
        <f>'Calculation - Stagewise ECL'!P69</f>
        <v>0</v>
      </c>
      <c r="Q84" s="56">
        <f>'Calculation - Stagewise ECL'!Q69</f>
        <v>0</v>
      </c>
      <c r="R84" s="56">
        <f>'Calculation - Stagewise ECL'!R69</f>
        <v>0</v>
      </c>
      <c r="S84" s="56">
        <f>'Calculation - Stagewise ECL'!S69</f>
        <v>0</v>
      </c>
      <c r="T84" s="56">
        <f>'Calculation - Stagewise ECL'!T69</f>
        <v>0</v>
      </c>
      <c r="U84" s="56">
        <f>'Calculation - Stagewise ECL'!U69</f>
        <v>0</v>
      </c>
      <c r="V84" s="56">
        <f>'Calculation - Stagewise ECL'!V69</f>
        <v>0</v>
      </c>
      <c r="W84" s="56">
        <f>'Calculation - Stagewise ECL'!W69</f>
        <v>0</v>
      </c>
      <c r="X84" s="56">
        <f>'Calculation - Stagewise ECL'!X69</f>
        <v>0</v>
      </c>
      <c r="Y84" s="56">
        <f>'Calculation - Stagewise ECL'!Y69</f>
        <v>0</v>
      </c>
      <c r="Z84" s="56">
        <f>'Calculation - Stagewise ECL'!Z69</f>
        <v>0</v>
      </c>
      <c r="AA84" s="57">
        <f>'Calculation - Stagewise ECL'!AA69</f>
        <v>0</v>
      </c>
      <c r="AB84" s="56">
        <f>'Calculation - Stagewise ECL'!AB69</f>
        <v>0</v>
      </c>
      <c r="AC84" s="56">
        <f>'Calculation - Stagewise ECL'!AC69</f>
        <v>0</v>
      </c>
      <c r="AD84" s="56">
        <f>'Calculation - Stagewise ECL'!AD69</f>
        <v>0</v>
      </c>
      <c r="AE84" s="56">
        <f>'Calculation - Stagewise ECL'!AE69</f>
        <v>0</v>
      </c>
      <c r="AF84" s="56">
        <f>'Calculation - Stagewise ECL'!AF69</f>
        <v>0</v>
      </c>
      <c r="AG84" s="56">
        <f>'Calculation - Stagewise ECL'!AG69</f>
        <v>0</v>
      </c>
      <c r="AH84" s="56">
        <f>'Calculation - Stagewise ECL'!AH69</f>
        <v>0</v>
      </c>
      <c r="AI84" s="56">
        <f>'Calculation - Stagewise ECL'!AI69</f>
        <v>0</v>
      </c>
      <c r="AJ84" s="56">
        <f>'Calculation - Stagewise ECL'!AJ69</f>
        <v>0</v>
      </c>
      <c r="AK84" s="56">
        <f>'Calculation - Stagewise ECL'!AK69</f>
        <v>0</v>
      </c>
      <c r="AL84" s="56">
        <f>'Calculation - Stagewise ECL'!AL69</f>
        <v>0</v>
      </c>
      <c r="AM84" s="57">
        <f>'Calculation - Stagewise ECL'!AM69</f>
        <v>0</v>
      </c>
      <c r="AN84" s="56">
        <f>'Plan - CoC'!AN77-'Plan - CoC'!AN83</f>
        <v>0</v>
      </c>
      <c r="AO84" s="56">
        <f>'Plan - CoC'!AO77-'Plan - CoC'!AO83</f>
        <v>0</v>
      </c>
      <c r="AP84" s="56">
        <f>'Plan - CoC'!AP77-'Plan - CoC'!AP83</f>
        <v>0</v>
      </c>
      <c r="AQ84" s="56">
        <f>'Plan - CoC'!AQ77-'Plan - CoC'!AQ83</f>
        <v>0</v>
      </c>
      <c r="AR84" s="56">
        <f>'Plan - CoC'!AR77-'Plan - CoC'!AR83</f>
        <v>0</v>
      </c>
      <c r="AS84" s="56">
        <f>'Plan - CoC'!AS77-'Plan - CoC'!AS83</f>
        <v>0</v>
      </c>
      <c r="AT84" s="56">
        <f>'Plan - CoC'!AT77-'Plan - CoC'!AT83</f>
        <v>0</v>
      </c>
      <c r="AU84" s="56">
        <f>'Plan - CoC'!AU77-'Plan - CoC'!AU83</f>
        <v>0</v>
      </c>
      <c r="AV84" s="56">
        <f>'Plan - CoC'!AV77-'Plan - CoC'!AV83</f>
        <v>0</v>
      </c>
      <c r="AW84" s="56">
        <f>'Plan - CoC'!AW77-'Plan - CoC'!AW83</f>
        <v>0</v>
      </c>
      <c r="AX84" s="57">
        <f>'Plan - CoC'!AX77-'Plan - CoC'!AX83</f>
        <v>0</v>
      </c>
      <c r="AY84" s="56">
        <f>'Plan - CoC'!AY77-'Plan - CoC'!AY83</f>
        <v>0</v>
      </c>
      <c r="AZ84" s="56">
        <f>'Plan - CoC'!AZ77-'Plan - CoC'!AZ83</f>
        <v>0</v>
      </c>
      <c r="BA84" s="56">
        <f>'Plan - CoC'!BA77-'Plan - CoC'!BA83</f>
        <v>0</v>
      </c>
      <c r="BB84" s="56">
        <f>'Plan - CoC'!BB77-'Plan - CoC'!BB83</f>
        <v>0</v>
      </c>
      <c r="BC84" s="56">
        <f>'Plan - CoC'!BC77-'Plan - CoC'!BC83</f>
        <v>0</v>
      </c>
      <c r="BD84" s="56">
        <f>'Plan - CoC'!BD77-'Plan - CoC'!BD83</f>
        <v>0</v>
      </c>
      <c r="BE84" s="56">
        <f>'Plan - CoC'!BE77-'Plan - CoC'!BE83</f>
        <v>0</v>
      </c>
      <c r="BF84" s="56">
        <f>'Plan - CoC'!BF77-'Plan - CoC'!BF83</f>
        <v>0</v>
      </c>
      <c r="BG84" s="56">
        <f>'Plan - CoC'!BG77-'Plan - CoC'!BG83</f>
        <v>0</v>
      </c>
      <c r="BH84" s="56">
        <f>'Plan - CoC'!BH77-'Plan - CoC'!BH83</f>
        <v>0</v>
      </c>
      <c r="BI84" s="56">
        <f>'Plan - CoC'!BI77-'Plan - CoC'!BI83</f>
        <v>0</v>
      </c>
      <c r="BJ84" s="57">
        <f>'Plan - CoC'!BJ77-'Plan - CoC'!BJ83</f>
        <v>0</v>
      </c>
    </row>
    <row r="85" spans="1:62" hidden="1" outlineLevel="1" x14ac:dyDescent="0.35">
      <c r="A85" s="3" t="s">
        <v>196</v>
      </c>
      <c r="B85" s="3" t="s">
        <v>259</v>
      </c>
      <c r="C85" s="58">
        <f>'Calculation - Stagewise ECL'!C70</f>
        <v>3.9086063922479695</v>
      </c>
      <c r="D85" s="59">
        <f>'Calculation - Stagewise ECL'!D70</f>
        <v>3.9017589101441521</v>
      </c>
      <c r="E85" s="59">
        <f>'Calculation - Stagewise ECL'!E70</f>
        <v>3.7594683032145091</v>
      </c>
      <c r="F85" s="59">
        <f>'Calculation - Stagewise ECL'!F70</f>
        <v>3.6061299867529022</v>
      </c>
      <c r="G85" s="59">
        <f>'Calculation - Stagewise ECL'!G70</f>
        <v>3.4378884484677026</v>
      </c>
      <c r="H85" s="59">
        <f>'Calculation - Stagewise ECL'!H70</f>
        <v>3.2587824543271866</v>
      </c>
      <c r="I85" s="59">
        <f>'Calculation - Stagewise ECL'!I70</f>
        <v>3.0808837241176517</v>
      </c>
      <c r="J85" s="59">
        <f>'Calculation - Stagewise ECL'!J70</f>
        <v>2.9002612667016341</v>
      </c>
      <c r="K85" s="59">
        <f>'Calculation - Stagewise ECL'!K70</f>
        <v>2.7297165579294531</v>
      </c>
      <c r="L85" s="59">
        <f>'Calculation - Stagewise ECL'!L70</f>
        <v>2.567888624296871</v>
      </c>
      <c r="M85" s="59">
        <f>'Calculation - Stagewise ECL'!M70</f>
        <v>2.4067636279322402</v>
      </c>
      <c r="N85" s="59">
        <f>'Calculation - Stagewise ECL'!N70</f>
        <v>2.2565906415224943</v>
      </c>
      <c r="O85" s="60">
        <f>'Calculation - Stagewise ECL'!O70</f>
        <v>2.0899602923326914</v>
      </c>
      <c r="P85" s="59">
        <f>'Calculation - Stagewise ECL'!P70</f>
        <v>2.0185578054504072</v>
      </c>
      <c r="Q85" s="59">
        <f>'Calculation - Stagewise ECL'!Q70</f>
        <v>1.9394746871084263</v>
      </c>
      <c r="R85" s="59">
        <f>'Calculation - Stagewise ECL'!R70</f>
        <v>1.8537994298901599</v>
      </c>
      <c r="S85" s="59">
        <f>'Calculation - Stagewise ECL'!S70</f>
        <v>1.7592461214445674</v>
      </c>
      <c r="T85" s="59">
        <f>'Calculation - Stagewise ECL'!T70</f>
        <v>1.6595206161726521</v>
      </c>
      <c r="U85" s="59">
        <f>'Calculation - Stagewise ECL'!U70</f>
        <v>1.5599596615682785</v>
      </c>
      <c r="V85" s="59">
        <f>'Calculation - Stagewise ECL'!V70</f>
        <v>1.4786219489354571</v>
      </c>
      <c r="W85" s="59">
        <f>'Calculation - Stagewise ECL'!W70</f>
        <v>1.4193227297413433</v>
      </c>
      <c r="X85" s="59">
        <f>'Calculation - Stagewise ECL'!X70</f>
        <v>1.3769236351175966</v>
      </c>
      <c r="Y85" s="59">
        <f>'Calculation - Stagewise ECL'!Y70</f>
        <v>1.3513142041115074</v>
      </c>
      <c r="Z85" s="59">
        <f>'Calculation - Stagewise ECL'!Z70</f>
        <v>1.342208954229305</v>
      </c>
      <c r="AA85" s="60">
        <f>'Calculation - Stagewise ECL'!AA70</f>
        <v>1.3491766387330248</v>
      </c>
      <c r="AB85" s="59">
        <f>'Calculation - Stagewise ECL'!AB70</f>
        <v>1.3668847801467334</v>
      </c>
      <c r="AC85" s="59">
        <f>'Calculation - Stagewise ECL'!AC70</f>
        <v>1.3926406015441304</v>
      </c>
      <c r="AD85" s="59">
        <f>'Calculation - Stagewise ECL'!AD70</f>
        <v>1.4325320104743737</v>
      </c>
      <c r="AE85" s="59">
        <f>'Calculation - Stagewise ECL'!AE70</f>
        <v>1.4896410449007031</v>
      </c>
      <c r="AF85" s="59">
        <f>'Calculation - Stagewise ECL'!AF70</f>
        <v>1.5647695625539997</v>
      </c>
      <c r="AG85" s="59">
        <f>'Calculation - Stagewise ECL'!AG70</f>
        <v>1.6597588643025658</v>
      </c>
      <c r="AH85" s="59">
        <f>'Calculation - Stagewise ECL'!AH70</f>
        <v>1.8471958405433164</v>
      </c>
      <c r="AI85" s="59">
        <f>'Calculation - Stagewise ECL'!AI70</f>
        <v>2.0157852426076932</v>
      </c>
      <c r="AJ85" s="59">
        <f>'Calculation - Stagewise ECL'!AJ70</f>
        <v>2.1766148200360012</v>
      </c>
      <c r="AK85" s="59">
        <f>'Calculation - Stagewise ECL'!AK70</f>
        <v>2.3285243417314407</v>
      </c>
      <c r="AL85" s="59">
        <f>'Calculation - Stagewise ECL'!AL70</f>
        <v>2.4673603168679521</v>
      </c>
      <c r="AM85" s="60">
        <f>'Calculation - Stagewise ECL'!AM70</f>
        <v>2.6180181197009622</v>
      </c>
      <c r="AN85" s="59">
        <f>'Plan - CoC'!AN78-'Plan - CoC'!AN84</f>
        <v>0</v>
      </c>
      <c r="AO85" s="59">
        <f>'Plan - CoC'!AO78-'Plan - CoC'!AO84</f>
        <v>0</v>
      </c>
      <c r="AP85" s="59">
        <f>'Plan - CoC'!AP78-'Plan - CoC'!AP84</f>
        <v>0</v>
      </c>
      <c r="AQ85" s="59">
        <f>'Plan - CoC'!AQ78-'Plan - CoC'!AQ84</f>
        <v>0</v>
      </c>
      <c r="AR85" s="59">
        <f>'Plan - CoC'!AR78-'Plan - CoC'!AR84</f>
        <v>0</v>
      </c>
      <c r="AS85" s="59">
        <f>'Plan - CoC'!AS78-'Plan - CoC'!AS84</f>
        <v>0</v>
      </c>
      <c r="AT85" s="59">
        <f>'Plan - CoC'!AT78-'Plan - CoC'!AT84</f>
        <v>0</v>
      </c>
      <c r="AU85" s="59">
        <f>'Plan - CoC'!AU78-'Plan - CoC'!AU84</f>
        <v>0</v>
      </c>
      <c r="AV85" s="59">
        <f>'Plan - CoC'!AV78-'Plan - CoC'!AV84</f>
        <v>0</v>
      </c>
      <c r="AW85" s="59">
        <f>'Plan - CoC'!AW78-'Plan - CoC'!AW84</f>
        <v>0</v>
      </c>
      <c r="AX85" s="60">
        <f>'Plan - CoC'!AX78-'Plan - CoC'!AX84</f>
        <v>0</v>
      </c>
      <c r="AY85" s="59">
        <f>'Plan - CoC'!AY78-'Plan - CoC'!AY84</f>
        <v>0</v>
      </c>
      <c r="AZ85" s="59">
        <f>'Plan - CoC'!AZ78-'Plan - CoC'!AZ84</f>
        <v>0</v>
      </c>
      <c r="BA85" s="59">
        <f>'Plan - CoC'!BA78-'Plan - CoC'!BA84</f>
        <v>0</v>
      </c>
      <c r="BB85" s="59">
        <f>'Plan - CoC'!BB78-'Plan - CoC'!BB84</f>
        <v>0</v>
      </c>
      <c r="BC85" s="59">
        <f>'Plan - CoC'!BC78-'Plan - CoC'!BC84</f>
        <v>0</v>
      </c>
      <c r="BD85" s="59">
        <f>'Plan - CoC'!BD78-'Plan - CoC'!BD84</f>
        <v>0</v>
      </c>
      <c r="BE85" s="59">
        <f>'Plan - CoC'!BE78-'Plan - CoC'!BE84</f>
        <v>0</v>
      </c>
      <c r="BF85" s="59">
        <f>'Plan - CoC'!BF78-'Plan - CoC'!BF84</f>
        <v>0</v>
      </c>
      <c r="BG85" s="59">
        <f>'Plan - CoC'!BG78-'Plan - CoC'!BG84</f>
        <v>0</v>
      </c>
      <c r="BH85" s="59">
        <f>'Plan - CoC'!BH78-'Plan - CoC'!BH84</f>
        <v>0</v>
      </c>
      <c r="BI85" s="59">
        <f>'Plan - CoC'!BI78-'Plan - CoC'!BI84</f>
        <v>0</v>
      </c>
      <c r="BJ85" s="60">
        <f>'Plan - CoC'!BJ78-'Plan - CoC'!BJ84</f>
        <v>0</v>
      </c>
    </row>
    <row r="86" spans="1:62" hidden="1" outlineLevel="1" x14ac:dyDescent="0.35">
      <c r="O86" s="231"/>
    </row>
    <row r="87" spans="1:62" hidden="1" outlineLevel="1" x14ac:dyDescent="0.35">
      <c r="A87" s="25" t="s">
        <v>195</v>
      </c>
      <c r="B87" s="4" t="s">
        <v>3</v>
      </c>
      <c r="C87" s="19">
        <f>$C$3</f>
        <v>45352</v>
      </c>
      <c r="D87" s="20">
        <f>EDATE(C87,1)</f>
        <v>45383</v>
      </c>
      <c r="E87" s="20">
        <f>EDATE(D87,1)</f>
        <v>45413</v>
      </c>
      <c r="F87" s="20">
        <f>EDATE(E87,1)</f>
        <v>45444</v>
      </c>
      <c r="G87" s="20">
        <f t="shared" ref="G87" si="507">EDATE(F87,1)</f>
        <v>45474</v>
      </c>
      <c r="H87" s="20">
        <f t="shared" ref="H87" si="508">EDATE(G87,1)</f>
        <v>45505</v>
      </c>
      <c r="I87" s="20">
        <f t="shared" ref="I87" si="509">EDATE(H87,1)</f>
        <v>45536</v>
      </c>
      <c r="J87" s="20">
        <f t="shared" ref="J87" si="510">EDATE(I87,1)</f>
        <v>45566</v>
      </c>
      <c r="K87" s="20">
        <f t="shared" ref="K87" si="511">EDATE(J87,1)</f>
        <v>45597</v>
      </c>
      <c r="L87" s="20">
        <f t="shared" ref="L87" si="512">EDATE(K87,1)</f>
        <v>45627</v>
      </c>
      <c r="M87" s="20">
        <f t="shared" ref="M87" si="513">EDATE(L87,1)</f>
        <v>45658</v>
      </c>
      <c r="N87" s="20">
        <f t="shared" ref="N87" si="514">EDATE(M87,1)</f>
        <v>45689</v>
      </c>
      <c r="O87" s="21">
        <f t="shared" ref="O87" si="515">EDATE(N87,1)</f>
        <v>45717</v>
      </c>
      <c r="P87" s="20">
        <f t="shared" ref="P87" si="516">EDATE(O87,1)</f>
        <v>45748</v>
      </c>
      <c r="Q87" s="20">
        <f t="shared" ref="Q87" si="517">EDATE(P87,1)</f>
        <v>45778</v>
      </c>
      <c r="R87" s="20">
        <f t="shared" ref="R87" si="518">EDATE(Q87,1)</f>
        <v>45809</v>
      </c>
      <c r="S87" s="20">
        <f t="shared" ref="S87" si="519">EDATE(R87,1)</f>
        <v>45839</v>
      </c>
      <c r="T87" s="20">
        <f t="shared" ref="T87" si="520">EDATE(S87,1)</f>
        <v>45870</v>
      </c>
      <c r="U87" s="20">
        <f t="shared" ref="U87" si="521">EDATE(T87,1)</f>
        <v>45901</v>
      </c>
      <c r="V87" s="20">
        <f t="shared" ref="V87" si="522">EDATE(U87,1)</f>
        <v>45931</v>
      </c>
      <c r="W87" s="20">
        <f t="shared" ref="W87" si="523">EDATE(V87,1)</f>
        <v>45962</v>
      </c>
      <c r="X87" s="20">
        <f t="shared" ref="X87" si="524">EDATE(W87,1)</f>
        <v>45992</v>
      </c>
      <c r="Y87" s="20">
        <f t="shared" ref="Y87" si="525">EDATE(X87,1)</f>
        <v>46023</v>
      </c>
      <c r="Z87" s="20">
        <f t="shared" ref="Z87" si="526">EDATE(Y87,1)</f>
        <v>46054</v>
      </c>
      <c r="AA87" s="21">
        <f t="shared" ref="AA87" si="527">EDATE(Z87,1)</f>
        <v>46082</v>
      </c>
      <c r="AB87" s="20">
        <f t="shared" ref="AB87" si="528">EDATE(AA87,1)</f>
        <v>46113</v>
      </c>
      <c r="AC87" s="20">
        <f t="shared" ref="AC87" si="529">EDATE(AB87,1)</f>
        <v>46143</v>
      </c>
      <c r="AD87" s="20">
        <f t="shared" ref="AD87" si="530">EDATE(AC87,1)</f>
        <v>46174</v>
      </c>
      <c r="AE87" s="20">
        <f t="shared" ref="AE87" si="531">EDATE(AD87,1)</f>
        <v>46204</v>
      </c>
      <c r="AF87" s="20">
        <f t="shared" ref="AF87" si="532">EDATE(AE87,1)</f>
        <v>46235</v>
      </c>
      <c r="AG87" s="20">
        <f t="shared" ref="AG87" si="533">EDATE(AF87,1)</f>
        <v>46266</v>
      </c>
      <c r="AH87" s="20">
        <f t="shared" ref="AH87" si="534">EDATE(AG87,1)</f>
        <v>46296</v>
      </c>
      <c r="AI87" s="20">
        <f t="shared" ref="AI87" si="535">EDATE(AH87,1)</f>
        <v>46327</v>
      </c>
      <c r="AJ87" s="20">
        <f t="shared" ref="AJ87" si="536">EDATE(AI87,1)</f>
        <v>46357</v>
      </c>
      <c r="AK87" s="20">
        <f t="shared" ref="AK87" si="537">EDATE(AJ87,1)</f>
        <v>46388</v>
      </c>
      <c r="AL87" s="20">
        <f t="shared" ref="AL87" si="538">EDATE(AK87,1)</f>
        <v>46419</v>
      </c>
      <c r="AM87" s="21">
        <f t="shared" ref="AM87" si="539">EDATE(AL87,1)</f>
        <v>46447</v>
      </c>
    </row>
    <row r="88" spans="1:62" hidden="1" outlineLevel="1" x14ac:dyDescent="0.35">
      <c r="A88" s="15" t="s">
        <v>195</v>
      </c>
      <c r="B88" s="15" t="s">
        <v>159</v>
      </c>
      <c r="C88" s="16">
        <f>SUM(C89:C91)</f>
        <v>7.7656255296719854</v>
      </c>
      <c r="D88" s="17">
        <f t="shared" ref="D88:AM88" si="540">SUM(D89:D91)</f>
        <v>7.1441769052511814</v>
      </c>
      <c r="E88" s="17">
        <f t="shared" si="540"/>
        <v>6.2992437048691556</v>
      </c>
      <c r="F88" s="17">
        <f t="shared" si="540"/>
        <v>5.715212114121802</v>
      </c>
      <c r="G88" s="17">
        <f t="shared" si="540"/>
        <v>5.715212114121802</v>
      </c>
      <c r="H88" s="17">
        <f t="shared" si="540"/>
        <v>5.715212114121802</v>
      </c>
      <c r="I88" s="17">
        <f t="shared" si="540"/>
        <v>5.715212114121802</v>
      </c>
      <c r="J88" s="17">
        <f t="shared" si="540"/>
        <v>5.715212114121802</v>
      </c>
      <c r="K88" s="17">
        <f t="shared" si="540"/>
        <v>5.715212114121802</v>
      </c>
      <c r="L88" s="17">
        <f t="shared" si="540"/>
        <v>5.715212114121802</v>
      </c>
      <c r="M88" s="17">
        <f t="shared" si="540"/>
        <v>5.715212114121802</v>
      </c>
      <c r="N88" s="17">
        <f t="shared" si="540"/>
        <v>5.715212114121802</v>
      </c>
      <c r="O88" s="18">
        <f t="shared" si="540"/>
        <v>5.715212114121802</v>
      </c>
      <c r="P88" s="17">
        <f t="shared" si="540"/>
        <v>5.715212114121802</v>
      </c>
      <c r="Q88" s="17">
        <f t="shared" si="540"/>
        <v>5.715212114121802</v>
      </c>
      <c r="R88" s="17">
        <f t="shared" si="540"/>
        <v>5.715212114121802</v>
      </c>
      <c r="S88" s="17">
        <f t="shared" si="540"/>
        <v>5.715212114121802</v>
      </c>
      <c r="T88" s="17">
        <f t="shared" si="540"/>
        <v>5.715212114121802</v>
      </c>
      <c r="U88" s="17">
        <f t="shared" si="540"/>
        <v>5.715212114121802</v>
      </c>
      <c r="V88" s="17">
        <f t="shared" si="540"/>
        <v>5.715212114121802</v>
      </c>
      <c r="W88" s="17">
        <f t="shared" si="540"/>
        <v>5.715212114121802</v>
      </c>
      <c r="X88" s="17">
        <f t="shared" si="540"/>
        <v>5.715212114121802</v>
      </c>
      <c r="Y88" s="17">
        <f t="shared" si="540"/>
        <v>5.715212114121802</v>
      </c>
      <c r="Z88" s="17">
        <f t="shared" si="540"/>
        <v>5.715212114121802</v>
      </c>
      <c r="AA88" s="18">
        <f t="shared" si="540"/>
        <v>5.715212114121802</v>
      </c>
      <c r="AB88" s="17">
        <f t="shared" si="540"/>
        <v>5.715212114121802</v>
      </c>
      <c r="AC88" s="17">
        <f t="shared" si="540"/>
        <v>5.715212114121802</v>
      </c>
      <c r="AD88" s="17">
        <f t="shared" si="540"/>
        <v>5.715212114121802</v>
      </c>
      <c r="AE88" s="17">
        <f t="shared" si="540"/>
        <v>5.715212114121802</v>
      </c>
      <c r="AF88" s="17">
        <f t="shared" si="540"/>
        <v>5.715212114121802</v>
      </c>
      <c r="AG88" s="17">
        <f t="shared" si="540"/>
        <v>5.715212114121802</v>
      </c>
      <c r="AH88" s="17">
        <f t="shared" si="540"/>
        <v>5.715212114121802</v>
      </c>
      <c r="AI88" s="17">
        <f t="shared" si="540"/>
        <v>5.715212114121802</v>
      </c>
      <c r="AJ88" s="17">
        <f t="shared" si="540"/>
        <v>5.715212114121802</v>
      </c>
      <c r="AK88" s="17">
        <f t="shared" si="540"/>
        <v>5.715212114121802</v>
      </c>
      <c r="AL88" s="17">
        <f t="shared" si="540"/>
        <v>5.715212114121802</v>
      </c>
      <c r="AM88" s="18">
        <f t="shared" si="540"/>
        <v>5.715212114121802</v>
      </c>
    </row>
    <row r="89" spans="1:62" hidden="1" outlineLevel="1" x14ac:dyDescent="0.35">
      <c r="A89" s="1" t="s">
        <v>195</v>
      </c>
      <c r="B89" s="1" t="s">
        <v>257</v>
      </c>
      <c r="C89" s="52">
        <v>7.7656255296719854</v>
      </c>
      <c r="D89" s="53">
        <v>7.1441769052511814</v>
      </c>
      <c r="E89" s="53">
        <v>6.2992437048691556</v>
      </c>
      <c r="F89" s="53">
        <v>5.715212114121802</v>
      </c>
      <c r="G89" s="53">
        <v>5.715212114121802</v>
      </c>
      <c r="H89" s="53">
        <v>5.715212114121802</v>
      </c>
      <c r="I89" s="53">
        <v>5.715212114121802</v>
      </c>
      <c r="J89" s="53">
        <v>5.715212114121802</v>
      </c>
      <c r="K89" s="53">
        <v>5.715212114121802</v>
      </c>
      <c r="L89" s="53">
        <v>5.715212114121802</v>
      </c>
      <c r="M89" s="53">
        <v>5.715212114121802</v>
      </c>
      <c r="N89" s="53">
        <v>5.715212114121802</v>
      </c>
      <c r="O89" s="54">
        <v>5.715212114121802</v>
      </c>
      <c r="P89" s="53">
        <v>5.715212114121802</v>
      </c>
      <c r="Q89" s="53">
        <v>5.715212114121802</v>
      </c>
      <c r="R89" s="53">
        <v>5.715212114121802</v>
      </c>
      <c r="S89" s="53">
        <v>5.715212114121802</v>
      </c>
      <c r="T89" s="53">
        <v>5.715212114121802</v>
      </c>
      <c r="U89" s="53">
        <v>5.715212114121802</v>
      </c>
      <c r="V89" s="53">
        <v>5.715212114121802</v>
      </c>
      <c r="W89" s="53">
        <v>5.715212114121802</v>
      </c>
      <c r="X89" s="53">
        <v>5.715212114121802</v>
      </c>
      <c r="Y89" s="53">
        <v>5.715212114121802</v>
      </c>
      <c r="Z89" s="53">
        <v>5.715212114121802</v>
      </c>
      <c r="AA89" s="54">
        <v>5.715212114121802</v>
      </c>
      <c r="AB89" s="53">
        <v>5.715212114121802</v>
      </c>
      <c r="AC89" s="53">
        <v>5.715212114121802</v>
      </c>
      <c r="AD89" s="53">
        <v>5.715212114121802</v>
      </c>
      <c r="AE89" s="53">
        <v>5.715212114121802</v>
      </c>
      <c r="AF89" s="53">
        <v>5.715212114121802</v>
      </c>
      <c r="AG89" s="53">
        <v>5.715212114121802</v>
      </c>
      <c r="AH89" s="53">
        <v>5.715212114121802</v>
      </c>
      <c r="AI89" s="53">
        <v>5.715212114121802</v>
      </c>
      <c r="AJ89" s="53">
        <v>5.715212114121802</v>
      </c>
      <c r="AK89" s="53">
        <v>5.715212114121802</v>
      </c>
      <c r="AL89" s="53">
        <v>5.715212114121802</v>
      </c>
      <c r="AM89" s="54">
        <v>5.715212114121802</v>
      </c>
    </row>
    <row r="90" spans="1:62" hidden="1" outlineLevel="1" x14ac:dyDescent="0.35">
      <c r="A90" s="2" t="s">
        <v>195</v>
      </c>
      <c r="B90" s="2" t="s">
        <v>258</v>
      </c>
      <c r="C90" s="55">
        <v>0</v>
      </c>
      <c r="D90" s="56">
        <v>0</v>
      </c>
      <c r="E90" s="56">
        <v>0</v>
      </c>
      <c r="F90" s="56">
        <v>0</v>
      </c>
      <c r="G90" s="56">
        <v>0</v>
      </c>
      <c r="H90" s="56">
        <v>0</v>
      </c>
      <c r="I90" s="56">
        <v>0</v>
      </c>
      <c r="J90" s="56">
        <v>0</v>
      </c>
      <c r="K90" s="56">
        <v>0</v>
      </c>
      <c r="L90" s="56">
        <v>0</v>
      </c>
      <c r="M90" s="56">
        <v>0</v>
      </c>
      <c r="N90" s="56">
        <v>0</v>
      </c>
      <c r="O90" s="57">
        <v>0</v>
      </c>
      <c r="P90" s="56">
        <v>0</v>
      </c>
      <c r="Q90" s="56">
        <v>0</v>
      </c>
      <c r="R90" s="56">
        <v>0</v>
      </c>
      <c r="S90" s="56">
        <v>0</v>
      </c>
      <c r="T90" s="56">
        <v>0</v>
      </c>
      <c r="U90" s="56">
        <v>0</v>
      </c>
      <c r="V90" s="56">
        <v>0</v>
      </c>
      <c r="W90" s="56">
        <v>0</v>
      </c>
      <c r="X90" s="56">
        <v>0</v>
      </c>
      <c r="Y90" s="56">
        <v>0</v>
      </c>
      <c r="Z90" s="56">
        <v>0</v>
      </c>
      <c r="AA90" s="57">
        <v>0</v>
      </c>
      <c r="AB90" s="56">
        <v>0</v>
      </c>
      <c r="AC90" s="56">
        <v>0</v>
      </c>
      <c r="AD90" s="56">
        <v>0</v>
      </c>
      <c r="AE90" s="56">
        <v>0</v>
      </c>
      <c r="AF90" s="56">
        <v>0</v>
      </c>
      <c r="AG90" s="56">
        <v>0</v>
      </c>
      <c r="AH90" s="56">
        <v>0</v>
      </c>
      <c r="AI90" s="56">
        <v>0</v>
      </c>
      <c r="AJ90" s="56">
        <v>0</v>
      </c>
      <c r="AK90" s="56">
        <v>0</v>
      </c>
      <c r="AL90" s="56">
        <v>0</v>
      </c>
      <c r="AM90" s="57">
        <v>0</v>
      </c>
    </row>
    <row r="91" spans="1:62" hidden="1" outlineLevel="1" x14ac:dyDescent="0.35">
      <c r="A91" s="3" t="s">
        <v>195</v>
      </c>
      <c r="B91" s="3" t="s">
        <v>259</v>
      </c>
      <c r="C91" s="58">
        <v>0</v>
      </c>
      <c r="D91" s="59">
        <v>0</v>
      </c>
      <c r="E91" s="59">
        <v>0</v>
      </c>
      <c r="F91" s="59">
        <v>0</v>
      </c>
      <c r="G91" s="59">
        <v>0</v>
      </c>
      <c r="H91" s="59">
        <v>0</v>
      </c>
      <c r="I91" s="59">
        <v>0</v>
      </c>
      <c r="J91" s="59">
        <v>0</v>
      </c>
      <c r="K91" s="59">
        <v>0</v>
      </c>
      <c r="L91" s="59">
        <v>0</v>
      </c>
      <c r="M91" s="59">
        <v>0</v>
      </c>
      <c r="N91" s="59">
        <v>0</v>
      </c>
      <c r="O91" s="60">
        <v>0</v>
      </c>
      <c r="P91" s="59">
        <v>0</v>
      </c>
      <c r="Q91" s="59">
        <v>0</v>
      </c>
      <c r="R91" s="59">
        <v>0</v>
      </c>
      <c r="S91" s="59">
        <v>0</v>
      </c>
      <c r="T91" s="59">
        <v>0</v>
      </c>
      <c r="U91" s="59">
        <v>0</v>
      </c>
      <c r="V91" s="59">
        <v>0</v>
      </c>
      <c r="W91" s="59">
        <v>0</v>
      </c>
      <c r="X91" s="59">
        <v>0</v>
      </c>
      <c r="Y91" s="59">
        <v>0</v>
      </c>
      <c r="Z91" s="59">
        <v>0</v>
      </c>
      <c r="AA91" s="60">
        <v>0</v>
      </c>
      <c r="AB91" s="59">
        <v>0</v>
      </c>
      <c r="AC91" s="59">
        <v>0</v>
      </c>
      <c r="AD91" s="59">
        <v>0</v>
      </c>
      <c r="AE91" s="59">
        <v>0</v>
      </c>
      <c r="AF91" s="59">
        <v>0</v>
      </c>
      <c r="AG91" s="59">
        <v>0</v>
      </c>
      <c r="AH91" s="59">
        <v>0</v>
      </c>
      <c r="AI91" s="59">
        <v>0</v>
      </c>
      <c r="AJ91" s="59">
        <v>0</v>
      </c>
      <c r="AK91" s="59">
        <v>0</v>
      </c>
      <c r="AL91" s="59">
        <v>0</v>
      </c>
      <c r="AM91" s="60">
        <v>0</v>
      </c>
    </row>
    <row r="92" spans="1:62" hidden="1" outlineLevel="1" x14ac:dyDescent="0.35"/>
    <row r="93" spans="1:62" hidden="1" outlineLevel="1" x14ac:dyDescent="0.35">
      <c r="A93" s="25" t="s">
        <v>264</v>
      </c>
      <c r="B93" s="4" t="s">
        <v>3</v>
      </c>
      <c r="C93" s="19">
        <f>$C$3</f>
        <v>45352</v>
      </c>
      <c r="D93" s="20">
        <f>EDATE(C93,1)</f>
        <v>45383</v>
      </c>
      <c r="E93" s="20">
        <f>EDATE(D93,1)</f>
        <v>45413</v>
      </c>
      <c r="F93" s="20">
        <f>EDATE(E93,1)</f>
        <v>45444</v>
      </c>
      <c r="G93" s="20">
        <f t="shared" ref="G93" si="541">EDATE(F93,1)</f>
        <v>45474</v>
      </c>
      <c r="H93" s="20">
        <f t="shared" ref="H93" si="542">EDATE(G93,1)</f>
        <v>45505</v>
      </c>
      <c r="I93" s="20">
        <f t="shared" ref="I93" si="543">EDATE(H93,1)</f>
        <v>45536</v>
      </c>
      <c r="J93" s="20">
        <f t="shared" ref="J93" si="544">EDATE(I93,1)</f>
        <v>45566</v>
      </c>
      <c r="K93" s="20">
        <f t="shared" ref="K93" si="545">EDATE(J93,1)</f>
        <v>45597</v>
      </c>
      <c r="L93" s="20">
        <f t="shared" ref="L93" si="546">EDATE(K93,1)</f>
        <v>45627</v>
      </c>
      <c r="M93" s="20">
        <f t="shared" ref="M93" si="547">EDATE(L93,1)</f>
        <v>45658</v>
      </c>
      <c r="N93" s="20">
        <f t="shared" ref="N93" si="548">EDATE(M93,1)</f>
        <v>45689</v>
      </c>
      <c r="O93" s="21">
        <f t="shared" ref="O93" si="549">EDATE(N93,1)</f>
        <v>45717</v>
      </c>
      <c r="P93" s="20">
        <f t="shared" ref="P93" si="550">EDATE(O93,1)</f>
        <v>45748</v>
      </c>
      <c r="Q93" s="20">
        <f t="shared" ref="Q93" si="551">EDATE(P93,1)</f>
        <v>45778</v>
      </c>
      <c r="R93" s="20">
        <f t="shared" ref="R93" si="552">EDATE(Q93,1)</f>
        <v>45809</v>
      </c>
      <c r="S93" s="20">
        <f t="shared" ref="S93" si="553">EDATE(R93,1)</f>
        <v>45839</v>
      </c>
      <c r="T93" s="20">
        <f t="shared" ref="T93" si="554">EDATE(S93,1)</f>
        <v>45870</v>
      </c>
      <c r="U93" s="20">
        <f t="shared" ref="U93" si="555">EDATE(T93,1)</f>
        <v>45901</v>
      </c>
      <c r="V93" s="20">
        <f t="shared" ref="V93" si="556">EDATE(U93,1)</f>
        <v>45931</v>
      </c>
      <c r="W93" s="20">
        <f t="shared" ref="W93" si="557">EDATE(V93,1)</f>
        <v>45962</v>
      </c>
      <c r="X93" s="20">
        <f t="shared" ref="X93" si="558">EDATE(W93,1)</f>
        <v>45992</v>
      </c>
      <c r="Y93" s="20">
        <f t="shared" ref="Y93" si="559">EDATE(X93,1)</f>
        <v>46023</v>
      </c>
      <c r="Z93" s="20">
        <f t="shared" ref="Z93" si="560">EDATE(Y93,1)</f>
        <v>46054</v>
      </c>
      <c r="AA93" s="21">
        <f t="shared" ref="AA93" si="561">EDATE(Z93,1)</f>
        <v>46082</v>
      </c>
      <c r="AB93" s="20">
        <f t="shared" ref="AB93" si="562">EDATE(AA93,1)</f>
        <v>46113</v>
      </c>
      <c r="AC93" s="20">
        <f t="shared" ref="AC93" si="563">EDATE(AB93,1)</f>
        <v>46143</v>
      </c>
      <c r="AD93" s="20">
        <f t="shared" ref="AD93" si="564">EDATE(AC93,1)</f>
        <v>46174</v>
      </c>
      <c r="AE93" s="20">
        <f t="shared" ref="AE93" si="565">EDATE(AD93,1)</f>
        <v>46204</v>
      </c>
      <c r="AF93" s="20">
        <f t="shared" ref="AF93" si="566">EDATE(AE93,1)</f>
        <v>46235</v>
      </c>
      <c r="AG93" s="20">
        <f t="shared" ref="AG93" si="567">EDATE(AF93,1)</f>
        <v>46266</v>
      </c>
      <c r="AH93" s="20">
        <f t="shared" ref="AH93" si="568">EDATE(AG93,1)</f>
        <v>46296</v>
      </c>
      <c r="AI93" s="20">
        <f t="shared" ref="AI93" si="569">EDATE(AH93,1)</f>
        <v>46327</v>
      </c>
      <c r="AJ93" s="20">
        <f t="shared" ref="AJ93" si="570">EDATE(AI93,1)</f>
        <v>46357</v>
      </c>
      <c r="AK93" s="20">
        <f t="shared" ref="AK93" si="571">EDATE(AJ93,1)</f>
        <v>46388</v>
      </c>
      <c r="AL93" s="20">
        <f t="shared" ref="AL93" si="572">EDATE(AK93,1)</f>
        <v>46419</v>
      </c>
      <c r="AM93" s="21">
        <f t="shared" ref="AM93" si="573">EDATE(AL93,1)</f>
        <v>46447</v>
      </c>
    </row>
    <row r="94" spans="1:62" hidden="1" outlineLevel="1" x14ac:dyDescent="0.35">
      <c r="A94" s="15" t="s">
        <v>264</v>
      </c>
      <c r="B94" s="15" t="s">
        <v>159</v>
      </c>
      <c r="C94" s="16">
        <f>SUM(C95:C97)</f>
        <v>0</v>
      </c>
      <c r="D94" s="17">
        <f t="shared" ref="D94:AM94" si="574">SUM(D95:D97)</f>
        <v>0</v>
      </c>
      <c r="E94" s="17">
        <f t="shared" si="574"/>
        <v>0</v>
      </c>
      <c r="F94" s="17">
        <f t="shared" si="574"/>
        <v>0</v>
      </c>
      <c r="G94" s="17">
        <f t="shared" si="574"/>
        <v>0</v>
      </c>
      <c r="H94" s="17">
        <f t="shared" si="574"/>
        <v>0</v>
      </c>
      <c r="I94" s="17">
        <f t="shared" si="574"/>
        <v>0</v>
      </c>
      <c r="J94" s="17">
        <f t="shared" si="574"/>
        <v>0</v>
      </c>
      <c r="K94" s="17">
        <f t="shared" si="574"/>
        <v>0</v>
      </c>
      <c r="L94" s="17">
        <f t="shared" si="574"/>
        <v>0</v>
      </c>
      <c r="M94" s="17">
        <f t="shared" si="574"/>
        <v>0</v>
      </c>
      <c r="N94" s="17">
        <f t="shared" si="574"/>
        <v>0</v>
      </c>
      <c r="O94" s="18">
        <f t="shared" si="574"/>
        <v>0</v>
      </c>
      <c r="P94" s="17">
        <f t="shared" si="574"/>
        <v>0</v>
      </c>
      <c r="Q94" s="17">
        <f t="shared" si="574"/>
        <v>0</v>
      </c>
      <c r="R94" s="17">
        <f t="shared" si="574"/>
        <v>0</v>
      </c>
      <c r="S94" s="17">
        <f t="shared" si="574"/>
        <v>0</v>
      </c>
      <c r="T94" s="17">
        <f t="shared" si="574"/>
        <v>0</v>
      </c>
      <c r="U94" s="17">
        <f t="shared" si="574"/>
        <v>0</v>
      </c>
      <c r="V94" s="17">
        <f t="shared" si="574"/>
        <v>0</v>
      </c>
      <c r="W94" s="17">
        <f t="shared" si="574"/>
        <v>0</v>
      </c>
      <c r="X94" s="17">
        <f t="shared" si="574"/>
        <v>0</v>
      </c>
      <c r="Y94" s="17">
        <f t="shared" si="574"/>
        <v>0</v>
      </c>
      <c r="Z94" s="17">
        <f t="shared" si="574"/>
        <v>0</v>
      </c>
      <c r="AA94" s="18">
        <f t="shared" si="574"/>
        <v>0</v>
      </c>
      <c r="AB94" s="17">
        <f t="shared" si="574"/>
        <v>0</v>
      </c>
      <c r="AC94" s="17">
        <f t="shared" si="574"/>
        <v>0</v>
      </c>
      <c r="AD94" s="17">
        <f t="shared" si="574"/>
        <v>0</v>
      </c>
      <c r="AE94" s="17">
        <f t="shared" si="574"/>
        <v>0</v>
      </c>
      <c r="AF94" s="17">
        <f t="shared" si="574"/>
        <v>0</v>
      </c>
      <c r="AG94" s="17">
        <f t="shared" si="574"/>
        <v>0</v>
      </c>
      <c r="AH94" s="17">
        <f t="shared" si="574"/>
        <v>0</v>
      </c>
      <c r="AI94" s="17">
        <f t="shared" si="574"/>
        <v>0</v>
      </c>
      <c r="AJ94" s="17">
        <f t="shared" si="574"/>
        <v>0</v>
      </c>
      <c r="AK94" s="17">
        <f t="shared" si="574"/>
        <v>0</v>
      </c>
      <c r="AL94" s="17">
        <f t="shared" si="574"/>
        <v>0</v>
      </c>
      <c r="AM94" s="18">
        <f t="shared" si="574"/>
        <v>0</v>
      </c>
    </row>
    <row r="95" spans="1:62" hidden="1" outlineLevel="1" x14ac:dyDescent="0.35">
      <c r="A95" s="1" t="s">
        <v>264</v>
      </c>
      <c r="B95" s="1" t="s">
        <v>257</v>
      </c>
      <c r="C95" s="52">
        <v>0</v>
      </c>
      <c r="D95" s="53">
        <v>0</v>
      </c>
      <c r="E95" s="53">
        <v>0</v>
      </c>
      <c r="F95" s="53">
        <v>0</v>
      </c>
      <c r="G95" s="53">
        <v>0</v>
      </c>
      <c r="H95" s="53">
        <v>0</v>
      </c>
      <c r="I95" s="53">
        <v>0</v>
      </c>
      <c r="J95" s="53">
        <v>0</v>
      </c>
      <c r="K95" s="53">
        <v>0</v>
      </c>
      <c r="L95" s="53">
        <v>0</v>
      </c>
      <c r="M95" s="53">
        <v>0</v>
      </c>
      <c r="N95" s="53">
        <v>0</v>
      </c>
      <c r="O95" s="54">
        <v>0</v>
      </c>
      <c r="P95" s="53">
        <v>0</v>
      </c>
      <c r="Q95" s="53">
        <v>0</v>
      </c>
      <c r="R95" s="53">
        <v>0</v>
      </c>
      <c r="S95" s="53">
        <v>0</v>
      </c>
      <c r="T95" s="53">
        <v>0</v>
      </c>
      <c r="U95" s="53">
        <v>0</v>
      </c>
      <c r="V95" s="53">
        <v>0</v>
      </c>
      <c r="W95" s="53">
        <v>0</v>
      </c>
      <c r="X95" s="53">
        <v>0</v>
      </c>
      <c r="Y95" s="53">
        <v>0</v>
      </c>
      <c r="Z95" s="53">
        <v>0</v>
      </c>
      <c r="AA95" s="54">
        <v>0</v>
      </c>
      <c r="AB95" s="53">
        <v>0</v>
      </c>
      <c r="AC95" s="53">
        <v>0</v>
      </c>
      <c r="AD95" s="53">
        <v>0</v>
      </c>
      <c r="AE95" s="53">
        <v>0</v>
      </c>
      <c r="AF95" s="53">
        <v>0</v>
      </c>
      <c r="AG95" s="53">
        <v>0</v>
      </c>
      <c r="AH95" s="53">
        <v>0</v>
      </c>
      <c r="AI95" s="53">
        <v>0</v>
      </c>
      <c r="AJ95" s="53">
        <v>0</v>
      </c>
      <c r="AK95" s="53">
        <v>0</v>
      </c>
      <c r="AL95" s="53">
        <v>0</v>
      </c>
      <c r="AM95" s="54">
        <v>0</v>
      </c>
    </row>
    <row r="96" spans="1:62" hidden="1" outlineLevel="1" x14ac:dyDescent="0.35">
      <c r="A96" s="2" t="s">
        <v>264</v>
      </c>
      <c r="B96" s="2" t="s">
        <v>258</v>
      </c>
      <c r="C96" s="55">
        <f>'Input - GNPA'!C126</f>
        <v>0</v>
      </c>
      <c r="D96" s="56">
        <f>'Input - GNPA'!D126</f>
        <v>0</v>
      </c>
      <c r="E96" s="56">
        <f>'Input - GNPA'!E126</f>
        <v>0</v>
      </c>
      <c r="F96" s="56">
        <f>'Input - GNPA'!F126</f>
        <v>0</v>
      </c>
      <c r="G96" s="56">
        <f>'Input - GNPA'!G126</f>
        <v>0</v>
      </c>
      <c r="H96" s="56">
        <f>'Input - GNPA'!H126</f>
        <v>0</v>
      </c>
      <c r="I96" s="56">
        <f>'Input - GNPA'!I126</f>
        <v>0</v>
      </c>
      <c r="J96" s="56">
        <f>'Input - GNPA'!J126</f>
        <v>0</v>
      </c>
      <c r="K96" s="56">
        <f>'Input - GNPA'!K126</f>
        <v>0</v>
      </c>
      <c r="L96" s="56">
        <f>'Input - GNPA'!L126</f>
        <v>0</v>
      </c>
      <c r="M96" s="56">
        <f>'Input - GNPA'!M126</f>
        <v>0</v>
      </c>
      <c r="N96" s="56">
        <f>'Input - GNPA'!N126</f>
        <v>0</v>
      </c>
      <c r="O96" s="57">
        <f>'Input - GNPA'!O126</f>
        <v>0</v>
      </c>
      <c r="P96" s="56">
        <f>'Input - GNPA'!P126</f>
        <v>0</v>
      </c>
      <c r="Q96" s="56">
        <f>'Input - GNPA'!Q126</f>
        <v>0</v>
      </c>
      <c r="R96" s="56">
        <f>'Input - GNPA'!R126</f>
        <v>0</v>
      </c>
      <c r="S96" s="56">
        <f>'Input - GNPA'!S126</f>
        <v>0</v>
      </c>
      <c r="T96" s="56">
        <f>'Input - GNPA'!T126</f>
        <v>0</v>
      </c>
      <c r="U96" s="56">
        <f>'Input - GNPA'!U126</f>
        <v>0</v>
      </c>
      <c r="V96" s="56">
        <f>'Input - GNPA'!V126</f>
        <v>0</v>
      </c>
      <c r="W96" s="56">
        <f>'Input - GNPA'!W126</f>
        <v>0</v>
      </c>
      <c r="X96" s="56">
        <f>'Input - GNPA'!X126</f>
        <v>0</v>
      </c>
      <c r="Y96" s="56">
        <f>'Input - GNPA'!Y126</f>
        <v>0</v>
      </c>
      <c r="Z96" s="56">
        <f>'Input - GNPA'!Z126</f>
        <v>0</v>
      </c>
      <c r="AA96" s="57">
        <f>'Input - GNPA'!AA126</f>
        <v>0</v>
      </c>
      <c r="AB96" s="56">
        <f>'Input - GNPA'!AB126</f>
        <v>0</v>
      </c>
      <c r="AC96" s="56">
        <f>'Input - GNPA'!AC126</f>
        <v>0</v>
      </c>
      <c r="AD96" s="56">
        <f>'Input - GNPA'!AD126</f>
        <v>0</v>
      </c>
      <c r="AE96" s="56">
        <f>'Input - GNPA'!AE126</f>
        <v>0</v>
      </c>
      <c r="AF96" s="56">
        <f>'Input - GNPA'!AF126</f>
        <v>0</v>
      </c>
      <c r="AG96" s="56">
        <f>'Input - GNPA'!AG126</f>
        <v>0</v>
      </c>
      <c r="AH96" s="56">
        <f>'Input - GNPA'!AH126</f>
        <v>0</v>
      </c>
      <c r="AI96" s="56">
        <f>'Input - GNPA'!AI126</f>
        <v>0</v>
      </c>
      <c r="AJ96" s="56">
        <f>'Input - GNPA'!AJ126</f>
        <v>0</v>
      </c>
      <c r="AK96" s="56">
        <f>'Input - GNPA'!AK126</f>
        <v>0</v>
      </c>
      <c r="AL96" s="56">
        <f>'Input - GNPA'!AL126</f>
        <v>0</v>
      </c>
      <c r="AM96" s="57">
        <f>'Input - GNPA'!AM126</f>
        <v>0</v>
      </c>
    </row>
    <row r="97" spans="1:39" hidden="1" outlineLevel="1" x14ac:dyDescent="0.35">
      <c r="A97" s="3" t="s">
        <v>264</v>
      </c>
      <c r="B97" s="3" t="s">
        <v>259</v>
      </c>
      <c r="C97" s="58">
        <v>0</v>
      </c>
      <c r="D97" s="59">
        <v>0</v>
      </c>
      <c r="E97" s="59">
        <v>0</v>
      </c>
      <c r="F97" s="59">
        <v>0</v>
      </c>
      <c r="G97" s="59">
        <v>0</v>
      </c>
      <c r="H97" s="59">
        <v>0</v>
      </c>
      <c r="I97" s="59">
        <v>0</v>
      </c>
      <c r="J97" s="59">
        <v>0</v>
      </c>
      <c r="K97" s="59">
        <v>0</v>
      </c>
      <c r="L97" s="59">
        <v>0</v>
      </c>
      <c r="M97" s="59">
        <v>0</v>
      </c>
      <c r="N97" s="59">
        <v>0</v>
      </c>
      <c r="O97" s="60">
        <v>0</v>
      </c>
      <c r="P97" s="59">
        <v>0</v>
      </c>
      <c r="Q97" s="59">
        <v>0</v>
      </c>
      <c r="R97" s="59">
        <v>0</v>
      </c>
      <c r="S97" s="59">
        <v>0</v>
      </c>
      <c r="T97" s="59">
        <v>0</v>
      </c>
      <c r="U97" s="59">
        <v>0</v>
      </c>
      <c r="V97" s="59">
        <v>0</v>
      </c>
      <c r="W97" s="59">
        <v>0</v>
      </c>
      <c r="X97" s="59">
        <v>0</v>
      </c>
      <c r="Y97" s="59">
        <v>0</v>
      </c>
      <c r="Z97" s="59">
        <v>0</v>
      </c>
      <c r="AA97" s="60">
        <v>0</v>
      </c>
      <c r="AB97" s="59">
        <v>0</v>
      </c>
      <c r="AC97" s="59">
        <v>0</v>
      </c>
      <c r="AD97" s="59">
        <v>0</v>
      </c>
      <c r="AE97" s="59">
        <v>0</v>
      </c>
      <c r="AF97" s="59">
        <v>0</v>
      </c>
      <c r="AG97" s="59">
        <v>0</v>
      </c>
      <c r="AH97" s="59">
        <v>0</v>
      </c>
      <c r="AI97" s="59">
        <v>0</v>
      </c>
      <c r="AJ97" s="59">
        <v>0</v>
      </c>
      <c r="AK97" s="59">
        <v>0</v>
      </c>
      <c r="AL97" s="59">
        <v>0</v>
      </c>
      <c r="AM97" s="60">
        <v>0</v>
      </c>
    </row>
    <row r="98" spans="1:39" collapsed="1" x14ac:dyDescent="0.35"/>
  </sheetData>
  <conditionalFormatting sqref="C16:AM16">
    <cfRule type="expression" dxfId="107" priority="43">
      <formula>C$1="SL3"</formula>
    </cfRule>
    <cfRule type="expression" dxfId="106" priority="44">
      <formula>C$1="SL2"</formula>
    </cfRule>
    <cfRule type="expression" dxfId="105" priority="45">
      <formula>C$1="SL1"</formula>
    </cfRule>
  </conditionalFormatting>
  <conditionalFormatting sqref="C22:AM22">
    <cfRule type="expression" dxfId="104" priority="40">
      <formula>C$1="SL3"</formula>
    </cfRule>
    <cfRule type="expression" dxfId="103" priority="41">
      <formula>C$1="SL2"</formula>
    </cfRule>
    <cfRule type="expression" dxfId="102" priority="42">
      <formula>C$1="SL1"</formula>
    </cfRule>
  </conditionalFormatting>
  <conditionalFormatting sqref="C40:AM40">
    <cfRule type="expression" dxfId="101" priority="28">
      <formula>C$1="SL3"</formula>
    </cfRule>
    <cfRule type="expression" dxfId="100" priority="29">
      <formula>C$1="SL2"</formula>
    </cfRule>
    <cfRule type="expression" dxfId="99" priority="30">
      <formula>C$1="SL1"</formula>
    </cfRule>
  </conditionalFormatting>
  <conditionalFormatting sqref="C46:AM46">
    <cfRule type="expression" dxfId="98" priority="25">
      <formula>C$1="SL3"</formula>
    </cfRule>
    <cfRule type="expression" dxfId="97" priority="26">
      <formula>C$1="SL2"</formula>
    </cfRule>
    <cfRule type="expression" dxfId="96" priority="27">
      <formula>C$1="SL1"</formula>
    </cfRule>
  </conditionalFormatting>
  <conditionalFormatting sqref="C64:AM64">
    <cfRule type="expression" dxfId="95" priority="16">
      <formula>C$1="SL3"</formula>
    </cfRule>
    <cfRule type="expression" dxfId="94" priority="17">
      <formula>C$1="SL2"</formula>
    </cfRule>
    <cfRule type="expression" dxfId="93" priority="18">
      <formula>C$1="SL1"</formula>
    </cfRule>
  </conditionalFormatting>
  <conditionalFormatting sqref="C70:AM70">
    <cfRule type="expression" dxfId="92" priority="13">
      <formula>C$1="SL3"</formula>
    </cfRule>
    <cfRule type="expression" dxfId="91" priority="14">
      <formula>C$1="SL2"</formula>
    </cfRule>
    <cfRule type="expression" dxfId="90" priority="15">
      <formula>C$1="SL1"</formula>
    </cfRule>
  </conditionalFormatting>
  <conditionalFormatting sqref="C88:AM88">
    <cfRule type="expression" dxfId="89" priority="4">
      <formula>C$1="SL3"</formula>
    </cfRule>
    <cfRule type="expression" dxfId="88" priority="5">
      <formula>C$1="SL2"</formula>
    </cfRule>
    <cfRule type="expression" dxfId="87" priority="6">
      <formula>C$1="SL1"</formula>
    </cfRule>
  </conditionalFormatting>
  <conditionalFormatting sqref="C94:AM94">
    <cfRule type="expression" dxfId="86" priority="1">
      <formula>C$1="SL3"</formula>
    </cfRule>
    <cfRule type="expression" dxfId="85" priority="2">
      <formula>C$1="SL2"</formula>
    </cfRule>
    <cfRule type="expression" dxfId="84" priority="3">
      <formula>C$1="SL1"</formula>
    </cfRule>
  </conditionalFormatting>
  <conditionalFormatting sqref="C4:BJ4">
    <cfRule type="expression" dxfId="83" priority="49">
      <formula>C$1="SL3"</formula>
    </cfRule>
    <cfRule type="expression" dxfId="82" priority="50">
      <formula>C$1="SL2"</formula>
    </cfRule>
    <cfRule type="expression" dxfId="81" priority="51">
      <formula>C$1="SL1"</formula>
    </cfRule>
  </conditionalFormatting>
  <conditionalFormatting sqref="C10:BJ10">
    <cfRule type="expression" dxfId="80" priority="46">
      <formula>C$1="SL3"</formula>
    </cfRule>
    <cfRule type="expression" dxfId="79" priority="47">
      <formula>C$1="SL2"</formula>
    </cfRule>
    <cfRule type="expression" dxfId="78" priority="48">
      <formula>C$1="SL1"</formula>
    </cfRule>
  </conditionalFormatting>
  <conditionalFormatting sqref="C28:BJ28">
    <cfRule type="expression" dxfId="77" priority="34">
      <formula>C$1="SL3"</formula>
    </cfRule>
    <cfRule type="expression" dxfId="76" priority="35">
      <formula>C$1="SL2"</formula>
    </cfRule>
    <cfRule type="expression" dxfId="75" priority="36">
      <formula>C$1="SL1"</formula>
    </cfRule>
  </conditionalFormatting>
  <conditionalFormatting sqref="C34:BJ34">
    <cfRule type="expression" dxfId="74" priority="31">
      <formula>C$1="SL3"</formula>
    </cfRule>
    <cfRule type="expression" dxfId="73" priority="32">
      <formula>C$1="SL2"</formula>
    </cfRule>
    <cfRule type="expression" dxfId="72" priority="33">
      <formula>C$1="SL1"</formula>
    </cfRule>
  </conditionalFormatting>
  <conditionalFormatting sqref="C52:BJ52">
    <cfRule type="expression" dxfId="71" priority="22">
      <formula>C$1="SL3"</formula>
    </cfRule>
    <cfRule type="expression" dxfId="70" priority="23">
      <formula>C$1="SL2"</formula>
    </cfRule>
    <cfRule type="expression" dxfId="69" priority="24">
      <formula>C$1="SL1"</formula>
    </cfRule>
  </conditionalFormatting>
  <conditionalFormatting sqref="C58:BJ58">
    <cfRule type="expression" dxfId="68" priority="19">
      <formula>C$1="SL3"</formula>
    </cfRule>
    <cfRule type="expression" dxfId="67" priority="20">
      <formula>C$1="SL2"</formula>
    </cfRule>
    <cfRule type="expression" dxfId="66" priority="21">
      <formula>C$1="SL1"</formula>
    </cfRule>
  </conditionalFormatting>
  <conditionalFormatting sqref="C76:BJ76">
    <cfRule type="expression" dxfId="65" priority="10">
      <formula>C$1="SL3"</formula>
    </cfRule>
    <cfRule type="expression" dxfId="64" priority="11">
      <formula>C$1="SL2"</formula>
    </cfRule>
    <cfRule type="expression" dxfId="63" priority="12">
      <formula>C$1="SL1"</formula>
    </cfRule>
  </conditionalFormatting>
  <conditionalFormatting sqref="C82:BJ82">
    <cfRule type="expression" dxfId="62" priority="7">
      <formula>C$1="SL3"</formula>
    </cfRule>
    <cfRule type="expression" dxfId="61" priority="8">
      <formula>C$1="SL2"</formula>
    </cfRule>
    <cfRule type="expression" dxfId="60" priority="9">
      <formula>C$1="SL1"</formula>
    </cfRule>
  </conditionalFormatting>
  <hyperlinks>
    <hyperlink ref="A1" location="Index!C9" display="Back - Index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K30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E11" sqref="E11"/>
    </sheetView>
  </sheetViews>
  <sheetFormatPr defaultRowHeight="14.5" x14ac:dyDescent="0.35"/>
  <cols>
    <col min="3" max="3" width="10.81640625" bestFit="1" customWidth="1"/>
    <col min="4" max="4" width="12.1796875" bestFit="1" customWidth="1"/>
    <col min="5" max="63" width="10.54296875" bestFit="1" customWidth="1"/>
  </cols>
  <sheetData>
    <row r="1" spans="2:63" x14ac:dyDescent="0.35">
      <c r="D1" s="137" t="str">
        <f>LOOKUP(D2,'Input-Stress Parameters'!$C$9:$BJ$9,'Input-Stress Parameters'!$C$11:$BJ$11)</f>
        <v>N</v>
      </c>
      <c r="E1" s="137" t="str">
        <f>LOOKUP(E2,'Input-Stress Parameters'!$C$9:$BJ$9,'Input-Stress Parameters'!$C$11:$BJ$11)</f>
        <v>SL1</v>
      </c>
      <c r="F1" s="137" t="str">
        <f>LOOKUP(F2,'Input-Stress Parameters'!$C$9:$BJ$9,'Input-Stress Parameters'!$C$11:$BJ$11)</f>
        <v>SL1</v>
      </c>
      <c r="G1" s="137" t="str">
        <f>LOOKUP(G2,'Input-Stress Parameters'!$C$9:$BJ$9,'Input-Stress Parameters'!$C$11:$BJ$11)</f>
        <v>SL1</v>
      </c>
      <c r="H1" s="137" t="str">
        <f>LOOKUP(H2,'Input-Stress Parameters'!$C$9:$BJ$9,'Input-Stress Parameters'!$C$11:$BJ$11)</f>
        <v>SL1</v>
      </c>
      <c r="I1" s="137" t="str">
        <f>LOOKUP(I2,'Input-Stress Parameters'!$C$9:$BJ$9,'Input-Stress Parameters'!$C$11:$BJ$11)</f>
        <v>SL1</v>
      </c>
      <c r="J1" s="137" t="str">
        <f>LOOKUP(J2,'Input-Stress Parameters'!$C$9:$BJ$9,'Input-Stress Parameters'!$C$11:$BJ$11)</f>
        <v>SL1</v>
      </c>
      <c r="K1" s="137" t="str">
        <f>LOOKUP(K2,'Input-Stress Parameters'!$C$9:$BJ$9,'Input-Stress Parameters'!$C$11:$BJ$11)</f>
        <v>SL2</v>
      </c>
      <c r="L1" s="137" t="str">
        <f>LOOKUP(L2,'Input-Stress Parameters'!$C$9:$BJ$9,'Input-Stress Parameters'!$C$11:$BJ$11)</f>
        <v>SL2</v>
      </c>
      <c r="M1" s="137" t="str">
        <f>LOOKUP(M2,'Input-Stress Parameters'!$C$9:$BJ$9,'Input-Stress Parameters'!$C$11:$BJ$11)</f>
        <v>SL2</v>
      </c>
      <c r="N1" s="137" t="str">
        <f>LOOKUP(N2,'Input-Stress Parameters'!$C$9:$BJ$9,'Input-Stress Parameters'!$C$11:$BJ$11)</f>
        <v>SL2</v>
      </c>
      <c r="O1" s="137" t="str">
        <f>LOOKUP(O2,'Input-Stress Parameters'!$C$9:$BJ$9,'Input-Stress Parameters'!$C$11:$BJ$11)</f>
        <v>SL2</v>
      </c>
      <c r="P1" s="137" t="str">
        <f>LOOKUP(P2,'Input-Stress Parameters'!$C$9:$BJ$9,'Input-Stress Parameters'!$C$11:$BJ$11)</f>
        <v>SL2</v>
      </c>
      <c r="Q1" s="137" t="str">
        <f>LOOKUP(Q2,'Input-Stress Parameters'!$C$9:$BJ$9,'Input-Stress Parameters'!$C$11:$BJ$11)</f>
        <v>SL2</v>
      </c>
      <c r="R1" s="137" t="str">
        <f>LOOKUP(R2,'Input-Stress Parameters'!$C$9:$BJ$9,'Input-Stress Parameters'!$C$11:$BJ$11)</f>
        <v>SL2</v>
      </c>
      <c r="S1" s="137" t="str">
        <f>LOOKUP(S2,'Input-Stress Parameters'!$C$9:$BJ$9,'Input-Stress Parameters'!$C$11:$BJ$11)</f>
        <v>SL2</v>
      </c>
      <c r="T1" s="137" t="str">
        <f>LOOKUP(T2,'Input-Stress Parameters'!$C$9:$BJ$9,'Input-Stress Parameters'!$C$11:$BJ$11)</f>
        <v>SL2</v>
      </c>
      <c r="U1" s="137" t="str">
        <f>LOOKUP(U2,'Input-Stress Parameters'!$C$9:$BJ$9,'Input-Stress Parameters'!$C$11:$BJ$11)</f>
        <v>SL2</v>
      </c>
      <c r="V1" s="137" t="str">
        <f>LOOKUP(V2,'Input-Stress Parameters'!$C$9:$BJ$9,'Input-Stress Parameters'!$C$11:$BJ$11)</f>
        <v>SL2</v>
      </c>
      <c r="W1" s="137" t="str">
        <f>LOOKUP(W2,'Input-Stress Parameters'!$C$9:$BJ$9,'Input-Stress Parameters'!$C$11:$BJ$11)</f>
        <v>SL3</v>
      </c>
      <c r="X1" s="137" t="str">
        <f>LOOKUP(X2,'Input-Stress Parameters'!$C$9:$BJ$9,'Input-Stress Parameters'!$C$11:$BJ$11)</f>
        <v>SL3</v>
      </c>
      <c r="Y1" s="137" t="str">
        <f>LOOKUP(Y2,'Input-Stress Parameters'!$C$9:$BJ$9,'Input-Stress Parameters'!$C$11:$BJ$11)</f>
        <v>SL3</v>
      </c>
      <c r="Z1" s="137" t="str">
        <f>LOOKUP(Z2,'Input-Stress Parameters'!$C$9:$BJ$9,'Input-Stress Parameters'!$C$11:$BJ$11)</f>
        <v>SL3</v>
      </c>
      <c r="AA1" s="137" t="str">
        <f>LOOKUP(AA2,'Input-Stress Parameters'!$C$9:$BJ$9,'Input-Stress Parameters'!$C$11:$BJ$11)</f>
        <v>SL3</v>
      </c>
      <c r="AB1" s="137" t="str">
        <f>LOOKUP(AB2,'Input-Stress Parameters'!$C$9:$BJ$9,'Input-Stress Parameters'!$C$11:$BJ$11)</f>
        <v>SL3</v>
      </c>
      <c r="AC1" s="137" t="str">
        <f>LOOKUP(AC2,'Input-Stress Parameters'!$C$9:$BJ$9,'Input-Stress Parameters'!$C$11:$BJ$11)</f>
        <v>SL3</v>
      </c>
      <c r="AD1" s="137" t="str">
        <f>LOOKUP(AD2,'Input-Stress Parameters'!$C$9:$BJ$9,'Input-Stress Parameters'!$C$11:$BJ$11)</f>
        <v>SL3</v>
      </c>
      <c r="AE1" s="137" t="str">
        <f>LOOKUP(AE2,'Input-Stress Parameters'!$C$9:$BJ$9,'Input-Stress Parameters'!$C$11:$BJ$11)</f>
        <v>SL3</v>
      </c>
      <c r="AF1" s="137" t="str">
        <f>LOOKUP(AF2,'Input-Stress Parameters'!$C$9:$BJ$9,'Input-Stress Parameters'!$C$11:$BJ$11)</f>
        <v>SL3</v>
      </c>
      <c r="AG1" s="137" t="str">
        <f>LOOKUP(AG2,'Input-Stress Parameters'!$C$9:$BJ$9,'Input-Stress Parameters'!$C$11:$BJ$11)</f>
        <v>SL3</v>
      </c>
      <c r="AH1" s="137" t="str">
        <f>LOOKUP(AH2,'Input-Stress Parameters'!$C$9:$BJ$9,'Input-Stress Parameters'!$C$11:$BJ$11)</f>
        <v>SL3</v>
      </c>
      <c r="AI1" s="137" t="str">
        <f>LOOKUP(AI2,'Input-Stress Parameters'!$C$9:$BJ$9,'Input-Stress Parameters'!$C$11:$BJ$11)</f>
        <v>N</v>
      </c>
      <c r="AJ1" s="137" t="str">
        <f>LOOKUP(AJ2,'Input-Stress Parameters'!$C$9:$BJ$9,'Input-Stress Parameters'!$C$11:$BJ$11)</f>
        <v>N</v>
      </c>
      <c r="AK1" s="137" t="str">
        <f>LOOKUP(AK2,'Input-Stress Parameters'!$C$9:$BJ$9,'Input-Stress Parameters'!$C$11:$BJ$11)</f>
        <v>N</v>
      </c>
      <c r="AL1" s="137" t="str">
        <f>LOOKUP(AL2,'Input-Stress Parameters'!$C$9:$BJ$9,'Input-Stress Parameters'!$C$11:$BJ$11)</f>
        <v>N</v>
      </c>
      <c r="AM1" s="137" t="str">
        <f>LOOKUP(AM2,'Input-Stress Parameters'!$C$9:$BJ$9,'Input-Stress Parameters'!$C$11:$BJ$11)</f>
        <v>N</v>
      </c>
      <c r="AN1" s="137" t="str">
        <f>LOOKUP(AN2,'Input-Stress Parameters'!$C$9:$BJ$9,'Input-Stress Parameters'!$C$11:$BJ$11)</f>
        <v>N</v>
      </c>
      <c r="AO1" s="137" t="str">
        <f>LOOKUP(AO2,'Input-Stress Parameters'!$C$9:$BJ$9,'Input-Stress Parameters'!$C$11:$BJ$11)</f>
        <v>N</v>
      </c>
      <c r="AP1" s="137" t="str">
        <f>LOOKUP(AP2,'Input-Stress Parameters'!$C$9:$BJ$9,'Input-Stress Parameters'!$C$11:$BJ$11)</f>
        <v>N</v>
      </c>
      <c r="AQ1" s="137" t="str">
        <f>LOOKUP(AQ2,'Input-Stress Parameters'!$C$9:$BJ$9,'Input-Stress Parameters'!$C$11:$BJ$11)</f>
        <v>N</v>
      </c>
      <c r="AR1" s="137" t="str">
        <f>LOOKUP(AR2,'Input-Stress Parameters'!$C$9:$BJ$9,'Input-Stress Parameters'!$C$11:$BJ$11)</f>
        <v>N</v>
      </c>
      <c r="AS1" s="137" t="str">
        <f>LOOKUP(AS2,'Input-Stress Parameters'!$C$9:$BJ$9,'Input-Stress Parameters'!$C$11:$BJ$11)</f>
        <v>N</v>
      </c>
      <c r="AT1" s="137" t="str">
        <f>LOOKUP(AT2,'Input-Stress Parameters'!$C$9:$BJ$9,'Input-Stress Parameters'!$C$11:$BJ$11)</f>
        <v>N</v>
      </c>
      <c r="AU1" s="137" t="str">
        <f>LOOKUP(AU2,'Input-Stress Parameters'!$C$9:$BJ$9,'Input-Stress Parameters'!$C$11:$BJ$11)</f>
        <v>N</v>
      </c>
      <c r="AV1" s="137" t="str">
        <f>LOOKUP(AV2,'Input-Stress Parameters'!$C$9:$BJ$9,'Input-Stress Parameters'!$C$11:$BJ$11)</f>
        <v>N</v>
      </c>
      <c r="AW1" s="137" t="str">
        <f>LOOKUP(AW2,'Input-Stress Parameters'!$C$9:$BJ$9,'Input-Stress Parameters'!$C$11:$BJ$11)</f>
        <v>N</v>
      </c>
      <c r="AX1" s="137" t="str">
        <f>LOOKUP(AX2,'Input-Stress Parameters'!$C$9:$BJ$9,'Input-Stress Parameters'!$C$11:$BJ$11)</f>
        <v>N</v>
      </c>
      <c r="AY1" s="137" t="str">
        <f>LOOKUP(AY2,'Input-Stress Parameters'!$C$9:$BJ$9,'Input-Stress Parameters'!$C$11:$BJ$11)</f>
        <v>N</v>
      </c>
      <c r="AZ1" s="137" t="str">
        <f>LOOKUP(AZ2,'Input-Stress Parameters'!$C$9:$BJ$9,'Input-Stress Parameters'!$C$11:$BJ$11)</f>
        <v>N</v>
      </c>
      <c r="BA1" s="137" t="str">
        <f>LOOKUP(BA2,'Input-Stress Parameters'!$C$9:$BJ$9,'Input-Stress Parameters'!$C$11:$BJ$11)</f>
        <v>N</v>
      </c>
      <c r="BB1" s="137" t="str">
        <f>LOOKUP(BB2,'Input-Stress Parameters'!$C$9:$BJ$9,'Input-Stress Parameters'!$C$11:$BJ$11)</f>
        <v>N</v>
      </c>
      <c r="BC1" s="137" t="str">
        <f>LOOKUP(BC2,'Input-Stress Parameters'!$C$9:$BJ$9,'Input-Stress Parameters'!$C$11:$BJ$11)</f>
        <v>N</v>
      </c>
      <c r="BD1" s="137" t="str">
        <f>LOOKUP(BD2,'Input-Stress Parameters'!$C$9:$BJ$9,'Input-Stress Parameters'!$C$11:$BJ$11)</f>
        <v>N</v>
      </c>
      <c r="BE1" s="137" t="str">
        <f>LOOKUP(BE2,'Input-Stress Parameters'!$C$9:$BJ$9,'Input-Stress Parameters'!$C$11:$BJ$11)</f>
        <v>N</v>
      </c>
      <c r="BF1" s="137" t="str">
        <f>LOOKUP(BF2,'Input-Stress Parameters'!$C$9:$BJ$9,'Input-Stress Parameters'!$C$11:$BJ$11)</f>
        <v>N</v>
      </c>
      <c r="BG1" s="137" t="str">
        <f>LOOKUP(BG2,'Input-Stress Parameters'!$C$9:$BJ$9,'Input-Stress Parameters'!$C$11:$BJ$11)</f>
        <v>N</v>
      </c>
      <c r="BH1" s="137" t="str">
        <f>LOOKUP(BH2,'Input-Stress Parameters'!$C$9:$BJ$9,'Input-Stress Parameters'!$C$11:$BJ$11)</f>
        <v>N</v>
      </c>
      <c r="BI1" s="137" t="str">
        <f>LOOKUP(BI2,'Input-Stress Parameters'!$C$9:$BJ$9,'Input-Stress Parameters'!$C$11:$BJ$11)</f>
        <v>N</v>
      </c>
      <c r="BJ1" s="137" t="str">
        <f>LOOKUP(BJ2,'Input-Stress Parameters'!$C$9:$BJ$9,'Input-Stress Parameters'!$C$11:$BJ$11)</f>
        <v>N</v>
      </c>
      <c r="BK1" s="137" t="str">
        <f>LOOKUP(BK2,'Input-Stress Parameters'!$C$9:$BJ$9,'Input-Stress Parameters'!$C$11:$BJ$11)</f>
        <v>N</v>
      </c>
    </row>
    <row r="2" spans="2:63" x14ac:dyDescent="0.35">
      <c r="C2" s="15" t="s">
        <v>157</v>
      </c>
      <c r="D2" s="110">
        <f>'Input-Stress Parameters'!C2</f>
        <v>45352</v>
      </c>
      <c r="E2" s="111">
        <f>EDATE(D2,1)</f>
        <v>45383</v>
      </c>
      <c r="F2" s="111">
        <f t="shared" ref="F2:BJ2" si="0">EDATE(E2,1)</f>
        <v>45413</v>
      </c>
      <c r="G2" s="111">
        <f t="shared" si="0"/>
        <v>45444</v>
      </c>
      <c r="H2" s="111">
        <f t="shared" si="0"/>
        <v>45474</v>
      </c>
      <c r="I2" s="111">
        <f t="shared" si="0"/>
        <v>45505</v>
      </c>
      <c r="J2" s="111">
        <f t="shared" si="0"/>
        <v>45536</v>
      </c>
      <c r="K2" s="111">
        <f t="shared" si="0"/>
        <v>45566</v>
      </c>
      <c r="L2" s="111">
        <f t="shared" si="0"/>
        <v>45597</v>
      </c>
      <c r="M2" s="111">
        <f t="shared" si="0"/>
        <v>45627</v>
      </c>
      <c r="N2" s="111">
        <f t="shared" si="0"/>
        <v>45658</v>
      </c>
      <c r="O2" s="111">
        <f t="shared" si="0"/>
        <v>45689</v>
      </c>
      <c r="P2" s="112">
        <f t="shared" si="0"/>
        <v>45717</v>
      </c>
      <c r="Q2" s="111">
        <f t="shared" si="0"/>
        <v>45748</v>
      </c>
      <c r="R2" s="111">
        <f t="shared" si="0"/>
        <v>45778</v>
      </c>
      <c r="S2" s="111">
        <f t="shared" si="0"/>
        <v>45809</v>
      </c>
      <c r="T2" s="111">
        <f t="shared" si="0"/>
        <v>45839</v>
      </c>
      <c r="U2" s="111">
        <f t="shared" si="0"/>
        <v>45870</v>
      </c>
      <c r="V2" s="111">
        <f t="shared" si="0"/>
        <v>45901</v>
      </c>
      <c r="W2" s="111">
        <f t="shared" si="0"/>
        <v>45931</v>
      </c>
      <c r="X2" s="111">
        <f t="shared" si="0"/>
        <v>45962</v>
      </c>
      <c r="Y2" s="111">
        <f t="shared" si="0"/>
        <v>45992</v>
      </c>
      <c r="Z2" s="111">
        <f t="shared" si="0"/>
        <v>46023</v>
      </c>
      <c r="AA2" s="111">
        <f t="shared" si="0"/>
        <v>46054</v>
      </c>
      <c r="AB2" s="112">
        <f t="shared" si="0"/>
        <v>46082</v>
      </c>
      <c r="AC2" s="111">
        <f t="shared" si="0"/>
        <v>46113</v>
      </c>
      <c r="AD2" s="111">
        <f t="shared" si="0"/>
        <v>46143</v>
      </c>
      <c r="AE2" s="111">
        <f t="shared" si="0"/>
        <v>46174</v>
      </c>
      <c r="AF2" s="111">
        <f t="shared" si="0"/>
        <v>46204</v>
      </c>
      <c r="AG2" s="111">
        <f t="shared" si="0"/>
        <v>46235</v>
      </c>
      <c r="AH2" s="111">
        <f t="shared" si="0"/>
        <v>46266</v>
      </c>
      <c r="AI2" s="111">
        <f t="shared" si="0"/>
        <v>46296</v>
      </c>
      <c r="AJ2" s="111">
        <f t="shared" si="0"/>
        <v>46327</v>
      </c>
      <c r="AK2" s="111">
        <f t="shared" si="0"/>
        <v>46357</v>
      </c>
      <c r="AL2" s="111">
        <f t="shared" si="0"/>
        <v>46388</v>
      </c>
      <c r="AM2" s="112">
        <f t="shared" si="0"/>
        <v>46419</v>
      </c>
      <c r="AN2" s="111">
        <f t="shared" si="0"/>
        <v>46447</v>
      </c>
      <c r="AO2" s="111">
        <f t="shared" si="0"/>
        <v>46478</v>
      </c>
      <c r="AP2" s="111">
        <f t="shared" si="0"/>
        <v>46508</v>
      </c>
      <c r="AQ2" s="111">
        <f t="shared" si="0"/>
        <v>46539</v>
      </c>
      <c r="AR2" s="111">
        <f t="shared" si="0"/>
        <v>46569</v>
      </c>
      <c r="AS2" s="111">
        <f t="shared" si="0"/>
        <v>46600</v>
      </c>
      <c r="AT2" s="111">
        <f t="shared" si="0"/>
        <v>46631</v>
      </c>
      <c r="AU2" s="111">
        <f t="shared" si="0"/>
        <v>46661</v>
      </c>
      <c r="AV2" s="111">
        <f t="shared" si="0"/>
        <v>46692</v>
      </c>
      <c r="AW2" s="111">
        <f t="shared" si="0"/>
        <v>46722</v>
      </c>
      <c r="AX2" s="111">
        <f t="shared" si="0"/>
        <v>46753</v>
      </c>
      <c r="AY2" s="112">
        <f t="shared" si="0"/>
        <v>46784</v>
      </c>
      <c r="AZ2" s="111">
        <f t="shared" si="0"/>
        <v>46813</v>
      </c>
      <c r="BA2" s="111">
        <f t="shared" si="0"/>
        <v>46844</v>
      </c>
      <c r="BB2" s="111">
        <f t="shared" si="0"/>
        <v>46874</v>
      </c>
      <c r="BC2" s="111">
        <f t="shared" si="0"/>
        <v>46905</v>
      </c>
      <c r="BD2" s="111">
        <f t="shared" si="0"/>
        <v>46935</v>
      </c>
      <c r="BE2" s="111">
        <f t="shared" si="0"/>
        <v>46966</v>
      </c>
      <c r="BF2" s="111">
        <f t="shared" si="0"/>
        <v>46997</v>
      </c>
      <c r="BG2" s="111">
        <f t="shared" si="0"/>
        <v>47027</v>
      </c>
      <c r="BH2" s="111">
        <f t="shared" si="0"/>
        <v>47058</v>
      </c>
      <c r="BI2" s="111">
        <f t="shared" si="0"/>
        <v>47088</v>
      </c>
      <c r="BJ2" s="111">
        <f t="shared" si="0"/>
        <v>47119</v>
      </c>
      <c r="BK2" s="112">
        <f>EDATE(BJ2,1)</f>
        <v>47150</v>
      </c>
    </row>
    <row r="3" spans="2:63" x14ac:dyDescent="0.35">
      <c r="B3" s="357" t="s">
        <v>154</v>
      </c>
      <c r="C3" s="1" t="s">
        <v>19</v>
      </c>
      <c r="D3" s="162">
        <f>'Calculation - Stage dist'!F7</f>
        <v>1.7082973554026073E-2</v>
      </c>
      <c r="E3" s="163">
        <f>'Calculation - Stage dist'!G7</f>
        <v>1.6574594865789438E-2</v>
      </c>
      <c r="F3" s="163">
        <f>'Calculation - Stage dist'!H7</f>
        <v>1.6354320654723392E-2</v>
      </c>
      <c r="G3" s="163">
        <f>'Calculation - Stage dist'!I7</f>
        <v>1.6068062938889589E-2</v>
      </c>
      <c r="H3" s="163">
        <f>'Calculation - Stage dist'!J7</f>
        <v>1.5710846792276599E-2</v>
      </c>
      <c r="I3" s="163">
        <f>'Calculation - Stage dist'!K7</f>
        <v>1.5408001928878551E-2</v>
      </c>
      <c r="J3" s="163">
        <f>'Calculation - Stage dist'!L7</f>
        <v>1.5208311993561796E-2</v>
      </c>
      <c r="K3" s="163">
        <f>'Calculation - Stage dist'!M7</f>
        <v>1.4798541456092969E-2</v>
      </c>
      <c r="L3" s="163">
        <f>'Calculation - Stage dist'!N7</f>
        <v>1.4491405872429393E-2</v>
      </c>
      <c r="M3" s="163">
        <f>'Calculation - Stage dist'!O7</f>
        <v>1.4142709800681151E-2</v>
      </c>
      <c r="N3" s="163">
        <f>'Calculation - Stage dist'!P7</f>
        <v>1.3822992722343651E-2</v>
      </c>
      <c r="O3" s="163">
        <f>'Calculation - Stage dist'!Q7</f>
        <v>1.3541146828836427E-2</v>
      </c>
      <c r="P3" s="164">
        <f>'Calculation - Stage dist'!R7</f>
        <v>1.3207496653159912E-2</v>
      </c>
      <c r="Q3" s="163">
        <f>'Calculation - Stage dist'!S7</f>
        <v>1.3355677915456296E-2</v>
      </c>
      <c r="R3" s="163">
        <f>'Calculation - Stage dist'!T7</f>
        <v>1.3317423501743433E-2</v>
      </c>
      <c r="S3" s="163">
        <f>'Calculation - Stage dist'!U7</f>
        <v>1.3250497726476677E-2</v>
      </c>
      <c r="T3" s="163">
        <f>'Calculation - Stage dist'!V7</f>
        <v>1.249163250987302E-2</v>
      </c>
      <c r="U3" s="163">
        <f>'Calculation - Stage dist'!W7</f>
        <v>1.2351321860837896E-2</v>
      </c>
      <c r="V3" s="163">
        <f>'Calculation - Stage dist'!X7</f>
        <v>1.2227637730697341E-2</v>
      </c>
      <c r="W3" s="163">
        <f>'Calculation - Stage dist'!Y7</f>
        <v>1.2234736919314908E-2</v>
      </c>
      <c r="X3" s="163">
        <f>'Calculation - Stage dist'!Z7</f>
        <v>1.2061427838294416E-2</v>
      </c>
      <c r="Y3" s="163">
        <f>'Calculation - Stage dist'!AA7</f>
        <v>1.1917423827823279E-2</v>
      </c>
      <c r="Z3" s="163">
        <f>'Calculation - Stage dist'!AB7</f>
        <v>1.1734714997860626E-2</v>
      </c>
      <c r="AA3" s="163">
        <f>'Calculation - Stage dist'!AC7</f>
        <v>1.1596338475540022E-2</v>
      </c>
      <c r="AB3" s="164">
        <f>'Calculation - Stage dist'!AD7</f>
        <v>1.1387197876285926E-2</v>
      </c>
      <c r="AC3" s="163">
        <f>'Calculation - Stage dist'!AE7</f>
        <v>1.1078781412477368E-2</v>
      </c>
      <c r="AD3" s="163">
        <f>'Calculation - Stage dist'!AF7</f>
        <v>1.1118192360759064E-2</v>
      </c>
      <c r="AE3" s="163">
        <f>'Calculation - Stage dist'!AG7</f>
        <v>1.1220650839961238E-2</v>
      </c>
      <c r="AF3" s="163">
        <f>'Calculation - Stage dist'!AH7</f>
        <v>1.1110658237737677E-2</v>
      </c>
      <c r="AG3" s="163">
        <f>'Calculation - Stage dist'!AI7</f>
        <v>1.0993256186655429E-2</v>
      </c>
      <c r="AH3" s="163">
        <f>'Calculation - Stage dist'!AJ7</f>
        <v>1.094617469776849E-2</v>
      </c>
      <c r="AI3" s="163">
        <f>'Calculation - Stage dist'!AK7</f>
        <v>1.0855232074401514E-2</v>
      </c>
      <c r="AJ3" s="163">
        <f>'Calculation - Stage dist'!AL7</f>
        <v>1.0780590049612251E-2</v>
      </c>
      <c r="AK3" s="163">
        <f>'Calculation - Stage dist'!AM7</f>
        <v>1.0657560874536629E-2</v>
      </c>
      <c r="AL3" s="163">
        <f>'Calculation - Stage dist'!AN7</f>
        <v>1.050103133393465E-2</v>
      </c>
      <c r="AM3" s="164">
        <f>'Calculation - Stage dist'!AO7</f>
        <v>1.0334866664232943E-2</v>
      </c>
      <c r="AN3" s="163">
        <f>'Calculation - Stage dist'!AP7</f>
        <v>1.0072288676899396E-2</v>
      </c>
      <c r="AO3" s="163">
        <f>'Calculation - Stage dist'!AQ7</f>
        <v>1.4E-2</v>
      </c>
      <c r="AP3" s="163">
        <f>'Calculation - Stage dist'!AR7</f>
        <v>1.4E-2</v>
      </c>
      <c r="AQ3" s="163">
        <f>'Calculation - Stage dist'!AS7</f>
        <v>1.4E-2</v>
      </c>
      <c r="AR3" s="163">
        <f>'Calculation - Stage dist'!AT7</f>
        <v>1.4E-2</v>
      </c>
      <c r="AS3" s="163">
        <f>'Calculation - Stage dist'!AU7</f>
        <v>1.4E-2</v>
      </c>
      <c r="AT3" s="163">
        <f>'Calculation - Stage dist'!AV7</f>
        <v>1.4E-2</v>
      </c>
      <c r="AU3" s="163">
        <f>'Calculation - Stage dist'!AW7</f>
        <v>1.4E-2</v>
      </c>
      <c r="AV3" s="163">
        <f>'Calculation - Stage dist'!AX7</f>
        <v>1.4E-2</v>
      </c>
      <c r="AW3" s="163">
        <f>'Calculation - Stage dist'!AY7</f>
        <v>1.4E-2</v>
      </c>
      <c r="AX3" s="163">
        <f>'Calculation - Stage dist'!AZ7</f>
        <v>1.4E-2</v>
      </c>
      <c r="AY3" s="164">
        <f>'Calculation - Stage dist'!BA7</f>
        <v>1.4E-2</v>
      </c>
      <c r="AZ3" s="163">
        <f>'Calculation - Stage dist'!BB7</f>
        <v>1.4E-2</v>
      </c>
      <c r="BA3" s="163">
        <f>'Calculation - Stage dist'!BC7</f>
        <v>1.4E-2</v>
      </c>
      <c r="BB3" s="163">
        <f>'Calculation - Stage dist'!BD7</f>
        <v>1.4E-2</v>
      </c>
      <c r="BC3" s="163">
        <f>'Calculation - Stage dist'!BE7</f>
        <v>1.4E-2</v>
      </c>
      <c r="BD3" s="163">
        <f>'Calculation - Stage dist'!BF7</f>
        <v>1.4E-2</v>
      </c>
      <c r="BE3" s="163">
        <f>'Calculation - Stage dist'!BG7</f>
        <v>1.4E-2</v>
      </c>
      <c r="BF3" s="163">
        <f>'Calculation - Stage dist'!BH7</f>
        <v>1.4E-2</v>
      </c>
      <c r="BG3" s="163">
        <f>'Calculation - Stage dist'!BI7</f>
        <v>1.4E-2</v>
      </c>
      <c r="BH3" s="163">
        <f>'Calculation - Stage dist'!BJ7</f>
        <v>1.4E-2</v>
      </c>
      <c r="BI3" s="163">
        <f>'Calculation - Stage dist'!BK7</f>
        <v>1.4E-2</v>
      </c>
      <c r="BJ3" s="163">
        <f>'Calculation - Stage dist'!BL7</f>
        <v>1.4E-2</v>
      </c>
      <c r="BK3" s="164">
        <f>'Calculation - Stage dist'!BM7</f>
        <v>1.4E-2</v>
      </c>
    </row>
    <row r="4" spans="2:63" x14ac:dyDescent="0.35">
      <c r="B4" s="358"/>
      <c r="C4" s="3" t="s">
        <v>20</v>
      </c>
      <c r="D4" s="165">
        <f>'Calculation - Stage dist'!F12</f>
        <v>1.7082973554026073E-2</v>
      </c>
      <c r="E4" s="166">
        <f>'Calculation - Stage dist'!G12</f>
        <v>1.7282973554026072E-2</v>
      </c>
      <c r="F4" s="166">
        <f>'Calculation - Stage dist'!H12</f>
        <v>1.748297355402607E-2</v>
      </c>
      <c r="G4" s="166">
        <f>'Calculation - Stage dist'!I12</f>
        <v>1.7682973554026069E-2</v>
      </c>
      <c r="H4" s="166">
        <f>'Calculation - Stage dist'!J12</f>
        <v>1.7882973554026068E-2</v>
      </c>
      <c r="I4" s="166">
        <f>'Calculation - Stage dist'!K12</f>
        <v>1.8082973554026067E-2</v>
      </c>
      <c r="J4" s="166">
        <f>'Calculation - Stage dist'!L12</f>
        <v>1.8282973554026066E-2</v>
      </c>
      <c r="K4" s="166">
        <f>'Calculation - Stage dist'!M12</f>
        <v>1.8662973554026064E-2</v>
      </c>
      <c r="L4" s="166">
        <f>'Calculation - Stage dist'!N12</f>
        <v>1.9042973554026062E-2</v>
      </c>
      <c r="M4" s="166">
        <f>'Calculation - Stage dist'!O12</f>
        <v>1.9422973554026061E-2</v>
      </c>
      <c r="N4" s="166">
        <f>'Calculation - Stage dist'!P12</f>
        <v>1.9802973554026059E-2</v>
      </c>
      <c r="O4" s="166">
        <f>'Calculation - Stage dist'!Q12</f>
        <v>2.0182973554026058E-2</v>
      </c>
      <c r="P4" s="167">
        <f>'Calculation - Stage dist'!R12</f>
        <v>2.0562973554026056E-2</v>
      </c>
      <c r="Q4" s="166">
        <f>'Calculation - Stage dist'!S12</f>
        <v>2.1122973554026057E-2</v>
      </c>
      <c r="R4" s="166">
        <f>'Calculation - Stage dist'!T12</f>
        <v>2.1682973554026059E-2</v>
      </c>
      <c r="S4" s="166">
        <f>'Calculation - Stage dist'!U12</f>
        <v>2.224297355402606E-2</v>
      </c>
      <c r="T4" s="166">
        <f>'Calculation - Stage dist'!V12</f>
        <v>2.2802973554026062E-2</v>
      </c>
      <c r="U4" s="166">
        <f>'Calculation - Stage dist'!W12</f>
        <v>2.3362973554026063E-2</v>
      </c>
      <c r="V4" s="166">
        <f>'Calculation - Stage dist'!X12</f>
        <v>2.3745333240096238E-2</v>
      </c>
      <c r="W4" s="166">
        <f>'Calculation - Stage dist'!Y12</f>
        <v>2.3208245691525624E-2</v>
      </c>
      <c r="X4" s="166">
        <f>'Calculation - Stage dist'!Z12</f>
        <v>2.2671158142955009E-2</v>
      </c>
      <c r="Y4" s="166">
        <f>'Calculation - Stage dist'!AA12</f>
        <v>2.2134070594384395E-2</v>
      </c>
      <c r="Z4" s="166">
        <f>'Calculation - Stage dist'!AB12</f>
        <v>2.159698304581378E-2</v>
      </c>
      <c r="AA4" s="166">
        <f>'Calculation - Stage dist'!AC12</f>
        <v>2.1059895497243165E-2</v>
      </c>
      <c r="AB4" s="167">
        <f>'Calculation - Stage dist'!AD12</f>
        <v>2.0522807948672551E-2</v>
      </c>
      <c r="AC4" s="166">
        <f>'Calculation - Stage dist'!AE12</f>
        <v>1.9985720400101936E-2</v>
      </c>
      <c r="AD4" s="166">
        <f>'Calculation - Stage dist'!AF12</f>
        <v>1.9448632851531322E-2</v>
      </c>
      <c r="AE4" s="166">
        <f>'Calculation - Stage dist'!AG12</f>
        <v>1.8911545302960707E-2</v>
      </c>
      <c r="AF4" s="166">
        <f>'Calculation - Stage dist'!AH12</f>
        <v>1.8374457754390092E-2</v>
      </c>
      <c r="AG4" s="166">
        <f>'Calculation - Stage dist'!AI12</f>
        <v>1.7837370205819478E-2</v>
      </c>
      <c r="AH4" s="166">
        <f>'Calculation - Stage dist'!AJ12</f>
        <v>1.7300282657248863E-2</v>
      </c>
      <c r="AI4" s="166">
        <f>'Calculation - Stage dist'!AK12</f>
        <v>1.6763195108678249E-2</v>
      </c>
      <c r="AJ4" s="166">
        <f>'Calculation - Stage dist'!AL12</f>
        <v>1.6226107560107634E-2</v>
      </c>
      <c r="AK4" s="166">
        <f>'Calculation - Stage dist'!AM12</f>
        <v>1.5689020011537019E-2</v>
      </c>
      <c r="AL4" s="166">
        <f>'Calculation - Stage dist'!AN12</f>
        <v>1.5151932462966406E-2</v>
      </c>
      <c r="AM4" s="167">
        <f>'Calculation - Stage dist'!AO12</f>
        <v>1.4614844914395794E-2</v>
      </c>
      <c r="AN4" s="166">
        <f>'Calculation - Stage dist'!AP12</f>
        <v>1.4077757365825181E-2</v>
      </c>
      <c r="AO4" s="166">
        <f>'Calculation - Stage dist'!AQ12</f>
        <v>1.4E-2</v>
      </c>
      <c r="AP4" s="166">
        <f>'Calculation - Stage dist'!AR12</f>
        <v>1.4E-2</v>
      </c>
      <c r="AQ4" s="166">
        <f>'Calculation - Stage dist'!AS12</f>
        <v>1.4E-2</v>
      </c>
      <c r="AR4" s="166">
        <f>'Calculation - Stage dist'!AT12</f>
        <v>1.4E-2</v>
      </c>
      <c r="AS4" s="166">
        <f>'Calculation - Stage dist'!AU12</f>
        <v>1.4E-2</v>
      </c>
      <c r="AT4" s="166">
        <f>'Calculation - Stage dist'!AV12</f>
        <v>1.4E-2</v>
      </c>
      <c r="AU4" s="166">
        <f>'Calculation - Stage dist'!AW12</f>
        <v>1.4E-2</v>
      </c>
      <c r="AV4" s="166">
        <f>'Calculation - Stage dist'!AX12</f>
        <v>1.4E-2</v>
      </c>
      <c r="AW4" s="166">
        <f>'Calculation - Stage dist'!AY12</f>
        <v>1.4E-2</v>
      </c>
      <c r="AX4" s="166">
        <f>'Calculation - Stage dist'!AZ12</f>
        <v>1.4E-2</v>
      </c>
      <c r="AY4" s="167">
        <f>'Calculation - Stage dist'!BA12</f>
        <v>1.4E-2</v>
      </c>
      <c r="AZ4" s="166">
        <f>'Calculation - Stage dist'!BB12</f>
        <v>1.4E-2</v>
      </c>
      <c r="BA4" s="166">
        <f>'Calculation - Stage dist'!BC12</f>
        <v>1.4E-2</v>
      </c>
      <c r="BB4" s="166">
        <f>'Calculation - Stage dist'!BD12</f>
        <v>1.4E-2</v>
      </c>
      <c r="BC4" s="166">
        <f>'Calculation - Stage dist'!BE12</f>
        <v>1.4E-2</v>
      </c>
      <c r="BD4" s="166">
        <f>'Calculation - Stage dist'!BF12</f>
        <v>1.4E-2</v>
      </c>
      <c r="BE4" s="166">
        <f>'Calculation - Stage dist'!BG12</f>
        <v>1.4E-2</v>
      </c>
      <c r="BF4" s="166">
        <f>'Calculation - Stage dist'!BH12</f>
        <v>1.4E-2</v>
      </c>
      <c r="BG4" s="166">
        <f>'Calculation - Stage dist'!BI12</f>
        <v>1.4E-2</v>
      </c>
      <c r="BH4" s="166">
        <f>'Calculation - Stage dist'!BJ12</f>
        <v>1.4E-2</v>
      </c>
      <c r="BI4" s="166">
        <f>'Calculation - Stage dist'!BK12</f>
        <v>1.4E-2</v>
      </c>
      <c r="BJ4" s="166">
        <f>'Calculation - Stage dist'!BL12</f>
        <v>1.4E-2</v>
      </c>
      <c r="BK4" s="167">
        <f>'Calculation - Stage dist'!BM12</f>
        <v>1.4E-2</v>
      </c>
    </row>
    <row r="5" spans="2:63" x14ac:dyDescent="0.35">
      <c r="B5" s="357" t="s">
        <v>155</v>
      </c>
      <c r="C5" s="1" t="s">
        <v>19</v>
      </c>
      <c r="D5" s="8">
        <f>'Input - GNPA'!C4</f>
        <v>1168.2768259189077</v>
      </c>
      <c r="E5" s="9">
        <f>'Input - GNPA'!D4</f>
        <v>1163.6250637798262</v>
      </c>
      <c r="F5" s="9">
        <f>'Input - GNPA'!E4</f>
        <v>1178.282669738132</v>
      </c>
      <c r="G5" s="9">
        <f>'Input - GNPA'!F4</f>
        <v>1192.2066258575774</v>
      </c>
      <c r="H5" s="9">
        <f>'Input - GNPA'!G4</f>
        <v>1208.9601115244918</v>
      </c>
      <c r="I5" s="9">
        <f>'Input - GNPA'!H4</f>
        <v>1226.9370338294195</v>
      </c>
      <c r="J5" s="9">
        <f>'Input - GNPA'!I4</f>
        <v>1255.3176848712428</v>
      </c>
      <c r="K5" s="9">
        <f>'Input - GNPA'!J4</f>
        <v>1271.2443228348802</v>
      </c>
      <c r="L5" s="9">
        <f>'Input - GNPA'!K4</f>
        <v>1295.4995943892691</v>
      </c>
      <c r="M5" s="9">
        <f>'Input - GNPA'!L4</f>
        <v>1319.7046102559718</v>
      </c>
      <c r="N5" s="9">
        <f>'Input - GNPA'!M4</f>
        <v>1343.4602369871</v>
      </c>
      <c r="O5" s="9">
        <f>'Input - GNPA'!N4</f>
        <v>1367.1031716624793</v>
      </c>
      <c r="P5" s="10">
        <f>'Input - GNPA'!O4</f>
        <v>1386.5795798154168</v>
      </c>
      <c r="Q5" s="9">
        <f>'Input - GNPA'!P4</f>
        <v>1432.0079300159841</v>
      </c>
      <c r="R5" s="9">
        <f>'Input - GNPA'!Q4</f>
        <v>1455.5582003327042</v>
      </c>
      <c r="S5" s="9">
        <f>'Input - GNPA'!R4</f>
        <v>1481.854340646197</v>
      </c>
      <c r="T5" s="9">
        <f>'Input - GNPA'!S4</f>
        <v>1457.7993481436295</v>
      </c>
      <c r="U5" s="9">
        <f>'Input - GNPA'!T4</f>
        <v>1483.4316531467516</v>
      </c>
      <c r="V5" s="9">
        <f>'Input - GNPA'!U4</f>
        <v>1515.1951258112367</v>
      </c>
      <c r="W5" s="9">
        <f>'Input - GNPA'!V4</f>
        <v>1560.8872152250115</v>
      </c>
      <c r="X5" s="9">
        <f>'Input - GNPA'!W4</f>
        <v>1589.9777750408145</v>
      </c>
      <c r="Y5" s="9">
        <f>'Input - GNPA'!X4</f>
        <v>1624.299362937368</v>
      </c>
      <c r="Z5" s="9">
        <f>'Input - GNPA'!Y4</f>
        <v>1652.3172485822033</v>
      </c>
      <c r="AA5" s="9">
        <f>'Input - GNPA'!Z4</f>
        <v>1681.5169444773132</v>
      </c>
      <c r="AB5" s="10">
        <f>'Input - GNPA'!AA4</f>
        <v>1702.4567891870779</v>
      </c>
      <c r="AC5" s="9">
        <f>'Input - GNPA'!AB4</f>
        <v>1720.5343230444719</v>
      </c>
      <c r="AD5" s="9">
        <f>'Input - GNPA'!AC4</f>
        <v>1757.8169347591474</v>
      </c>
      <c r="AE5" s="9">
        <f>'Input - GNPA'!AD4</f>
        <v>1796.2171099332561</v>
      </c>
      <c r="AF5" s="9">
        <f>'Input - GNPA'!AE4</f>
        <v>1821.7591660551452</v>
      </c>
      <c r="AG5" s="9">
        <f>'Input - GNPA'!AF4</f>
        <v>1842.6189376681882</v>
      </c>
      <c r="AH5" s="9">
        <f>'Input - GNPA'!AG4</f>
        <v>1877.6353353934205</v>
      </c>
      <c r="AI5" s="9">
        <f>'Input - GNPA'!AH4</f>
        <v>1911.0491857470988</v>
      </c>
      <c r="AJ5" s="9">
        <f>'Input - GNPA'!AI4</f>
        <v>1945.2840738234127</v>
      </c>
      <c r="AK5" s="9">
        <f>'Input - GNPA'!AJ4</f>
        <v>1976.2697927424738</v>
      </c>
      <c r="AL5" s="9">
        <f>'Input - GNPA'!AK4</f>
        <v>1999.355082555684</v>
      </c>
      <c r="AM5" s="10">
        <f>'Input - GNPA'!AL4</f>
        <v>2017.5013227766558</v>
      </c>
      <c r="AN5" s="9">
        <f>'Input - GNPA'!AM4</f>
        <v>2020.7052986968088</v>
      </c>
      <c r="AO5" s="9">
        <f>'Input - GNPA'!AN4</f>
        <v>0</v>
      </c>
      <c r="AP5" s="9">
        <f>'Input - GNPA'!AO4</f>
        <v>0</v>
      </c>
      <c r="AQ5" s="9">
        <f>'Input - GNPA'!AP4</f>
        <v>0</v>
      </c>
      <c r="AR5" s="9">
        <f>'Input - GNPA'!AQ4</f>
        <v>0</v>
      </c>
      <c r="AS5" s="9">
        <f>'Input - GNPA'!AR4</f>
        <v>0</v>
      </c>
      <c r="AT5" s="9">
        <f>'Input - GNPA'!AS4</f>
        <v>0</v>
      </c>
      <c r="AU5" s="9">
        <f>'Input - GNPA'!AT4</f>
        <v>0</v>
      </c>
      <c r="AV5" s="9">
        <f>'Input - GNPA'!AU4</f>
        <v>0</v>
      </c>
      <c r="AW5" s="9">
        <f>'Input - GNPA'!AV4</f>
        <v>0</v>
      </c>
      <c r="AX5" s="9">
        <f>'Input - GNPA'!AW4</f>
        <v>0</v>
      </c>
      <c r="AY5" s="10">
        <f>'Input - GNPA'!AX4</f>
        <v>0</v>
      </c>
      <c r="AZ5" s="9">
        <f>'Input - GNPA'!AY4</f>
        <v>0</v>
      </c>
      <c r="BA5" s="9">
        <f>'Input - GNPA'!AZ4</f>
        <v>0</v>
      </c>
      <c r="BB5" s="9">
        <f>'Input - GNPA'!BA4</f>
        <v>0</v>
      </c>
      <c r="BC5" s="9">
        <f>'Input - GNPA'!BB4</f>
        <v>0</v>
      </c>
      <c r="BD5" s="9">
        <f>'Input - GNPA'!BC4</f>
        <v>0</v>
      </c>
      <c r="BE5" s="9">
        <f>'Input - GNPA'!BD4</f>
        <v>0</v>
      </c>
      <c r="BF5" s="9">
        <f>'Input - GNPA'!BE4</f>
        <v>0</v>
      </c>
      <c r="BG5" s="9">
        <f>'Input - GNPA'!BF4</f>
        <v>0</v>
      </c>
      <c r="BH5" s="9">
        <f>'Input - GNPA'!BG4</f>
        <v>0</v>
      </c>
      <c r="BI5" s="9">
        <f>'Input - GNPA'!BH4</f>
        <v>0</v>
      </c>
      <c r="BJ5" s="9">
        <f>'Input - GNPA'!BI4</f>
        <v>0</v>
      </c>
      <c r="BK5" s="10">
        <f>'Input - GNPA'!BJ4</f>
        <v>0</v>
      </c>
    </row>
    <row r="6" spans="2:63" x14ac:dyDescent="0.35">
      <c r="B6" s="358"/>
      <c r="C6" s="3" t="s">
        <v>20</v>
      </c>
      <c r="D6" s="11">
        <f>D10*D8</f>
        <v>1168.2768259189077</v>
      </c>
      <c r="E6" s="12">
        <f t="shared" ref="E6:BK6" si="1">E10*E8</f>
        <v>1197.4845544255434</v>
      </c>
      <c r="F6" s="12">
        <f t="shared" si="1"/>
        <v>1232.021058695276</v>
      </c>
      <c r="G6" s="12">
        <f t="shared" si="1"/>
        <v>1269.2707763009964</v>
      </c>
      <c r="H6" s="12">
        <f t="shared" si="1"/>
        <v>1314.3167399556987</v>
      </c>
      <c r="I6" s="12">
        <f t="shared" si="1"/>
        <v>1354.1973658729764</v>
      </c>
      <c r="J6" s="12">
        <f t="shared" si="1"/>
        <v>1394.3271442182681</v>
      </c>
      <c r="K6" s="12">
        <f t="shared" si="1"/>
        <v>1451.7984303253274</v>
      </c>
      <c r="L6" s="12">
        <f t="shared" si="1"/>
        <v>1506.5192646727728</v>
      </c>
      <c r="M6" s="12">
        <f t="shared" si="1"/>
        <v>1564.2930299182076</v>
      </c>
      <c r="N6" s="12">
        <f t="shared" si="1"/>
        <v>1618.7612714521636</v>
      </c>
      <c r="O6" s="12">
        <f t="shared" si="1"/>
        <v>1671.4771585229851</v>
      </c>
      <c r="P6" s="13">
        <f t="shared" si="1"/>
        <v>1725.2455873637152</v>
      </c>
      <c r="Q6" s="12">
        <f t="shared" si="1"/>
        <v>1781.9043191926646</v>
      </c>
      <c r="R6" s="12">
        <f t="shared" si="1"/>
        <v>1830.121103305728</v>
      </c>
      <c r="S6" s="12">
        <f t="shared" si="1"/>
        <v>1882.3049920624055</v>
      </c>
      <c r="T6" s="12">
        <f t="shared" si="1"/>
        <v>1969.8945213362319</v>
      </c>
      <c r="U6" s="12">
        <f t="shared" si="1"/>
        <v>2028.2842050837337</v>
      </c>
      <c r="V6" s="12">
        <f t="shared" si="1"/>
        <v>2073.5542067319034</v>
      </c>
      <c r="W6" s="12">
        <f t="shared" si="1"/>
        <v>2043.3282466920891</v>
      </c>
      <c r="X6" s="12">
        <f t="shared" si="1"/>
        <v>2021.6980294436889</v>
      </c>
      <c r="Y6" s="12">
        <f t="shared" si="1"/>
        <v>2005.3031517315098</v>
      </c>
      <c r="Z6" s="12">
        <f t="shared" si="1"/>
        <v>1992.7731970252012</v>
      </c>
      <c r="AA6" s="12">
        <f t="shared" si="1"/>
        <v>1980.549093885626</v>
      </c>
      <c r="AB6" s="13">
        <f t="shared" si="1"/>
        <v>1975.6911143258881</v>
      </c>
      <c r="AC6" s="12">
        <f t="shared" si="1"/>
        <v>1991.4503712389619</v>
      </c>
      <c r="AD6" s="12">
        <f t="shared" si="1"/>
        <v>1982.2091099345193</v>
      </c>
      <c r="AE6" s="12">
        <f t="shared" si="1"/>
        <v>1955.326579626995</v>
      </c>
      <c r="AF6" s="12">
        <f t="shared" si="1"/>
        <v>1955.3621746696692</v>
      </c>
      <c r="AG6" s="12">
        <f t="shared" si="1"/>
        <v>1956.786418169555</v>
      </c>
      <c r="AH6" s="12">
        <f t="shared" si="1"/>
        <v>1967.4429435454736</v>
      </c>
      <c r="AI6" s="12">
        <f t="shared" si="1"/>
        <v>1989.5794407554106</v>
      </c>
      <c r="AJ6" s="12">
        <f t="shared" si="1"/>
        <v>2009.5437417968024</v>
      </c>
      <c r="AK6" s="12">
        <f t="shared" si="1"/>
        <v>2033.2414109300805</v>
      </c>
      <c r="AL6" s="12">
        <f t="shared" si="1"/>
        <v>2050.7772846846915</v>
      </c>
      <c r="AM6" s="13">
        <f t="shared" si="1"/>
        <v>2059.965941124377</v>
      </c>
      <c r="AN6" s="12">
        <f t="shared" si="1"/>
        <v>2070.7073767492902</v>
      </c>
      <c r="AO6" s="12" t="e">
        <f t="shared" si="1"/>
        <v>#DIV/0!</v>
      </c>
      <c r="AP6" s="12" t="e">
        <f t="shared" si="1"/>
        <v>#DIV/0!</v>
      </c>
      <c r="AQ6" s="12" t="e">
        <f t="shared" si="1"/>
        <v>#DIV/0!</v>
      </c>
      <c r="AR6" s="12" t="e">
        <f t="shared" si="1"/>
        <v>#DIV/0!</v>
      </c>
      <c r="AS6" s="12" t="e">
        <f t="shared" si="1"/>
        <v>#DIV/0!</v>
      </c>
      <c r="AT6" s="12" t="e">
        <f t="shared" si="1"/>
        <v>#DIV/0!</v>
      </c>
      <c r="AU6" s="12" t="e">
        <f t="shared" si="1"/>
        <v>#DIV/0!</v>
      </c>
      <c r="AV6" s="12" t="e">
        <f t="shared" si="1"/>
        <v>#DIV/0!</v>
      </c>
      <c r="AW6" s="12" t="e">
        <f t="shared" si="1"/>
        <v>#DIV/0!</v>
      </c>
      <c r="AX6" s="12" t="e">
        <f t="shared" si="1"/>
        <v>#DIV/0!</v>
      </c>
      <c r="AY6" s="13" t="e">
        <f t="shared" si="1"/>
        <v>#DIV/0!</v>
      </c>
      <c r="AZ6" s="12" t="e">
        <f t="shared" si="1"/>
        <v>#DIV/0!</v>
      </c>
      <c r="BA6" s="12" t="e">
        <f t="shared" si="1"/>
        <v>#DIV/0!</v>
      </c>
      <c r="BB6" s="12" t="e">
        <f t="shared" si="1"/>
        <v>#DIV/0!</v>
      </c>
      <c r="BC6" s="12" t="e">
        <f t="shared" si="1"/>
        <v>#DIV/0!</v>
      </c>
      <c r="BD6" s="12" t="e">
        <f t="shared" si="1"/>
        <v>#DIV/0!</v>
      </c>
      <c r="BE6" s="12" t="e">
        <f t="shared" si="1"/>
        <v>#DIV/0!</v>
      </c>
      <c r="BF6" s="12" t="e">
        <f t="shared" si="1"/>
        <v>#DIV/0!</v>
      </c>
      <c r="BG6" s="12" t="e">
        <f t="shared" si="1"/>
        <v>#DIV/0!</v>
      </c>
      <c r="BH6" s="12" t="e">
        <f t="shared" si="1"/>
        <v>#DIV/0!</v>
      </c>
      <c r="BI6" s="12" t="e">
        <f t="shared" si="1"/>
        <v>#DIV/0!</v>
      </c>
      <c r="BJ6" s="12" t="e">
        <f t="shared" si="1"/>
        <v>#DIV/0!</v>
      </c>
      <c r="BK6" s="13" t="e">
        <f t="shared" si="1"/>
        <v>#DIV/0!</v>
      </c>
    </row>
    <row r="7" spans="2:63" x14ac:dyDescent="0.35">
      <c r="B7" s="357" t="s">
        <v>89</v>
      </c>
      <c r="C7" s="1" t="s">
        <v>19</v>
      </c>
      <c r="D7" s="8">
        <f>'Input - ENR'!C10</f>
        <v>52026.135628996468</v>
      </c>
      <c r="E7" s="9">
        <f>'Input - ENR'!D10</f>
        <v>53122.125815351996</v>
      </c>
      <c r="F7" s="9">
        <f>'Input - ENR'!E10</f>
        <v>54537.357663136383</v>
      </c>
      <c r="G7" s="9">
        <f>'Input - ENR'!F10</f>
        <v>56131.077956348076</v>
      </c>
      <c r="H7" s="9">
        <f>'Input - ENR'!G10</f>
        <v>57882.285814306131</v>
      </c>
      <c r="I7" s="9">
        <f>'Input - ENR'!H10</f>
        <v>59903.92163520991</v>
      </c>
      <c r="J7" s="9">
        <f>'Input - ENR'!I10</f>
        <v>62171.724108479808</v>
      </c>
      <c r="K7" s="9">
        <f>'Input - ENR'!J10</f>
        <v>64281.553740035597</v>
      </c>
      <c r="L7" s="9">
        <f>'Input - ENR'!K10</f>
        <v>66819.502661620645</v>
      </c>
      <c r="M7" s="9">
        <f>'Input - ENR'!L10</f>
        <v>69659.502041674525</v>
      </c>
      <c r="N7" s="9">
        <f>'Input - ENR'!M10</f>
        <v>72546.099697516183</v>
      </c>
      <c r="O7" s="9">
        <f>'Input - ENR'!N10</f>
        <v>75386.351684501729</v>
      </c>
      <c r="P7" s="10">
        <f>'Input - ENR'!O10</f>
        <v>78457.532984202116</v>
      </c>
      <c r="Q7" s="9">
        <f>'Input - ENR'!P10</f>
        <v>79519.981139796422</v>
      </c>
      <c r="R7" s="9">
        <f>'Input - ENR'!Q10</f>
        <v>80956.827117634137</v>
      </c>
      <c r="S7" s="9">
        <f>'Input - ENR'!R10</f>
        <v>82624.562289331021</v>
      </c>
      <c r="T7" s="9">
        <f>'Input - ENR'!S10</f>
        <v>84420.557639227103</v>
      </c>
      <c r="U7" s="9">
        <f>'Input - ENR'!T10</f>
        <v>86618.50569523219</v>
      </c>
      <c r="V7" s="9">
        <f>'Input - ENR'!U10</f>
        <v>89116.611439742264</v>
      </c>
      <c r="W7" s="9">
        <f>'Input - ENR'!V10</f>
        <v>91456.307372413838</v>
      </c>
      <c r="X7" s="9">
        <f>'Input - ENR'!W10</f>
        <v>94293.670887324784</v>
      </c>
      <c r="Y7" s="9">
        <f>'Input - ENR'!X10</f>
        <v>97508.76547126098</v>
      </c>
      <c r="Z7" s="9">
        <f>'Input - ENR'!Y10</f>
        <v>100838.6126031715</v>
      </c>
      <c r="AA7" s="9">
        <f>'Input - ENR'!Z10</f>
        <v>104111.31454869072</v>
      </c>
      <c r="AB7" s="10">
        <f>'Input - ENR'!AA10</f>
        <v>107662.78619623838</v>
      </c>
      <c r="AC7" s="9">
        <f>'Input - ENR'!AB10</f>
        <v>108590.62344738512</v>
      </c>
      <c r="AD7" s="9">
        <f>'Input - ENR'!AC10</f>
        <v>111090.54813952436</v>
      </c>
      <c r="AE7" s="9">
        <f>'Input - ENR'!AD10</f>
        <v>112758.54533353513</v>
      </c>
      <c r="AF7" s="9">
        <f>'Input - ENR'!AE10</f>
        <v>114652.41540832316</v>
      </c>
      <c r="AG7" s="9">
        <f>'Input - ENR'!AF10</f>
        <v>116957.82026474871</v>
      </c>
      <c r="AH7" s="9">
        <f>'Input - ENR'!AG10</f>
        <v>119640.4579319203</v>
      </c>
      <c r="AI7" s="9">
        <f>'Input - ENR'!AH10</f>
        <v>122144.02098364236</v>
      </c>
      <c r="AJ7" s="9">
        <f>'Input - ENR'!AI10</f>
        <v>125253.07717721196</v>
      </c>
      <c r="AK7" s="9">
        <f>'Input - ENR'!AJ10</f>
        <v>128812.10211765191</v>
      </c>
      <c r="AL7" s="9">
        <f>'Input - ENR'!AK10</f>
        <v>132474.85432067487</v>
      </c>
      <c r="AM7" s="10">
        <f>'Input - ENR'!AL10</f>
        <v>136093.94402657251</v>
      </c>
      <c r="AN7" s="9">
        <f>'Input - ENR'!AM10</f>
        <v>140058.07690881961</v>
      </c>
      <c r="AO7" s="9">
        <f>'Input - ENR'!AN10</f>
        <v>0</v>
      </c>
      <c r="AP7" s="9">
        <f>'Input - ENR'!AO10</f>
        <v>0</v>
      </c>
      <c r="AQ7" s="9">
        <f>'Input - ENR'!AP10</f>
        <v>0</v>
      </c>
      <c r="AR7" s="9">
        <f>'Input - ENR'!AQ10</f>
        <v>0</v>
      </c>
      <c r="AS7" s="9">
        <f>'Input - ENR'!AR10</f>
        <v>0</v>
      </c>
      <c r="AT7" s="9">
        <f>'Input - ENR'!AS10</f>
        <v>0</v>
      </c>
      <c r="AU7" s="9">
        <f>'Input - ENR'!AT10</f>
        <v>0</v>
      </c>
      <c r="AV7" s="9">
        <f>'Input - ENR'!AU10</f>
        <v>0</v>
      </c>
      <c r="AW7" s="9">
        <f>'Input - ENR'!AV10</f>
        <v>0</v>
      </c>
      <c r="AX7" s="9">
        <f>'Input - ENR'!AW10</f>
        <v>0</v>
      </c>
      <c r="AY7" s="10">
        <f>'Input - ENR'!AX10</f>
        <v>0</v>
      </c>
      <c r="AZ7" s="9">
        <f>'Input - ENR'!AY10</f>
        <v>0</v>
      </c>
      <c r="BA7" s="9">
        <f>'Input - ENR'!AZ10</f>
        <v>0</v>
      </c>
      <c r="BB7" s="9">
        <f>'Input - ENR'!BA10</f>
        <v>0</v>
      </c>
      <c r="BC7" s="9">
        <f>'Input - ENR'!BB10</f>
        <v>0</v>
      </c>
      <c r="BD7" s="9">
        <f>'Input - ENR'!BC10</f>
        <v>0</v>
      </c>
      <c r="BE7" s="9">
        <f>'Input - ENR'!BD10</f>
        <v>0</v>
      </c>
      <c r="BF7" s="9">
        <f>'Input - ENR'!BE10</f>
        <v>0</v>
      </c>
      <c r="BG7" s="9">
        <f>'Input - ENR'!BF10</f>
        <v>0</v>
      </c>
      <c r="BH7" s="9">
        <f>'Input - ENR'!BG10</f>
        <v>0</v>
      </c>
      <c r="BI7" s="9">
        <f>'Input - ENR'!BH10</f>
        <v>0</v>
      </c>
      <c r="BJ7" s="9">
        <f>'Input - ENR'!BI10</f>
        <v>0</v>
      </c>
      <c r="BK7" s="10">
        <f>'Input - ENR'!BJ10</f>
        <v>0</v>
      </c>
    </row>
    <row r="8" spans="2:63" x14ac:dyDescent="0.35">
      <c r="B8" s="358"/>
      <c r="C8" s="3" t="s">
        <v>20</v>
      </c>
      <c r="D8" s="11">
        <f>'Calculation - Stagewise ECL'!C7</f>
        <v>52026.135628996468</v>
      </c>
      <c r="E8" s="12">
        <f>'Calculation - Stagewise ECL'!D7</f>
        <v>52427.211097569161</v>
      </c>
      <c r="F8" s="12">
        <f>'Calculation - Stagewise ECL'!E7</f>
        <v>53343.307673366362</v>
      </c>
      <c r="G8" s="12">
        <f>'Calculation - Stagewise ECL'!F7</f>
        <v>54301.81667421083</v>
      </c>
      <c r="H8" s="12">
        <f>'Calculation - Stagewise ECL'!G7</f>
        <v>55283.254270096098</v>
      </c>
      <c r="I8" s="12">
        <f>'Calculation - Stagewise ECL'!H7</f>
        <v>56336.702190980432</v>
      </c>
      <c r="J8" s="12">
        <f>'Calculation - Stagewise ECL'!I7</f>
        <v>57443.134278176265</v>
      </c>
      <c r="K8" s="12">
        <f>'Calculation - Stagewise ECL'!J7</f>
        <v>58210.55423906826</v>
      </c>
      <c r="L8" s="12">
        <f>'Calculation - Stagewise ECL'!K7</f>
        <v>59131.160581001037</v>
      </c>
      <c r="M8" s="12">
        <f>'Calculation - Stagewise ECL'!L7</f>
        <v>60122.724558764086</v>
      </c>
      <c r="N8" s="12">
        <f>'Calculation - Stagewise ECL'!M7</f>
        <v>61015.999349979138</v>
      </c>
      <c r="O8" s="12">
        <f>'Calculation - Stagewise ECL'!N7</f>
        <v>61838.960070355817</v>
      </c>
      <c r="P8" s="13">
        <f>'Calculation - Stagewise ECL'!O7</f>
        <v>62701.129695051794</v>
      </c>
      <c r="Q8" s="12">
        <f>'Calculation - Stagewise ECL'!P7</f>
        <v>62564.230550715438</v>
      </c>
      <c r="R8" s="12">
        <f>'Calculation - Stagewise ECL'!Q7</f>
        <v>62518.003881036697</v>
      </c>
      <c r="S8" s="12">
        <f>'Calculation - Stagewise ECL'!R7</f>
        <v>62522.019221988347</v>
      </c>
      <c r="T8" s="12">
        <f>'Calculation - Stagewise ECL'!S7</f>
        <v>62491.529299995971</v>
      </c>
      <c r="U8" s="12">
        <f>'Calculation - Stagewise ECL'!T7</f>
        <v>62611.95665346583</v>
      </c>
      <c r="V8" s="12">
        <f>'Calculation - Stagewise ECL'!U7</f>
        <v>62801.46685567747</v>
      </c>
      <c r="W8" s="12">
        <f>'Calculation - Stagewise ECL'!V7</f>
        <v>63115.001871814638</v>
      </c>
      <c r="X8" s="12">
        <f>'Calculation - Stagewise ECL'!W7</f>
        <v>63787.09058600905</v>
      </c>
      <c r="Y8" s="12">
        <f>'Calculation - Stagewise ECL'!X7</f>
        <v>64815.475941581346</v>
      </c>
      <c r="Z8" s="12">
        <f>'Calculation - Stagewise ECL'!Y7</f>
        <v>66080.11003656208</v>
      </c>
      <c r="AA8" s="12">
        <f>'Calculation - Stagewise ECL'!Z7</f>
        <v>67522.259323623308</v>
      </c>
      <c r="AB8" s="13">
        <f>'Calculation - Stagewise ECL'!AA7</f>
        <v>69324.803944108251</v>
      </c>
      <c r="AC8" s="12">
        <f>'Calculation - Stagewise ECL'!AB7</f>
        <v>69673.986483885848</v>
      </c>
      <c r="AD8" s="12">
        <f>'Calculation - Stagewise ECL'!AC7</f>
        <v>71614.017675599462</v>
      </c>
      <c r="AE8" s="12">
        <f>'Calculation - Stagewise ECL'!AD7</f>
        <v>72828.433794119221</v>
      </c>
      <c r="AF8" s="12">
        <f>'Calculation - Stagewise ECL'!AE7</f>
        <v>74412.297274199504</v>
      </c>
      <c r="AG8" s="12">
        <f>'Calculation - Stagewise ECL'!AF7</f>
        <v>76547.79473735363</v>
      </c>
      <c r="AH8" s="12">
        <f>'Calculation - Stagewise ECL'!AG7</f>
        <v>79319.166105275508</v>
      </c>
      <c r="AI8" s="12">
        <f>'Calculation - Stagewise ECL'!AH7</f>
        <v>82346.272548490742</v>
      </c>
      <c r="AJ8" s="12">
        <f>'Calculation - Stagewise ECL'!AI7</f>
        <v>85966.850881092425</v>
      </c>
      <c r="AK8" s="12">
        <f>'Calculation - Stagewise ECL'!AJ7</f>
        <v>90024.638585567343</v>
      </c>
      <c r="AL8" s="12">
        <f>'Calculation - Stagewise ECL'!AK7</f>
        <v>94172.900422237857</v>
      </c>
      <c r="AM8" s="13">
        <f>'Calculation - Stagewise ECL'!AL7</f>
        <v>98264.280535458543</v>
      </c>
      <c r="AN8" s="12">
        <f>'Calculation - Stagewise ECL'!AM7</f>
        <v>102687.7404967867</v>
      </c>
      <c r="AO8" s="12">
        <f>'Calculation - Stagewise ECL'!AN7</f>
        <v>0</v>
      </c>
      <c r="AP8" s="12">
        <f>'Calculation - Stagewise ECL'!AO7</f>
        <v>0</v>
      </c>
      <c r="AQ8" s="12">
        <f>'Calculation - Stagewise ECL'!AP7</f>
        <v>0</v>
      </c>
      <c r="AR8" s="12">
        <f>'Calculation - Stagewise ECL'!AQ7</f>
        <v>0</v>
      </c>
      <c r="AS8" s="12">
        <f>'Calculation - Stagewise ECL'!AR7</f>
        <v>0</v>
      </c>
      <c r="AT8" s="12">
        <f>'Calculation - Stagewise ECL'!AS7</f>
        <v>0</v>
      </c>
      <c r="AU8" s="12">
        <f>'Calculation - Stagewise ECL'!AT7</f>
        <v>0</v>
      </c>
      <c r="AV8" s="12">
        <f>'Calculation - Stagewise ECL'!AU7</f>
        <v>0</v>
      </c>
      <c r="AW8" s="12">
        <f>'Calculation - Stagewise ECL'!AV7</f>
        <v>0</v>
      </c>
      <c r="AX8" s="12">
        <f>'Calculation - Stagewise ECL'!AW7</f>
        <v>0</v>
      </c>
      <c r="AY8" s="13">
        <f>'Calculation - Stagewise ECL'!AX7</f>
        <v>0</v>
      </c>
      <c r="AZ8" s="12">
        <f>'Calculation - Stagewise ECL'!AY7</f>
        <v>0</v>
      </c>
      <c r="BA8" s="12">
        <f>'Calculation - Stagewise ECL'!AZ7</f>
        <v>0</v>
      </c>
      <c r="BB8" s="12">
        <f>'Calculation - Stagewise ECL'!BA7</f>
        <v>0</v>
      </c>
      <c r="BC8" s="12">
        <f>'Calculation - Stagewise ECL'!BB7</f>
        <v>0</v>
      </c>
      <c r="BD8" s="12">
        <f>'Calculation - Stagewise ECL'!BC7</f>
        <v>0</v>
      </c>
      <c r="BE8" s="12">
        <f>'Calculation - Stagewise ECL'!BD7</f>
        <v>0</v>
      </c>
      <c r="BF8" s="12">
        <f>'Calculation - Stagewise ECL'!BE7</f>
        <v>0</v>
      </c>
      <c r="BG8" s="12">
        <f>'Calculation - Stagewise ECL'!BF7</f>
        <v>0</v>
      </c>
      <c r="BH8" s="12">
        <f>'Calculation - Stagewise ECL'!BG7</f>
        <v>0</v>
      </c>
      <c r="BI8" s="12">
        <f>'Calculation - Stagewise ECL'!BH7</f>
        <v>0</v>
      </c>
      <c r="BJ8" s="12">
        <f>'Calculation - Stagewise ECL'!BI7</f>
        <v>0</v>
      </c>
      <c r="BK8" s="13">
        <f>'Calculation - Stagewise ECL'!BJ7</f>
        <v>0</v>
      </c>
    </row>
    <row r="9" spans="2:63" x14ac:dyDescent="0.35">
      <c r="B9" s="357" t="s">
        <v>156</v>
      </c>
      <c r="C9" s="1" t="s">
        <v>19</v>
      </c>
      <c r="D9" s="162">
        <f>D5/D7</f>
        <v>2.2455575679308677E-2</v>
      </c>
      <c r="E9" s="163">
        <f t="shared" ref="E9:BK9" si="2">E5/E7</f>
        <v>2.1904715707810492E-2</v>
      </c>
      <c r="F9" s="163">
        <f t="shared" si="2"/>
        <v>2.1605056061133165E-2</v>
      </c>
      <c r="G9" s="163">
        <f t="shared" si="2"/>
        <v>2.1239688765370419E-2</v>
      </c>
      <c r="H9" s="163">
        <f t="shared" si="2"/>
        <v>2.0886530214148633E-2</v>
      </c>
      <c r="I9" s="163">
        <f t="shared" si="2"/>
        <v>2.048174811160041E-2</v>
      </c>
      <c r="J9" s="163">
        <f t="shared" si="2"/>
        <v>2.0191135164289675E-2</v>
      </c>
      <c r="K9" s="163">
        <f t="shared" si="2"/>
        <v>1.9776191595741229E-2</v>
      </c>
      <c r="L9" s="163">
        <f t="shared" si="2"/>
        <v>1.9388046046223715E-2</v>
      </c>
      <c r="M9" s="163">
        <f t="shared" si="2"/>
        <v>1.8945076717121014E-2</v>
      </c>
      <c r="N9" s="163">
        <f t="shared" si="2"/>
        <v>1.8518710758934118E-2</v>
      </c>
      <c r="O9" s="163">
        <f t="shared" si="2"/>
        <v>1.8134624386439629E-2</v>
      </c>
      <c r="P9" s="164">
        <f t="shared" si="2"/>
        <v>1.7672994893869691E-2</v>
      </c>
      <c r="Q9" s="163">
        <f t="shared" si="2"/>
        <v>1.8008152284373771E-2</v>
      </c>
      <c r="R9" s="163">
        <f t="shared" si="2"/>
        <v>1.7979437339085792E-2</v>
      </c>
      <c r="S9" s="163">
        <f t="shared" si="2"/>
        <v>1.7934792022947187E-2</v>
      </c>
      <c r="T9" s="163">
        <f t="shared" si="2"/>
        <v>1.7268298017807028E-2</v>
      </c>
      <c r="U9" s="163">
        <f t="shared" si="2"/>
        <v>1.7126036073240702E-2</v>
      </c>
      <c r="V9" s="163">
        <f t="shared" si="2"/>
        <v>1.7002387112034237E-2</v>
      </c>
      <c r="W9" s="163">
        <f t="shared" si="2"/>
        <v>1.70670264312008E-2</v>
      </c>
      <c r="X9" s="163">
        <f t="shared" si="2"/>
        <v>1.6861977692444931E-2</v>
      </c>
      <c r="Y9" s="163">
        <f t="shared" si="2"/>
        <v>1.6657983055032136E-2</v>
      </c>
      <c r="Z9" s="163">
        <f t="shared" si="2"/>
        <v>1.6385759442015924E-2</v>
      </c>
      <c r="AA9" s="163">
        <f t="shared" si="2"/>
        <v>1.6151145067819717E-2</v>
      </c>
      <c r="AB9" s="164">
        <f t="shared" si="2"/>
        <v>1.5812862079233093E-2</v>
      </c>
      <c r="AC9" s="163">
        <f t="shared" si="2"/>
        <v>1.584422548120017E-2</v>
      </c>
      <c r="AD9" s="163">
        <f t="shared" si="2"/>
        <v>1.5823280775889362E-2</v>
      </c>
      <c r="AE9" s="163">
        <f t="shared" si="2"/>
        <v>1.5929764831748405E-2</v>
      </c>
      <c r="AF9" s="163">
        <f t="shared" si="2"/>
        <v>1.5889409390697364E-2</v>
      </c>
      <c r="AG9" s="163">
        <f t="shared" si="2"/>
        <v>1.5754559494159423E-2</v>
      </c>
      <c r="AH9" s="163">
        <f t="shared" si="2"/>
        <v>1.5693983188043815E-2</v>
      </c>
      <c r="AI9" s="163">
        <f t="shared" si="2"/>
        <v>1.5645867643435681E-2</v>
      </c>
      <c r="AJ9" s="163">
        <f t="shared" si="2"/>
        <v>1.5530828604483418E-2</v>
      </c>
      <c r="AK9" s="163">
        <f t="shared" si="2"/>
        <v>1.5342268003183635E-2</v>
      </c>
      <c r="AL9" s="163">
        <f t="shared" si="2"/>
        <v>1.5092336525360133E-2</v>
      </c>
      <c r="AM9" s="164">
        <f t="shared" si="2"/>
        <v>1.4824328424068129E-2</v>
      </c>
      <c r="AN9" s="163">
        <f t="shared" si="2"/>
        <v>1.4427624192015182E-2</v>
      </c>
      <c r="AO9" s="163" t="e">
        <f t="shared" si="2"/>
        <v>#DIV/0!</v>
      </c>
      <c r="AP9" s="163" t="e">
        <f t="shared" si="2"/>
        <v>#DIV/0!</v>
      </c>
      <c r="AQ9" s="163" t="e">
        <f t="shared" si="2"/>
        <v>#DIV/0!</v>
      </c>
      <c r="AR9" s="163" t="e">
        <f t="shared" si="2"/>
        <v>#DIV/0!</v>
      </c>
      <c r="AS9" s="163" t="e">
        <f t="shared" si="2"/>
        <v>#DIV/0!</v>
      </c>
      <c r="AT9" s="163" t="e">
        <f t="shared" si="2"/>
        <v>#DIV/0!</v>
      </c>
      <c r="AU9" s="163" t="e">
        <f t="shared" si="2"/>
        <v>#DIV/0!</v>
      </c>
      <c r="AV9" s="163" t="e">
        <f t="shared" si="2"/>
        <v>#DIV/0!</v>
      </c>
      <c r="AW9" s="163" t="e">
        <f t="shared" si="2"/>
        <v>#DIV/0!</v>
      </c>
      <c r="AX9" s="163" t="e">
        <f t="shared" si="2"/>
        <v>#DIV/0!</v>
      </c>
      <c r="AY9" s="164" t="e">
        <f t="shared" si="2"/>
        <v>#DIV/0!</v>
      </c>
      <c r="AZ9" s="163" t="e">
        <f t="shared" si="2"/>
        <v>#DIV/0!</v>
      </c>
      <c r="BA9" s="163" t="e">
        <f t="shared" si="2"/>
        <v>#DIV/0!</v>
      </c>
      <c r="BB9" s="163" t="e">
        <f t="shared" si="2"/>
        <v>#DIV/0!</v>
      </c>
      <c r="BC9" s="163" t="e">
        <f t="shared" si="2"/>
        <v>#DIV/0!</v>
      </c>
      <c r="BD9" s="163" t="e">
        <f t="shared" si="2"/>
        <v>#DIV/0!</v>
      </c>
      <c r="BE9" s="163" t="e">
        <f t="shared" si="2"/>
        <v>#DIV/0!</v>
      </c>
      <c r="BF9" s="163" t="e">
        <f t="shared" si="2"/>
        <v>#DIV/0!</v>
      </c>
      <c r="BG9" s="163" t="e">
        <f t="shared" si="2"/>
        <v>#DIV/0!</v>
      </c>
      <c r="BH9" s="163" t="e">
        <f t="shared" si="2"/>
        <v>#DIV/0!</v>
      </c>
      <c r="BI9" s="163" t="e">
        <f t="shared" si="2"/>
        <v>#DIV/0!</v>
      </c>
      <c r="BJ9" s="163" t="e">
        <f t="shared" si="2"/>
        <v>#DIV/0!</v>
      </c>
      <c r="BK9" s="164" t="e">
        <f t="shared" si="2"/>
        <v>#DIV/0!</v>
      </c>
    </row>
    <row r="10" spans="2:63" x14ac:dyDescent="0.35">
      <c r="B10" s="358"/>
      <c r="C10" s="3" t="s">
        <v>20</v>
      </c>
      <c r="D10" s="165">
        <f>(D4/D3)*D9</f>
        <v>2.2455575679308677E-2</v>
      </c>
      <c r="E10" s="166">
        <f t="shared" ref="E10:BK10" si="3">(E4/E3)*E9</f>
        <v>2.2840897491132536E-2</v>
      </c>
      <c r="F10" s="166">
        <f t="shared" si="3"/>
        <v>2.3096075448474831E-2</v>
      </c>
      <c r="G10" s="166">
        <f t="shared" si="3"/>
        <v>2.337437039935723E-2</v>
      </c>
      <c r="H10" s="166">
        <f t="shared" si="3"/>
        <v>2.3774228874703582E-2</v>
      </c>
      <c r="I10" s="166">
        <f t="shared" si="3"/>
        <v>2.4037568995115673E-2</v>
      </c>
      <c r="J10" s="166">
        <f t="shared" si="3"/>
        <v>2.4273173143130516E-2</v>
      </c>
      <c r="K10" s="166">
        <f t="shared" si="3"/>
        <v>2.4940467399826728E-2</v>
      </c>
      <c r="L10" s="166">
        <f t="shared" si="3"/>
        <v>2.547758660358208E-2</v>
      </c>
      <c r="M10" s="166">
        <f t="shared" si="3"/>
        <v>2.6018332359327198E-2</v>
      </c>
      <c r="N10" s="166">
        <f t="shared" si="3"/>
        <v>2.653011158871918E-2</v>
      </c>
      <c r="O10" s="166">
        <f t="shared" si="3"/>
        <v>2.7029515965684116E-2</v>
      </c>
      <c r="P10" s="167">
        <f t="shared" si="3"/>
        <v>2.7515382828897691E-2</v>
      </c>
      <c r="Q10" s="166">
        <f t="shared" si="3"/>
        <v>2.8481199297228279E-2</v>
      </c>
      <c r="R10" s="166">
        <f t="shared" si="3"/>
        <v>2.9273505065647982E-2</v>
      </c>
      <c r="S10" s="166">
        <f t="shared" si="3"/>
        <v>3.0106273205591196E-2</v>
      </c>
      <c r="T10" s="166">
        <f t="shared" si="3"/>
        <v>3.1522584635104441E-2</v>
      </c>
      <c r="U10" s="166">
        <f t="shared" si="3"/>
        <v>3.2394518770744403E-2</v>
      </c>
      <c r="V10" s="166">
        <f t="shared" si="3"/>
        <v>3.3017607876852428E-2</v>
      </c>
      <c r="W10" s="166">
        <f t="shared" si="3"/>
        <v>3.2374684086075918E-2</v>
      </c>
      <c r="X10" s="166">
        <f t="shared" si="3"/>
        <v>3.1694470007495916E-2</v>
      </c>
      <c r="Y10" s="166">
        <f t="shared" si="3"/>
        <v>3.0938647330753289E-2</v>
      </c>
      <c r="Z10" s="166">
        <f t="shared" si="3"/>
        <v>3.0156929156482958E-2</v>
      </c>
      <c r="AA10" s="166">
        <f t="shared" si="3"/>
        <v>2.9331795377183299E-2</v>
      </c>
      <c r="AB10" s="167">
        <f t="shared" si="3"/>
        <v>2.8499050872451796E-2</v>
      </c>
      <c r="AC10" s="166">
        <f t="shared" si="3"/>
        <v>2.8582408898040351E-2</v>
      </c>
      <c r="AD10" s="166">
        <f t="shared" si="3"/>
        <v>2.7679065834759101E-2</v>
      </c>
      <c r="AE10" s="166">
        <f t="shared" si="3"/>
        <v>2.6848395300584981E-2</v>
      </c>
      <c r="AF10" s="166">
        <f t="shared" si="3"/>
        <v>2.6277406373632271E-2</v>
      </c>
      <c r="AG10" s="166">
        <f t="shared" si="3"/>
        <v>2.556293652721894E-2</v>
      </c>
      <c r="AH10" s="166">
        <f t="shared" si="3"/>
        <v>2.4804130453593098E-2</v>
      </c>
      <c r="AI10" s="166">
        <f t="shared" si="3"/>
        <v>2.4161135400316017E-2</v>
      </c>
      <c r="AJ10" s="166">
        <f t="shared" si="3"/>
        <v>2.3375798010518749E-2</v>
      </c>
      <c r="AK10" s="166">
        <f t="shared" si="3"/>
        <v>2.2585388210112155E-2</v>
      </c>
      <c r="AL10" s="166">
        <f t="shared" si="3"/>
        <v>2.177672425389612E-2</v>
      </c>
      <c r="AM10" s="167">
        <f t="shared" si="3"/>
        <v>2.0963527437429727E-2</v>
      </c>
      <c r="AN10" s="166">
        <f t="shared" si="3"/>
        <v>2.0165088517203146E-2</v>
      </c>
      <c r="AO10" s="166" t="e">
        <f t="shared" si="3"/>
        <v>#DIV/0!</v>
      </c>
      <c r="AP10" s="166" t="e">
        <f t="shared" si="3"/>
        <v>#DIV/0!</v>
      </c>
      <c r="AQ10" s="166" t="e">
        <f t="shared" si="3"/>
        <v>#DIV/0!</v>
      </c>
      <c r="AR10" s="166" t="e">
        <f t="shared" si="3"/>
        <v>#DIV/0!</v>
      </c>
      <c r="AS10" s="166" t="e">
        <f t="shared" si="3"/>
        <v>#DIV/0!</v>
      </c>
      <c r="AT10" s="166" t="e">
        <f t="shared" si="3"/>
        <v>#DIV/0!</v>
      </c>
      <c r="AU10" s="166" t="e">
        <f t="shared" si="3"/>
        <v>#DIV/0!</v>
      </c>
      <c r="AV10" s="166" t="e">
        <f t="shared" si="3"/>
        <v>#DIV/0!</v>
      </c>
      <c r="AW10" s="166" t="e">
        <f t="shared" si="3"/>
        <v>#DIV/0!</v>
      </c>
      <c r="AX10" s="166" t="e">
        <f t="shared" si="3"/>
        <v>#DIV/0!</v>
      </c>
      <c r="AY10" s="167" t="e">
        <f t="shared" si="3"/>
        <v>#DIV/0!</v>
      </c>
      <c r="AZ10" s="166" t="e">
        <f t="shared" si="3"/>
        <v>#DIV/0!</v>
      </c>
      <c r="BA10" s="166" t="e">
        <f t="shared" si="3"/>
        <v>#DIV/0!</v>
      </c>
      <c r="BB10" s="166" t="e">
        <f t="shared" si="3"/>
        <v>#DIV/0!</v>
      </c>
      <c r="BC10" s="166" t="e">
        <f t="shared" si="3"/>
        <v>#DIV/0!</v>
      </c>
      <c r="BD10" s="166" t="e">
        <f t="shared" si="3"/>
        <v>#DIV/0!</v>
      </c>
      <c r="BE10" s="166" t="e">
        <f t="shared" si="3"/>
        <v>#DIV/0!</v>
      </c>
      <c r="BF10" s="166" t="e">
        <f t="shared" si="3"/>
        <v>#DIV/0!</v>
      </c>
      <c r="BG10" s="166" t="e">
        <f t="shared" si="3"/>
        <v>#DIV/0!</v>
      </c>
      <c r="BH10" s="166" t="e">
        <f t="shared" si="3"/>
        <v>#DIV/0!</v>
      </c>
      <c r="BI10" s="166" t="e">
        <f t="shared" si="3"/>
        <v>#DIV/0!</v>
      </c>
      <c r="BJ10" s="166" t="e">
        <f t="shared" si="3"/>
        <v>#DIV/0!</v>
      </c>
      <c r="BK10" s="167" t="e">
        <f t="shared" si="3"/>
        <v>#DIV/0!</v>
      </c>
    </row>
    <row r="12" spans="2:63" x14ac:dyDescent="0.35">
      <c r="C12" s="15" t="s">
        <v>158</v>
      </c>
      <c r="D12" s="110">
        <f>D2</f>
        <v>45352</v>
      </c>
      <c r="E12" s="111">
        <f>EDATE(D12,1)</f>
        <v>45383</v>
      </c>
      <c r="F12" s="111">
        <f t="shared" ref="F12" si="4">EDATE(E12,1)</f>
        <v>45413</v>
      </c>
      <c r="G12" s="111">
        <f t="shared" ref="G12" si="5">EDATE(F12,1)</f>
        <v>45444</v>
      </c>
      <c r="H12" s="111">
        <f t="shared" ref="H12" si="6">EDATE(G12,1)</f>
        <v>45474</v>
      </c>
      <c r="I12" s="111">
        <f t="shared" ref="I12" si="7">EDATE(H12,1)</f>
        <v>45505</v>
      </c>
      <c r="J12" s="111">
        <f t="shared" ref="J12" si="8">EDATE(I12,1)</f>
        <v>45536</v>
      </c>
      <c r="K12" s="111">
        <f t="shared" ref="K12" si="9">EDATE(J12,1)</f>
        <v>45566</v>
      </c>
      <c r="L12" s="111">
        <f t="shared" ref="L12" si="10">EDATE(K12,1)</f>
        <v>45597</v>
      </c>
      <c r="M12" s="111">
        <f t="shared" ref="M12" si="11">EDATE(L12,1)</f>
        <v>45627</v>
      </c>
      <c r="N12" s="111">
        <f t="shared" ref="N12" si="12">EDATE(M12,1)</f>
        <v>45658</v>
      </c>
      <c r="O12" s="111">
        <f t="shared" ref="O12" si="13">EDATE(N12,1)</f>
        <v>45689</v>
      </c>
      <c r="P12" s="112">
        <f t="shared" ref="P12" si="14">EDATE(O12,1)</f>
        <v>45717</v>
      </c>
      <c r="Q12" s="111">
        <f t="shared" ref="Q12" si="15">EDATE(P12,1)</f>
        <v>45748</v>
      </c>
      <c r="R12" s="111">
        <f t="shared" ref="R12" si="16">EDATE(Q12,1)</f>
        <v>45778</v>
      </c>
      <c r="S12" s="111">
        <f t="shared" ref="S12" si="17">EDATE(R12,1)</f>
        <v>45809</v>
      </c>
      <c r="T12" s="111">
        <f t="shared" ref="T12" si="18">EDATE(S12,1)</f>
        <v>45839</v>
      </c>
      <c r="U12" s="111">
        <f t="shared" ref="U12" si="19">EDATE(T12,1)</f>
        <v>45870</v>
      </c>
      <c r="V12" s="111">
        <f t="shared" ref="V12" si="20">EDATE(U12,1)</f>
        <v>45901</v>
      </c>
      <c r="W12" s="111">
        <f t="shared" ref="W12" si="21">EDATE(V12,1)</f>
        <v>45931</v>
      </c>
      <c r="X12" s="111">
        <f t="shared" ref="X12" si="22">EDATE(W12,1)</f>
        <v>45962</v>
      </c>
      <c r="Y12" s="111">
        <f t="shared" ref="Y12" si="23">EDATE(X12,1)</f>
        <v>45992</v>
      </c>
      <c r="Z12" s="111">
        <f t="shared" ref="Z12" si="24">EDATE(Y12,1)</f>
        <v>46023</v>
      </c>
      <c r="AA12" s="111">
        <f t="shared" ref="AA12" si="25">EDATE(Z12,1)</f>
        <v>46054</v>
      </c>
      <c r="AB12" s="112">
        <f t="shared" ref="AB12" si="26">EDATE(AA12,1)</f>
        <v>46082</v>
      </c>
      <c r="AC12" s="111">
        <f t="shared" ref="AC12" si="27">EDATE(AB12,1)</f>
        <v>46113</v>
      </c>
      <c r="AD12" s="111">
        <f t="shared" ref="AD12" si="28">EDATE(AC12,1)</f>
        <v>46143</v>
      </c>
      <c r="AE12" s="111">
        <f t="shared" ref="AE12" si="29">EDATE(AD12,1)</f>
        <v>46174</v>
      </c>
      <c r="AF12" s="111">
        <f t="shared" ref="AF12" si="30">EDATE(AE12,1)</f>
        <v>46204</v>
      </c>
      <c r="AG12" s="111">
        <f t="shared" ref="AG12" si="31">EDATE(AF12,1)</f>
        <v>46235</v>
      </c>
      <c r="AH12" s="111">
        <f t="shared" ref="AH12" si="32">EDATE(AG12,1)</f>
        <v>46266</v>
      </c>
      <c r="AI12" s="111">
        <f t="shared" ref="AI12" si="33">EDATE(AH12,1)</f>
        <v>46296</v>
      </c>
      <c r="AJ12" s="111">
        <f t="shared" ref="AJ12" si="34">EDATE(AI12,1)</f>
        <v>46327</v>
      </c>
      <c r="AK12" s="111">
        <f t="shared" ref="AK12" si="35">EDATE(AJ12,1)</f>
        <v>46357</v>
      </c>
      <c r="AL12" s="111">
        <f t="shared" ref="AL12" si="36">EDATE(AK12,1)</f>
        <v>46388</v>
      </c>
      <c r="AM12" s="112">
        <f t="shared" ref="AM12" si="37">EDATE(AL12,1)</f>
        <v>46419</v>
      </c>
      <c r="AN12" s="111">
        <f t="shared" ref="AN12" si="38">EDATE(AM12,1)</f>
        <v>46447</v>
      </c>
      <c r="AO12" s="111">
        <f t="shared" ref="AO12" si="39">EDATE(AN12,1)</f>
        <v>46478</v>
      </c>
      <c r="AP12" s="111">
        <f t="shared" ref="AP12" si="40">EDATE(AO12,1)</f>
        <v>46508</v>
      </c>
      <c r="AQ12" s="111">
        <f t="shared" ref="AQ12" si="41">EDATE(AP12,1)</f>
        <v>46539</v>
      </c>
      <c r="AR12" s="111">
        <f t="shared" ref="AR12" si="42">EDATE(AQ12,1)</f>
        <v>46569</v>
      </c>
      <c r="AS12" s="111">
        <f t="shared" ref="AS12" si="43">EDATE(AR12,1)</f>
        <v>46600</v>
      </c>
      <c r="AT12" s="111">
        <f t="shared" ref="AT12" si="44">EDATE(AS12,1)</f>
        <v>46631</v>
      </c>
      <c r="AU12" s="111">
        <f t="shared" ref="AU12" si="45">EDATE(AT12,1)</f>
        <v>46661</v>
      </c>
      <c r="AV12" s="111">
        <f t="shared" ref="AV12" si="46">EDATE(AU12,1)</f>
        <v>46692</v>
      </c>
      <c r="AW12" s="111">
        <f t="shared" ref="AW12" si="47">EDATE(AV12,1)</f>
        <v>46722</v>
      </c>
      <c r="AX12" s="111">
        <f t="shared" ref="AX12" si="48">EDATE(AW12,1)</f>
        <v>46753</v>
      </c>
      <c r="AY12" s="112">
        <f t="shared" ref="AY12" si="49">EDATE(AX12,1)</f>
        <v>46784</v>
      </c>
      <c r="AZ12" s="111">
        <f t="shared" ref="AZ12" si="50">EDATE(AY12,1)</f>
        <v>46813</v>
      </c>
      <c r="BA12" s="111">
        <f t="shared" ref="BA12" si="51">EDATE(AZ12,1)</f>
        <v>46844</v>
      </c>
      <c r="BB12" s="111">
        <f t="shared" ref="BB12" si="52">EDATE(BA12,1)</f>
        <v>46874</v>
      </c>
      <c r="BC12" s="111">
        <f t="shared" ref="BC12" si="53">EDATE(BB12,1)</f>
        <v>46905</v>
      </c>
      <c r="BD12" s="111">
        <f t="shared" ref="BD12" si="54">EDATE(BC12,1)</f>
        <v>46935</v>
      </c>
      <c r="BE12" s="111">
        <f t="shared" ref="BE12" si="55">EDATE(BD12,1)</f>
        <v>46966</v>
      </c>
      <c r="BF12" s="111">
        <f t="shared" ref="BF12" si="56">EDATE(BE12,1)</f>
        <v>46997</v>
      </c>
      <c r="BG12" s="111">
        <f t="shared" ref="BG12" si="57">EDATE(BF12,1)</f>
        <v>47027</v>
      </c>
      <c r="BH12" s="111">
        <f t="shared" ref="BH12" si="58">EDATE(BG12,1)</f>
        <v>47058</v>
      </c>
      <c r="BI12" s="111">
        <f t="shared" ref="BI12" si="59">EDATE(BH12,1)</f>
        <v>47088</v>
      </c>
      <c r="BJ12" s="111">
        <f t="shared" ref="BJ12" si="60">EDATE(BI12,1)</f>
        <v>47119</v>
      </c>
      <c r="BK12" s="112">
        <f>EDATE(BJ12,1)</f>
        <v>47150</v>
      </c>
    </row>
    <row r="13" spans="2:63" x14ac:dyDescent="0.35">
      <c r="B13" s="357" t="s">
        <v>154</v>
      </c>
      <c r="C13" s="1" t="s">
        <v>19</v>
      </c>
      <c r="D13" s="162">
        <f>'Calculation - Stage dist'!F17</f>
        <v>3.2826924922488718E-2</v>
      </c>
      <c r="E13" s="163">
        <f>'Calculation - Stage dist'!G17</f>
        <v>3.1750142379809325E-2</v>
      </c>
      <c r="F13" s="163">
        <f>'Calculation - Stage dist'!H17</f>
        <v>3.0902798107666458E-2</v>
      </c>
      <c r="G13" s="163">
        <f>'Calculation - Stage dist'!I17</f>
        <v>3.305594442431023E-2</v>
      </c>
      <c r="H13" s="163">
        <f>'Calculation - Stage dist'!J17</f>
        <v>3.1615619331144373E-2</v>
      </c>
      <c r="I13" s="163">
        <f>'Calculation - Stage dist'!K17</f>
        <v>3.0125063831910649E-2</v>
      </c>
      <c r="J13" s="163">
        <f>'Calculation - Stage dist'!L17</f>
        <v>3.1192014145476191E-2</v>
      </c>
      <c r="K13" s="163">
        <f>'Calculation - Stage dist'!M17</f>
        <v>2.9531077255062689E-2</v>
      </c>
      <c r="L13" s="163">
        <f>'Calculation - Stage dist'!N17</f>
        <v>2.7796789801315579E-2</v>
      </c>
      <c r="M13" s="163">
        <f>'Calculation - Stage dist'!O17</f>
        <v>2.8162194182050761E-2</v>
      </c>
      <c r="N13" s="163">
        <f>'Calculation - Stage dist'!P17</f>
        <v>2.4852780271411211E-2</v>
      </c>
      <c r="O13" s="163">
        <f>'Calculation - Stage dist'!Q17</f>
        <v>2.6220206021908658E-2</v>
      </c>
      <c r="P13" s="164">
        <f>'Calculation - Stage dist'!R17</f>
        <v>2.4090330760079909E-2</v>
      </c>
      <c r="Q13" s="163">
        <f>'Calculation - Stage dist'!S17</f>
        <v>2.3183890872348692E-2</v>
      </c>
      <c r="R13" s="163">
        <f>'Calculation - Stage dist'!T17</f>
        <v>2.208060532443086E-2</v>
      </c>
      <c r="S13" s="163">
        <f>'Calculation - Stage dist'!U17</f>
        <v>2.2589105641881418E-2</v>
      </c>
      <c r="T13" s="163">
        <f>'Calculation - Stage dist'!V17</f>
        <v>2.1387066939256311E-2</v>
      </c>
      <c r="U13" s="163">
        <f>'Calculation - Stage dist'!W17</f>
        <v>1.999395396895709E-2</v>
      </c>
      <c r="V13" s="163">
        <f>'Calculation - Stage dist'!X17</f>
        <v>2.0263105201620005E-2</v>
      </c>
      <c r="W13" s="163">
        <f>'Calculation - Stage dist'!Y17</f>
        <v>1.9321291506776625E-2</v>
      </c>
      <c r="X13" s="163">
        <f>'Calculation - Stage dist'!Z17</f>
        <v>1.8272418614248484E-2</v>
      </c>
      <c r="Y13" s="163">
        <f>'Calculation - Stage dist'!AA17</f>
        <v>1.8916961331218358E-2</v>
      </c>
      <c r="Z13" s="163">
        <f>'Calculation - Stage dist'!AB17</f>
        <v>1.7623767642304469E-2</v>
      </c>
      <c r="AA13" s="163">
        <f>'Calculation - Stage dist'!AC17</f>
        <v>1.8196750268614812E-2</v>
      </c>
      <c r="AB13" s="164">
        <f>'Calculation - Stage dist'!AD17</f>
        <v>1.6984914159220484E-2</v>
      </c>
      <c r="AC13" s="163">
        <f>'Calculation - Stage dist'!AE17</f>
        <v>1.6545706772019057E-2</v>
      </c>
      <c r="AD13" s="163">
        <f>'Calculation - Stage dist'!AF17</f>
        <v>1.6046577228630461E-2</v>
      </c>
      <c r="AE13" s="163">
        <f>'Calculation - Stage dist'!AG17</f>
        <v>1.6863160887745882E-2</v>
      </c>
      <c r="AF13" s="163">
        <f>'Calculation - Stage dist'!AH17</f>
        <v>1.6133613111683338E-2</v>
      </c>
      <c r="AG13" s="163">
        <f>'Calculation - Stage dist'!AI17</f>
        <v>1.5558244782354284E-2</v>
      </c>
      <c r="AH13" s="163">
        <f>'Calculation - Stage dist'!AJ17</f>
        <v>1.6366184096784989E-2</v>
      </c>
      <c r="AI13" s="163">
        <f>'Calculation - Stage dist'!AK17</f>
        <v>1.565003784995064E-2</v>
      </c>
      <c r="AJ13" s="163">
        <f>'Calculation - Stage dist'!AL17</f>
        <v>1.4876869856105585E-2</v>
      </c>
      <c r="AK13" s="163">
        <f>'Calculation - Stage dist'!AM17</f>
        <v>1.5358979661209539E-2</v>
      </c>
      <c r="AL13" s="163">
        <f>'Calculation - Stage dist'!AN17</f>
        <v>1.454130324606227E-2</v>
      </c>
      <c r="AM13" s="164">
        <f>'Calculation - Stage dist'!AO17</f>
        <v>1.4900961523262864E-2</v>
      </c>
      <c r="AN13" s="163">
        <f>'Calculation - Stage dist'!AP17</f>
        <v>1.4012393934894484E-2</v>
      </c>
      <c r="AO13" s="163">
        <f>'Calculation - Stage dist'!AQ17</f>
        <v>1.4E-2</v>
      </c>
      <c r="AP13" s="163">
        <f>'Calculation - Stage dist'!AR17</f>
        <v>1.4E-2</v>
      </c>
      <c r="AQ13" s="163">
        <f>'Calculation - Stage dist'!AS17</f>
        <v>1.4E-2</v>
      </c>
      <c r="AR13" s="163">
        <f>'Calculation - Stage dist'!AT17</f>
        <v>1.4E-2</v>
      </c>
      <c r="AS13" s="163">
        <f>'Calculation - Stage dist'!AU17</f>
        <v>1.4E-2</v>
      </c>
      <c r="AT13" s="163">
        <f>'Calculation - Stage dist'!AV17</f>
        <v>1.4E-2</v>
      </c>
      <c r="AU13" s="163">
        <f>'Calculation - Stage dist'!AW17</f>
        <v>1.4E-2</v>
      </c>
      <c r="AV13" s="163">
        <f>'Calculation - Stage dist'!AX17</f>
        <v>1.4E-2</v>
      </c>
      <c r="AW13" s="163">
        <f>'Calculation - Stage dist'!AY17</f>
        <v>1.4E-2</v>
      </c>
      <c r="AX13" s="163">
        <f>'Calculation - Stage dist'!AZ17</f>
        <v>1.4E-2</v>
      </c>
      <c r="AY13" s="164">
        <f>'Calculation - Stage dist'!BA17</f>
        <v>1.4E-2</v>
      </c>
      <c r="AZ13" s="163">
        <f>'Calculation - Stage dist'!BB17</f>
        <v>1.4E-2</v>
      </c>
      <c r="BA13" s="163">
        <f>'Calculation - Stage dist'!BC17</f>
        <v>1.4E-2</v>
      </c>
      <c r="BB13" s="163">
        <f>'Calculation - Stage dist'!BD17</f>
        <v>1.4E-2</v>
      </c>
      <c r="BC13" s="163">
        <f>'Calculation - Stage dist'!BE17</f>
        <v>1.4E-2</v>
      </c>
      <c r="BD13" s="163">
        <f>'Calculation - Stage dist'!BF17</f>
        <v>1.4E-2</v>
      </c>
      <c r="BE13" s="163">
        <f>'Calculation - Stage dist'!BG17</f>
        <v>1.4E-2</v>
      </c>
      <c r="BF13" s="163">
        <f>'Calculation - Stage dist'!BH17</f>
        <v>1.4E-2</v>
      </c>
      <c r="BG13" s="163">
        <f>'Calculation - Stage dist'!BI17</f>
        <v>1.4E-2</v>
      </c>
      <c r="BH13" s="163">
        <f>'Calculation - Stage dist'!BJ17</f>
        <v>1.4E-2</v>
      </c>
      <c r="BI13" s="163">
        <f>'Calculation - Stage dist'!BK17</f>
        <v>1.4E-2</v>
      </c>
      <c r="BJ13" s="163">
        <f>'Calculation - Stage dist'!BL17</f>
        <v>1.4E-2</v>
      </c>
      <c r="BK13" s="164">
        <f>'Calculation - Stage dist'!BM17</f>
        <v>1.4E-2</v>
      </c>
    </row>
    <row r="14" spans="2:63" x14ac:dyDescent="0.35">
      <c r="B14" s="358"/>
      <c r="C14" s="3" t="s">
        <v>20</v>
      </c>
      <c r="D14" s="165">
        <f>'Calculation - Stage dist'!F22</f>
        <v>3.2826924922488718E-2</v>
      </c>
      <c r="E14" s="166">
        <f>'Calculation - Stage dist'!G22</f>
        <v>3.3936924922488718E-2</v>
      </c>
      <c r="F14" s="166">
        <f>'Calculation - Stage dist'!H22</f>
        <v>3.5046924922488717E-2</v>
      </c>
      <c r="G14" s="166">
        <f>'Calculation - Stage dist'!I22</f>
        <v>3.6156924922488717E-2</v>
      </c>
      <c r="H14" s="166">
        <f>'Calculation - Stage dist'!J22</f>
        <v>3.7266924922488717E-2</v>
      </c>
      <c r="I14" s="166">
        <f>'Calculation - Stage dist'!K22</f>
        <v>3.8376924922488717E-2</v>
      </c>
      <c r="J14" s="166">
        <f>'Calculation - Stage dist'!L22</f>
        <v>3.9486924922488717E-2</v>
      </c>
      <c r="K14" s="166">
        <f>'Calculation - Stage dist'!M22</f>
        <v>4.112692492248872E-2</v>
      </c>
      <c r="L14" s="166">
        <f>'Calculation - Stage dist'!N22</f>
        <v>4.2766924922488722E-2</v>
      </c>
      <c r="M14" s="166">
        <f>'Calculation - Stage dist'!O22</f>
        <v>4.4406924922488725E-2</v>
      </c>
      <c r="N14" s="166">
        <f>'Calculation - Stage dist'!P22</f>
        <v>4.6046924922488727E-2</v>
      </c>
      <c r="O14" s="166">
        <f>'Calculation - Stage dist'!Q22</f>
        <v>4.768692492248873E-2</v>
      </c>
      <c r="P14" s="167">
        <f>'Calculation - Stage dist'!R22</f>
        <v>4.9326924922488732E-2</v>
      </c>
      <c r="Q14" s="166">
        <f>'Calculation - Stage dist'!S22</f>
        <v>5.2066924922488732E-2</v>
      </c>
      <c r="R14" s="166">
        <f>'Calculation - Stage dist'!T22</f>
        <v>5.4806924922488731E-2</v>
      </c>
      <c r="S14" s="166">
        <f>'Calculation - Stage dist'!U22</f>
        <v>5.7546924922488731E-2</v>
      </c>
      <c r="T14" s="166">
        <f>'Calculation - Stage dist'!V22</f>
        <v>6.028692492248873E-2</v>
      </c>
      <c r="U14" s="166">
        <f>'Calculation - Stage dist'!W22</f>
        <v>6.3026924922488736E-2</v>
      </c>
      <c r="V14" s="166">
        <f>'Calculation - Stage dist'!X22</f>
        <v>6.5653849844977435E-2</v>
      </c>
      <c r="W14" s="166">
        <f>'Calculation - Stage dist'!Y22</f>
        <v>6.3570357678517986E-2</v>
      </c>
      <c r="X14" s="166">
        <f>'Calculation - Stage dist'!Z22</f>
        <v>6.1486865512058536E-2</v>
      </c>
      <c r="Y14" s="166">
        <f>'Calculation - Stage dist'!AA22</f>
        <v>5.9403373345599086E-2</v>
      </c>
      <c r="Z14" s="166">
        <f>'Calculation - Stage dist'!AB22</f>
        <v>5.7319881179139637E-2</v>
      </c>
      <c r="AA14" s="166">
        <f>'Calculation - Stage dist'!AC22</f>
        <v>5.5236389012680187E-2</v>
      </c>
      <c r="AB14" s="167">
        <f>'Calculation - Stage dist'!AD22</f>
        <v>5.3152896846220737E-2</v>
      </c>
      <c r="AC14" s="166">
        <f>'Calculation - Stage dist'!AE22</f>
        <v>5.1069404679761288E-2</v>
      </c>
      <c r="AD14" s="166">
        <f>'Calculation - Stage dist'!AF22</f>
        <v>4.8985912513301838E-2</v>
      </c>
      <c r="AE14" s="166">
        <f>'Calculation - Stage dist'!AG22</f>
        <v>4.6902420346842388E-2</v>
      </c>
      <c r="AF14" s="166">
        <f>'Calculation - Stage dist'!AH22</f>
        <v>4.4818928180382939E-2</v>
      </c>
      <c r="AG14" s="166">
        <f>'Calculation - Stage dist'!AI22</f>
        <v>4.2735436013923489E-2</v>
      </c>
      <c r="AH14" s="166">
        <f>'Calculation - Stage dist'!AJ22</f>
        <v>4.0651943847464039E-2</v>
      </c>
      <c r="AI14" s="166">
        <f>'Calculation - Stage dist'!AK22</f>
        <v>3.856845168100459E-2</v>
      </c>
      <c r="AJ14" s="166">
        <f>'Calculation - Stage dist'!AL22</f>
        <v>3.648495951454514E-2</v>
      </c>
      <c r="AK14" s="166">
        <f>'Calculation - Stage dist'!AM22</f>
        <v>3.440146734808569E-2</v>
      </c>
      <c r="AL14" s="166">
        <f>'Calculation - Stage dist'!AN22</f>
        <v>3.2317975181626241E-2</v>
      </c>
      <c r="AM14" s="167">
        <f>'Calculation - Stage dist'!AO22</f>
        <v>3.0234483015166791E-2</v>
      </c>
      <c r="AN14" s="166">
        <f>'Calculation - Stage dist'!AP22</f>
        <v>2.8150990848707341E-2</v>
      </c>
      <c r="AO14" s="166">
        <f>'Calculation - Stage dist'!AQ22</f>
        <v>1.4E-2</v>
      </c>
      <c r="AP14" s="166">
        <f>'Calculation - Stage dist'!AR22</f>
        <v>1.4E-2</v>
      </c>
      <c r="AQ14" s="166">
        <f>'Calculation - Stage dist'!AS22</f>
        <v>1.4E-2</v>
      </c>
      <c r="AR14" s="166">
        <f>'Calculation - Stage dist'!AT22</f>
        <v>1.4E-2</v>
      </c>
      <c r="AS14" s="166">
        <f>'Calculation - Stage dist'!AU22</f>
        <v>1.4E-2</v>
      </c>
      <c r="AT14" s="166">
        <f>'Calculation - Stage dist'!AV22</f>
        <v>1.4E-2</v>
      </c>
      <c r="AU14" s="166">
        <f>'Calculation - Stage dist'!AW22</f>
        <v>1.4E-2</v>
      </c>
      <c r="AV14" s="166">
        <f>'Calculation - Stage dist'!AX22</f>
        <v>1.4E-2</v>
      </c>
      <c r="AW14" s="166">
        <f>'Calculation - Stage dist'!AY22</f>
        <v>1.4E-2</v>
      </c>
      <c r="AX14" s="166">
        <f>'Calculation - Stage dist'!AZ22</f>
        <v>1.4E-2</v>
      </c>
      <c r="AY14" s="167">
        <f>'Calculation - Stage dist'!BA22</f>
        <v>1.4E-2</v>
      </c>
      <c r="AZ14" s="166">
        <f>'Calculation - Stage dist'!BB22</f>
        <v>1.4E-2</v>
      </c>
      <c r="BA14" s="166">
        <f>'Calculation - Stage dist'!BC22</f>
        <v>1.4E-2</v>
      </c>
      <c r="BB14" s="166">
        <f>'Calculation - Stage dist'!BD22</f>
        <v>1.4E-2</v>
      </c>
      <c r="BC14" s="166">
        <f>'Calculation - Stage dist'!BE22</f>
        <v>1.4E-2</v>
      </c>
      <c r="BD14" s="166">
        <f>'Calculation - Stage dist'!BF22</f>
        <v>1.4E-2</v>
      </c>
      <c r="BE14" s="166">
        <f>'Calculation - Stage dist'!BG22</f>
        <v>1.4E-2</v>
      </c>
      <c r="BF14" s="166">
        <f>'Calculation - Stage dist'!BH22</f>
        <v>1.4E-2</v>
      </c>
      <c r="BG14" s="166">
        <f>'Calculation - Stage dist'!BI22</f>
        <v>1.4E-2</v>
      </c>
      <c r="BH14" s="166">
        <f>'Calculation - Stage dist'!BJ22</f>
        <v>1.4E-2</v>
      </c>
      <c r="BI14" s="166">
        <f>'Calculation - Stage dist'!BK22</f>
        <v>1.4E-2</v>
      </c>
      <c r="BJ14" s="166">
        <f>'Calculation - Stage dist'!BL22</f>
        <v>1.4E-2</v>
      </c>
      <c r="BK14" s="167">
        <f>'Calculation - Stage dist'!BM22</f>
        <v>1.4E-2</v>
      </c>
    </row>
    <row r="15" spans="2:63" x14ac:dyDescent="0.35">
      <c r="B15" s="357" t="s">
        <v>155</v>
      </c>
      <c r="C15" s="1" t="s">
        <v>19</v>
      </c>
      <c r="D15" s="8">
        <f>'Input - GNPA'!C5</f>
        <v>804.83884313248996</v>
      </c>
      <c r="E15" s="9">
        <f>'Input - GNPA'!D5</f>
        <v>822.54179694711092</v>
      </c>
      <c r="F15" s="9">
        <f>'Input - GNPA'!E5</f>
        <v>840.64293088046259</v>
      </c>
      <c r="G15" s="9">
        <f>'Input - GNPA'!F5</f>
        <v>856.57987690278298</v>
      </c>
      <c r="H15" s="9">
        <f>'Input - GNPA'!G5</f>
        <v>865.8382914928485</v>
      </c>
      <c r="I15" s="9">
        <f>'Input - GNPA'!H5</f>
        <v>870.74730357426529</v>
      </c>
      <c r="J15" s="9">
        <f>'Input - GNPA'!I5</f>
        <v>871.37776175053489</v>
      </c>
      <c r="K15" s="9">
        <f>'Input - GNPA'!J5</f>
        <v>873.60298291510412</v>
      </c>
      <c r="L15" s="9">
        <f>'Input - GNPA'!K5</f>
        <v>872.09990760077278</v>
      </c>
      <c r="M15" s="9">
        <f>'Input - GNPA'!L5</f>
        <v>837.7648639268067</v>
      </c>
      <c r="N15" s="9">
        <f>'Input - GNPA'!M5</f>
        <v>801.86761414835382</v>
      </c>
      <c r="O15" s="9">
        <f>'Input - GNPA'!N5</f>
        <v>793.99477584688395</v>
      </c>
      <c r="P15" s="10">
        <f>'Input - GNPA'!O5</f>
        <v>785.41734244939539</v>
      </c>
      <c r="Q15" s="9">
        <f>'Input - GNPA'!P5</f>
        <v>777.7706722804943</v>
      </c>
      <c r="R15" s="9">
        <f>'Input - GNPA'!Q5</f>
        <v>772.88291214209653</v>
      </c>
      <c r="S15" s="9">
        <f>'Input - GNPA'!R5</f>
        <v>755.55394712369832</v>
      </c>
      <c r="T15" s="9">
        <f>'Input - GNPA'!S5</f>
        <v>756.85457260660746</v>
      </c>
      <c r="U15" s="9">
        <f>'Input - GNPA'!T5</f>
        <v>751.20940593070884</v>
      </c>
      <c r="V15" s="9">
        <f>'Input - GNPA'!U5</f>
        <v>741.20373858013113</v>
      </c>
      <c r="W15" s="9">
        <f>'Input - GNPA'!V5</f>
        <v>749.53107951877996</v>
      </c>
      <c r="X15" s="9">
        <f>'Input - GNPA'!W5</f>
        <v>753.54798693774512</v>
      </c>
      <c r="Y15" s="9">
        <f>'Input - GNPA'!X5</f>
        <v>752.55012125795145</v>
      </c>
      <c r="Z15" s="9">
        <f>'Input - GNPA'!Y5</f>
        <v>751.32448841105997</v>
      </c>
      <c r="AA15" s="9">
        <f>'Input - GNPA'!Z5</f>
        <v>747.81571143407109</v>
      </c>
      <c r="AB15" s="10">
        <f>'Input - GNPA'!AA5</f>
        <v>747.2969219572667</v>
      </c>
      <c r="AC15" s="9">
        <f>'Input - GNPA'!AB5</f>
        <v>743.05525530751265</v>
      </c>
      <c r="AD15" s="9">
        <f>'Input - GNPA'!AC5</f>
        <v>745.28434979962071</v>
      </c>
      <c r="AE15" s="9">
        <f>'Input - GNPA'!AD5</f>
        <v>743.75385345673158</v>
      </c>
      <c r="AF15" s="9">
        <f>'Input - GNPA'!AE5</f>
        <v>748.34574455375048</v>
      </c>
      <c r="AG15" s="9">
        <f>'Input - GNPA'!AF5</f>
        <v>756.93058423373532</v>
      </c>
      <c r="AH15" s="9">
        <f>'Input - GNPA'!AG5</f>
        <v>766.53356418853605</v>
      </c>
      <c r="AI15" s="9">
        <f>'Input - GNPA'!AH5</f>
        <v>774.24742886835759</v>
      </c>
      <c r="AJ15" s="9">
        <f>'Input - GNPA'!AI5</f>
        <v>777.74755544576976</v>
      </c>
      <c r="AK15" s="9">
        <f>'Input - GNPA'!AJ5</f>
        <v>782.89661580238976</v>
      </c>
      <c r="AL15" s="9">
        <f>'Input - GNPA'!AK5</f>
        <v>785.82774846272468</v>
      </c>
      <c r="AM15" s="10">
        <f>'Input - GNPA'!AL5</f>
        <v>784.66261505549653</v>
      </c>
      <c r="AN15" s="9">
        <f>'Input - GNPA'!AM5</f>
        <v>782.26208402958105</v>
      </c>
      <c r="AO15" s="9">
        <f>'Input - GNPA'!AN5</f>
        <v>806.00538756850233</v>
      </c>
      <c r="AP15" s="9">
        <f>'Input - GNPA'!AO5</f>
        <v>807.89465087511019</v>
      </c>
      <c r="AQ15" s="9">
        <f>'Input - GNPA'!AP5</f>
        <v>811.01685514627729</v>
      </c>
      <c r="AR15" s="9">
        <f>'Input - GNPA'!AQ5</f>
        <v>816.74020689153838</v>
      </c>
      <c r="AS15" s="9">
        <f>'Input - GNPA'!AR5</f>
        <v>826.82889818531169</v>
      </c>
      <c r="AT15" s="9">
        <f>'Input - GNPA'!AS5</f>
        <v>840.82982406380654</v>
      </c>
      <c r="AU15" s="9">
        <f>'Input - GNPA'!AT5</f>
        <v>857.56688417910527</v>
      </c>
      <c r="AV15" s="9">
        <f>'Input - GNPA'!AU5</f>
        <v>877.13059740414656</v>
      </c>
      <c r="AW15" s="9">
        <f>'Input - GNPA'!AV5</f>
        <v>898.18054236611829</v>
      </c>
      <c r="AX15" s="9">
        <f>'Input - GNPA'!AW5</f>
        <v>918.61840851782301</v>
      </c>
      <c r="AY15" s="10">
        <f>'Input - GNPA'!AX5</f>
        <v>938.9797266339242</v>
      </c>
      <c r="AZ15" s="9">
        <f>'Input - GNPA'!AY5</f>
        <v>958.6512612304075</v>
      </c>
      <c r="BA15" s="9">
        <f>'Input - GNPA'!AZ5</f>
        <v>0</v>
      </c>
      <c r="BB15" s="9">
        <f>'Input - GNPA'!BA5</f>
        <v>0</v>
      </c>
      <c r="BC15" s="9">
        <f>'Input - GNPA'!BB5</f>
        <v>0</v>
      </c>
      <c r="BD15" s="9">
        <f>'Input - GNPA'!BC5</f>
        <v>0</v>
      </c>
      <c r="BE15" s="9">
        <f>'Input - GNPA'!BD5</f>
        <v>0</v>
      </c>
      <c r="BF15" s="9">
        <f>'Input - GNPA'!BE5</f>
        <v>0</v>
      </c>
      <c r="BG15" s="9">
        <f>'Input - GNPA'!BF5</f>
        <v>0</v>
      </c>
      <c r="BH15" s="9">
        <f>'Input - GNPA'!BG5</f>
        <v>0</v>
      </c>
      <c r="BI15" s="9">
        <f>'Input - GNPA'!BH5</f>
        <v>0</v>
      </c>
      <c r="BJ15" s="9">
        <f>'Input - GNPA'!BI5</f>
        <v>0</v>
      </c>
      <c r="BK15" s="10">
        <f>'Input - GNPA'!BJ5</f>
        <v>0</v>
      </c>
    </row>
    <row r="16" spans="2:63" x14ac:dyDescent="0.35">
      <c r="B16" s="358"/>
      <c r="C16" s="3" t="s">
        <v>20</v>
      </c>
      <c r="D16" s="11">
        <f>D20*D18</f>
        <v>804.83884313248996</v>
      </c>
      <c r="E16" s="12">
        <f t="shared" ref="E16:BK16" si="61">E20*E18</f>
        <v>889.69986361979477</v>
      </c>
      <c r="F16" s="12">
        <f t="shared" si="61"/>
        <v>956.09914518360245</v>
      </c>
      <c r="G16" s="12">
        <f t="shared" si="61"/>
        <v>1021.6675556244608</v>
      </c>
      <c r="H16" s="12">
        <f t="shared" si="61"/>
        <v>1091.1910707835527</v>
      </c>
      <c r="I16" s="12">
        <f t="shared" si="61"/>
        <v>1159.4581919576476</v>
      </c>
      <c r="J16" s="12">
        <f t="shared" si="61"/>
        <v>1127.1071542650197</v>
      </c>
      <c r="K16" s="12">
        <f t="shared" si="61"/>
        <v>1206.2998433913742</v>
      </c>
      <c r="L16" s="12">
        <f t="shared" si="61"/>
        <v>1287.4250688844731</v>
      </c>
      <c r="M16" s="12">
        <f t="shared" si="61"/>
        <v>1211.2921826920494</v>
      </c>
      <c r="N16" s="12">
        <f t="shared" si="61"/>
        <v>1311.0776553299506</v>
      </c>
      <c r="O16" s="12">
        <f t="shared" si="61"/>
        <v>1200.4640056541064</v>
      </c>
      <c r="P16" s="13">
        <f t="shared" si="61"/>
        <v>1285.6356535590614</v>
      </c>
      <c r="Q16" s="12">
        <f t="shared" si="61"/>
        <v>1364.6706744185153</v>
      </c>
      <c r="R16" s="12">
        <f t="shared" si="61"/>
        <v>1460.5016095805447</v>
      </c>
      <c r="S16" s="12">
        <f t="shared" si="61"/>
        <v>1571.1723185891483</v>
      </c>
      <c r="T16" s="12">
        <f t="shared" si="61"/>
        <v>1681.7294807537062</v>
      </c>
      <c r="U16" s="12">
        <f t="shared" si="61"/>
        <v>1799.5783077104225</v>
      </c>
      <c r="V16" s="12">
        <f t="shared" si="61"/>
        <v>1926.5103748660927</v>
      </c>
      <c r="W16" s="12">
        <f t="shared" si="61"/>
        <v>1906.7258874791717</v>
      </c>
      <c r="X16" s="12">
        <f t="shared" si="61"/>
        <v>1894.3141873846434</v>
      </c>
      <c r="Y16" s="12">
        <f t="shared" si="61"/>
        <v>1643.8073357627734</v>
      </c>
      <c r="Z16" s="12">
        <f t="shared" si="61"/>
        <v>1660.3478362401213</v>
      </c>
      <c r="AA16" s="12">
        <f t="shared" si="61"/>
        <v>1439.0241950410618</v>
      </c>
      <c r="AB16" s="13">
        <f t="shared" si="61"/>
        <v>1470.3303290123351</v>
      </c>
      <c r="AC16" s="12">
        <f t="shared" si="61"/>
        <v>1441.029646050031</v>
      </c>
      <c r="AD16" s="12">
        <f t="shared" si="61"/>
        <v>1433.8823711155358</v>
      </c>
      <c r="AE16" s="12">
        <f t="shared" si="61"/>
        <v>1438.3004116165673</v>
      </c>
      <c r="AF16" s="12">
        <f t="shared" si="61"/>
        <v>1452.8694979139625</v>
      </c>
      <c r="AG16" s="12">
        <f t="shared" si="61"/>
        <v>1466.9950300696428</v>
      </c>
      <c r="AH16" s="12">
        <f t="shared" si="61"/>
        <v>1430.0846226754584</v>
      </c>
      <c r="AI16" s="12">
        <f t="shared" si="61"/>
        <v>1457.9975559658442</v>
      </c>
      <c r="AJ16" s="12">
        <f t="shared" si="61"/>
        <v>1483.0867923366809</v>
      </c>
      <c r="AK16" s="12">
        <f t="shared" si="61"/>
        <v>1355.6569867378107</v>
      </c>
      <c r="AL16" s="12">
        <f t="shared" si="61"/>
        <v>1375.3251187829906</v>
      </c>
      <c r="AM16" s="13">
        <f t="shared" si="61"/>
        <v>1248.1403844765396</v>
      </c>
      <c r="AN16" s="12">
        <f t="shared" si="61"/>
        <v>1254.4836778399351</v>
      </c>
      <c r="AO16" s="12" t="e">
        <f t="shared" si="61"/>
        <v>#DIV/0!</v>
      </c>
      <c r="AP16" s="12" t="e">
        <f t="shared" si="61"/>
        <v>#DIV/0!</v>
      </c>
      <c r="AQ16" s="12" t="e">
        <f t="shared" si="61"/>
        <v>#DIV/0!</v>
      </c>
      <c r="AR16" s="12" t="e">
        <f t="shared" si="61"/>
        <v>#DIV/0!</v>
      </c>
      <c r="AS16" s="12" t="e">
        <f t="shared" si="61"/>
        <v>#DIV/0!</v>
      </c>
      <c r="AT16" s="12" t="e">
        <f t="shared" si="61"/>
        <v>#DIV/0!</v>
      </c>
      <c r="AU16" s="12" t="e">
        <f t="shared" si="61"/>
        <v>#DIV/0!</v>
      </c>
      <c r="AV16" s="12" t="e">
        <f t="shared" si="61"/>
        <v>#DIV/0!</v>
      </c>
      <c r="AW16" s="12" t="e">
        <f t="shared" si="61"/>
        <v>#DIV/0!</v>
      </c>
      <c r="AX16" s="12" t="e">
        <f t="shared" si="61"/>
        <v>#DIV/0!</v>
      </c>
      <c r="AY16" s="13" t="e">
        <f t="shared" si="61"/>
        <v>#DIV/0!</v>
      </c>
      <c r="AZ16" s="12" t="e">
        <f t="shared" si="61"/>
        <v>#DIV/0!</v>
      </c>
      <c r="BA16" s="12" t="e">
        <f t="shared" si="61"/>
        <v>#DIV/0!</v>
      </c>
      <c r="BB16" s="12" t="e">
        <f t="shared" si="61"/>
        <v>#DIV/0!</v>
      </c>
      <c r="BC16" s="12" t="e">
        <f t="shared" si="61"/>
        <v>#DIV/0!</v>
      </c>
      <c r="BD16" s="12" t="e">
        <f t="shared" si="61"/>
        <v>#DIV/0!</v>
      </c>
      <c r="BE16" s="12" t="e">
        <f t="shared" si="61"/>
        <v>#DIV/0!</v>
      </c>
      <c r="BF16" s="12" t="e">
        <f t="shared" si="61"/>
        <v>#DIV/0!</v>
      </c>
      <c r="BG16" s="12" t="e">
        <f t="shared" si="61"/>
        <v>#DIV/0!</v>
      </c>
      <c r="BH16" s="12" t="e">
        <f t="shared" si="61"/>
        <v>#DIV/0!</v>
      </c>
      <c r="BI16" s="12" t="e">
        <f t="shared" si="61"/>
        <v>#DIV/0!</v>
      </c>
      <c r="BJ16" s="12" t="e">
        <f t="shared" si="61"/>
        <v>#DIV/0!</v>
      </c>
      <c r="BK16" s="13" t="e">
        <f t="shared" si="61"/>
        <v>#DIV/0!</v>
      </c>
    </row>
    <row r="17" spans="2:63" x14ac:dyDescent="0.35">
      <c r="B17" s="357" t="s">
        <v>89</v>
      </c>
      <c r="C17" s="1" t="s">
        <v>19</v>
      </c>
      <c r="D17" s="8">
        <f>'Input - ENR'!C11</f>
        <v>19204.151739359146</v>
      </c>
      <c r="E17" s="9">
        <f>'Input - ENR'!D11</f>
        <v>19852.382525258636</v>
      </c>
      <c r="F17" s="9">
        <f>'Input - ENR'!E11</f>
        <v>20619.083853420918</v>
      </c>
      <c r="G17" s="9">
        <f>'Input - ENR'!F11</f>
        <v>19514.623175547731</v>
      </c>
      <c r="H17" s="9">
        <f>'Input - ENR'!G11</f>
        <v>20461.874564878537</v>
      </c>
      <c r="I17" s="9">
        <f>'Input - ENR'!H11</f>
        <v>21525.575329686973</v>
      </c>
      <c r="J17" s="9">
        <f>'Input - ENR'!I11</f>
        <v>20739.460220896093</v>
      </c>
      <c r="K17" s="9">
        <f>'Input - ENR'!J11</f>
        <v>21885.919031153495</v>
      </c>
      <c r="L17" s="9">
        <f>'Input - ENR'!K11</f>
        <v>23209.773268979588</v>
      </c>
      <c r="M17" s="9">
        <f>'Input - ENR'!L11</f>
        <v>21707.215355682954</v>
      </c>
      <c r="N17" s="9">
        <f>'Input - ENR'!M11</f>
        <v>23211.35519479627</v>
      </c>
      <c r="O17" s="9">
        <f>'Input - ENR'!N11</f>
        <v>21812.747575996029</v>
      </c>
      <c r="P17" s="10">
        <f>'Input - ENR'!O11</f>
        <v>23500.450646729885</v>
      </c>
      <c r="Q17" s="9">
        <f>'Input - ENR'!P11</f>
        <v>24315.756412761082</v>
      </c>
      <c r="R17" s="9">
        <f>'Input - ENR'!Q11</f>
        <v>25271.391036590077</v>
      </c>
      <c r="S17" s="9">
        <f>'Input - ENR'!R11</f>
        <v>23863.708298063855</v>
      </c>
      <c r="T17" s="9">
        <f>'Input - ENR'!S11</f>
        <v>25062.899061104774</v>
      </c>
      <c r="U17" s="9">
        <f>'Input - ENR'!T11</f>
        <v>26387.313380458108</v>
      </c>
      <c r="V17" s="9">
        <f>'Input - ENR'!U11</f>
        <v>25396.755451963749</v>
      </c>
      <c r="W17" s="9">
        <f>'Input - ENR'!V11</f>
        <v>26841.456994980294</v>
      </c>
      <c r="X17" s="9">
        <f>'Input - ENR'!W11</f>
        <v>28514.175528588748</v>
      </c>
      <c r="Y17" s="9">
        <f>'Input - ENR'!X11</f>
        <v>27404.885552551634</v>
      </c>
      <c r="Z17" s="9">
        <f>'Input - ENR'!Y11</f>
        <v>29315.981659931447</v>
      </c>
      <c r="AA17" s="9">
        <f>'Input - ENR'!Z11</f>
        <v>28265.072790779908</v>
      </c>
      <c r="AB17" s="10">
        <f>'Input - ENR'!AA11</f>
        <v>30322.580152624301</v>
      </c>
      <c r="AC17" s="9">
        <f>'Input - ENR'!AB11</f>
        <v>31235.808587323801</v>
      </c>
      <c r="AD17" s="9">
        <f>'Input - ENR'!AC11</f>
        <v>32312.83896977792</v>
      </c>
      <c r="AE17" s="9">
        <f>'Input - ENR'!AD11</f>
        <v>30556.771655443572</v>
      </c>
      <c r="AF17" s="9">
        <f>'Input - ENR'!AE11</f>
        <v>31906.784346289282</v>
      </c>
      <c r="AG17" s="9">
        <f>'Input - ENR'!AF11</f>
        <v>33410.3879316288</v>
      </c>
      <c r="AH17" s="9">
        <f>'Input - ENR'!AG11</f>
        <v>32124.717911760865</v>
      </c>
      <c r="AI17" s="9">
        <f>'Input - ENR'!AH11</f>
        <v>33761.615423892094</v>
      </c>
      <c r="AJ17" s="9">
        <f>'Input - ENR'!AI11</f>
        <v>35635.370190117668</v>
      </c>
      <c r="AK17" s="9">
        <f>'Input - ENR'!AJ11</f>
        <v>34756.224437262972</v>
      </c>
      <c r="AL17" s="9">
        <f>'Input - ENR'!AK11</f>
        <v>36918.598828743663</v>
      </c>
      <c r="AM17" s="10">
        <f>'Input - ENR'!AL11</f>
        <v>36109.231457043752</v>
      </c>
      <c r="AN17" s="9">
        <f>'Input - ENR'!AM11</f>
        <v>38420.322271242687</v>
      </c>
      <c r="AO17" s="9">
        <f>'Input - ENR'!AN11</f>
        <v>0</v>
      </c>
      <c r="AP17" s="9">
        <f>'Input - ENR'!AO11</f>
        <v>0</v>
      </c>
      <c r="AQ17" s="9">
        <f>'Input - ENR'!AP11</f>
        <v>0</v>
      </c>
      <c r="AR17" s="9">
        <f>'Input - ENR'!AQ11</f>
        <v>0</v>
      </c>
      <c r="AS17" s="9">
        <f>'Input - ENR'!AR11</f>
        <v>0</v>
      </c>
      <c r="AT17" s="9">
        <f>'Input - ENR'!AS11</f>
        <v>0</v>
      </c>
      <c r="AU17" s="9">
        <f>'Input - ENR'!AT11</f>
        <v>0</v>
      </c>
      <c r="AV17" s="9">
        <f>'Input - ENR'!AU11</f>
        <v>0</v>
      </c>
      <c r="AW17" s="9">
        <f>'Input - ENR'!AV11</f>
        <v>0</v>
      </c>
      <c r="AX17" s="9">
        <f>'Input - ENR'!AW11</f>
        <v>0</v>
      </c>
      <c r="AY17" s="10">
        <f>'Input - ENR'!AX11</f>
        <v>0</v>
      </c>
      <c r="AZ17" s="9">
        <f>'Input - ENR'!AY11</f>
        <v>0</v>
      </c>
      <c r="BA17" s="9">
        <f>'Input - ENR'!AZ11</f>
        <v>0</v>
      </c>
      <c r="BB17" s="9">
        <f>'Input - ENR'!BA11</f>
        <v>0</v>
      </c>
      <c r="BC17" s="9">
        <f>'Input - ENR'!BB11</f>
        <v>0</v>
      </c>
      <c r="BD17" s="9">
        <f>'Input - ENR'!BC11</f>
        <v>0</v>
      </c>
      <c r="BE17" s="9">
        <f>'Input - ENR'!BD11</f>
        <v>0</v>
      </c>
      <c r="BF17" s="9">
        <f>'Input - ENR'!BE11</f>
        <v>0</v>
      </c>
      <c r="BG17" s="9">
        <f>'Input - ENR'!BF11</f>
        <v>0</v>
      </c>
      <c r="BH17" s="9">
        <f>'Input - ENR'!BG11</f>
        <v>0</v>
      </c>
      <c r="BI17" s="9">
        <f>'Input - ENR'!BH11</f>
        <v>0</v>
      </c>
      <c r="BJ17" s="9">
        <f>'Input - ENR'!BI11</f>
        <v>0</v>
      </c>
      <c r="BK17" s="10">
        <f>'Input - ENR'!BJ11</f>
        <v>0</v>
      </c>
    </row>
    <row r="18" spans="2:63" x14ac:dyDescent="0.35">
      <c r="B18" s="358"/>
      <c r="C18" s="3" t="s">
        <v>20</v>
      </c>
      <c r="D18" s="11">
        <f>'Calculation - Stagewise ECL'!C31</f>
        <v>19204.151739359146</v>
      </c>
      <c r="E18" s="12">
        <f>'Calculation - Stagewise ECL'!D31</f>
        <v>20089.603841116816</v>
      </c>
      <c r="F18" s="12">
        <f>'Calculation - Stagewise ECL'!E31</f>
        <v>20678.004038967825</v>
      </c>
      <c r="G18" s="12">
        <f>'Calculation - Stagewise ECL'!F31</f>
        <v>21279.429785606124</v>
      </c>
      <c r="H18" s="12">
        <f>'Calculation - Stagewise ECL'!G31</f>
        <v>21876.990005781758</v>
      </c>
      <c r="I18" s="12">
        <f>'Calculation - Stagewise ECL'!H31</f>
        <v>22499.637773574093</v>
      </c>
      <c r="J18" s="12">
        <f>'Calculation - Stagewise ECL'!I31</f>
        <v>21190.74807073547</v>
      </c>
      <c r="K18" s="12">
        <f>'Calculation - Stagewise ECL'!J31</f>
        <v>21699.963470665683</v>
      </c>
      <c r="L18" s="12">
        <f>'Calculation - Stagewise ECL'!K31</f>
        <v>22269.642113538059</v>
      </c>
      <c r="M18" s="12">
        <f>'Calculation - Stagewise ECL'!L31</f>
        <v>19904.289315869606</v>
      </c>
      <c r="N18" s="12">
        <f>'Calculation - Stagewise ECL'!M31</f>
        <v>20483.331194851879</v>
      </c>
      <c r="O18" s="12">
        <f>'Calculation - Stagewise ECL'!N31</f>
        <v>18133.375433198205</v>
      </c>
      <c r="P18" s="13">
        <f>'Calculation - Stagewise ECL'!O31</f>
        <v>18786.779263864355</v>
      </c>
      <c r="Q18" s="12">
        <f>'Calculation - Stagewise ECL'!P31</f>
        <v>18997.1510143956</v>
      </c>
      <c r="R18" s="12">
        <f>'Calculation - Stagewise ECL'!Q31</f>
        <v>19239.466353564312</v>
      </c>
      <c r="S18" s="12">
        <f>'Calculation - Stagewise ECL'!R31</f>
        <v>19479.292850746329</v>
      </c>
      <c r="T18" s="12">
        <f>'Calculation - Stagewise ECL'!S31</f>
        <v>19756.185708359066</v>
      </c>
      <c r="U18" s="12">
        <f>'Calculation - Stagewise ECL'!T31</f>
        <v>20052.9133269417</v>
      </c>
      <c r="V18" s="12">
        <f>'Calculation - Stagewise ECL'!U31</f>
        <v>20373.131562739232</v>
      </c>
      <c r="W18" s="12">
        <f>'Calculation - Stagewise ECL'!V31</f>
        <v>20753.254002126072</v>
      </c>
      <c r="X18" s="12">
        <f>'Calculation - Stagewise ECL'!W31</f>
        <v>21301.765466864206</v>
      </c>
      <c r="Y18" s="12">
        <f>'Calculation - Stagewise ECL'!X31</f>
        <v>19062.670669208772</v>
      </c>
      <c r="Z18" s="12">
        <f>'Calculation - Stagewise ECL'!Y31</f>
        <v>19919.088188471454</v>
      </c>
      <c r="AA18" s="12">
        <f>'Calculation - Stagewise ECL'!Z31</f>
        <v>17918.109002383266</v>
      </c>
      <c r="AB18" s="13">
        <f>'Calculation - Stagewise ECL'!AA31</f>
        <v>19064.450525721099</v>
      </c>
      <c r="AC18" s="12">
        <f>'Calculation - Stagewise ECL'!AB31</f>
        <v>19625.877617859427</v>
      </c>
      <c r="AD18" s="12">
        <f>'Calculation - Stagewise ECL'!AC31</f>
        <v>20364.692096150891</v>
      </c>
      <c r="AE18" s="12">
        <f>'Calculation - Stagewise ECL'!AD31</f>
        <v>21245.725875119268</v>
      </c>
      <c r="AF18" s="12">
        <f>'Calculation - Stagewise ECL'!AE31</f>
        <v>22298.596122434672</v>
      </c>
      <c r="AG18" s="12">
        <f>'Calculation - Stagewise ECL'!AF31</f>
        <v>23573.635719040012</v>
      </c>
      <c r="AH18" s="12">
        <f>'Calculation - Stagewise ECL'!AG31</f>
        <v>24128.815278255872</v>
      </c>
      <c r="AI18" s="12">
        <f>'Calculation - Stagewise ECL'!AH31</f>
        <v>25797.845075483609</v>
      </c>
      <c r="AJ18" s="12">
        <f>'Calculation - Stagewise ECL'!AI31</f>
        <v>27708.108679322497</v>
      </c>
      <c r="AK18" s="12">
        <f>'Calculation - Stagewise ECL'!AJ31</f>
        <v>26869.735539128724</v>
      </c>
      <c r="AL18" s="12">
        <f>'Calculation - Stagewise ECL'!AK31</f>
        <v>29072.50226009059</v>
      </c>
      <c r="AM18" s="13">
        <f>'Calculation - Stagewise ECL'!AL31</f>
        <v>28308.083336390115</v>
      </c>
      <c r="AN18" s="12">
        <f>'Calculation - Stagewise ECL'!AM31</f>
        <v>30668.489788218794</v>
      </c>
      <c r="AO18" s="12">
        <f>'Calculation - Stagewise ECL'!AN31</f>
        <v>0</v>
      </c>
      <c r="AP18" s="12">
        <f>'Calculation - Stagewise ECL'!AO31</f>
        <v>0</v>
      </c>
      <c r="AQ18" s="12">
        <f>'Calculation - Stagewise ECL'!AP31</f>
        <v>0</v>
      </c>
      <c r="AR18" s="12">
        <f>'Calculation - Stagewise ECL'!AQ31</f>
        <v>0</v>
      </c>
      <c r="AS18" s="12">
        <f>'Calculation - Stagewise ECL'!AR31</f>
        <v>0</v>
      </c>
      <c r="AT18" s="12">
        <f>'Calculation - Stagewise ECL'!AS31</f>
        <v>0</v>
      </c>
      <c r="AU18" s="12">
        <f>'Calculation - Stagewise ECL'!AT31</f>
        <v>0</v>
      </c>
      <c r="AV18" s="12">
        <f>'Calculation - Stagewise ECL'!AU31</f>
        <v>0</v>
      </c>
      <c r="AW18" s="12">
        <f>'Calculation - Stagewise ECL'!AV31</f>
        <v>0</v>
      </c>
      <c r="AX18" s="12">
        <f>'Calculation - Stagewise ECL'!AW31</f>
        <v>0</v>
      </c>
      <c r="AY18" s="13">
        <f>'Calculation - Stagewise ECL'!AX31</f>
        <v>0</v>
      </c>
      <c r="AZ18" s="12">
        <f>'Calculation - Stagewise ECL'!AY31</f>
        <v>0</v>
      </c>
      <c r="BA18" s="12">
        <f>'Calculation - Stagewise ECL'!AZ31</f>
        <v>0</v>
      </c>
      <c r="BB18" s="12">
        <f>'Calculation - Stagewise ECL'!BA31</f>
        <v>0</v>
      </c>
      <c r="BC18" s="12">
        <f>'Calculation - Stagewise ECL'!BB31</f>
        <v>0</v>
      </c>
      <c r="BD18" s="12">
        <f>'Calculation - Stagewise ECL'!BC31</f>
        <v>0</v>
      </c>
      <c r="BE18" s="12">
        <f>'Calculation - Stagewise ECL'!BD31</f>
        <v>0</v>
      </c>
      <c r="BF18" s="12">
        <f>'Calculation - Stagewise ECL'!BE31</f>
        <v>0</v>
      </c>
      <c r="BG18" s="12">
        <f>'Calculation - Stagewise ECL'!BF31</f>
        <v>0</v>
      </c>
      <c r="BH18" s="12">
        <f>'Calculation - Stagewise ECL'!BG31</f>
        <v>0</v>
      </c>
      <c r="BI18" s="12">
        <f>'Calculation - Stagewise ECL'!BH31</f>
        <v>0</v>
      </c>
      <c r="BJ18" s="12">
        <f>'Calculation - Stagewise ECL'!BI31</f>
        <v>0</v>
      </c>
      <c r="BK18" s="13">
        <f>'Calculation - Stagewise ECL'!BJ31</f>
        <v>0</v>
      </c>
    </row>
    <row r="19" spans="2:63" x14ac:dyDescent="0.35">
      <c r="B19" s="357" t="s">
        <v>156</v>
      </c>
      <c r="C19" s="1" t="s">
        <v>19</v>
      </c>
      <c r="D19" s="162">
        <f>D15/D17</f>
        <v>4.1909627358492636E-2</v>
      </c>
      <c r="E19" s="163">
        <f t="shared" ref="E19:BK19" si="62">E15/E17</f>
        <v>4.1432900857142581E-2</v>
      </c>
      <c r="F19" s="163">
        <f t="shared" si="62"/>
        <v>4.0770139781986063E-2</v>
      </c>
      <c r="G19" s="163">
        <f t="shared" si="62"/>
        <v>4.3894256588879313E-2</v>
      </c>
      <c r="H19" s="163">
        <f t="shared" si="62"/>
        <v>4.2314710157543581E-2</v>
      </c>
      <c r="I19" s="163">
        <f t="shared" si="62"/>
        <v>4.0451755190644083E-2</v>
      </c>
      <c r="J19" s="163">
        <f t="shared" si="62"/>
        <v>4.2015450376696697E-2</v>
      </c>
      <c r="K19" s="163">
        <f t="shared" si="62"/>
        <v>3.9916211956718593E-2</v>
      </c>
      <c r="L19" s="163">
        <f t="shared" si="62"/>
        <v>3.7574684487174846E-2</v>
      </c>
      <c r="M19" s="163">
        <f t="shared" si="62"/>
        <v>3.8593843116200517E-2</v>
      </c>
      <c r="N19" s="163">
        <f t="shared" si="62"/>
        <v>3.4546350586549285E-2</v>
      </c>
      <c r="O19" s="163">
        <f t="shared" si="62"/>
        <v>3.6400493476605414E-2</v>
      </c>
      <c r="P19" s="164">
        <f t="shared" si="62"/>
        <v>3.342137366879333E-2</v>
      </c>
      <c r="Q19" s="163">
        <f t="shared" si="62"/>
        <v>3.198628325920861E-2</v>
      </c>
      <c r="R19" s="163">
        <f t="shared" si="62"/>
        <v>3.0583314983455033E-2</v>
      </c>
      <c r="S19" s="163">
        <f t="shared" si="62"/>
        <v>3.1661212821018227E-2</v>
      </c>
      <c r="T19" s="163">
        <f t="shared" si="62"/>
        <v>3.0198205353712392E-2</v>
      </c>
      <c r="U19" s="163">
        <f t="shared" si="62"/>
        <v>2.8468582424425171E-2</v>
      </c>
      <c r="V19" s="163">
        <f t="shared" si="62"/>
        <v>2.9184977584324423E-2</v>
      </c>
      <c r="W19" s="163">
        <f t="shared" si="62"/>
        <v>2.792438129044009E-2</v>
      </c>
      <c r="X19" s="163">
        <f t="shared" si="62"/>
        <v>2.6427135730515035E-2</v>
      </c>
      <c r="Y19" s="163">
        <f t="shared" si="62"/>
        <v>2.7460436563942609E-2</v>
      </c>
      <c r="Z19" s="163">
        <f t="shared" si="62"/>
        <v>2.5628494966551185E-2</v>
      </c>
      <c r="AA19" s="163">
        <f t="shared" si="62"/>
        <v>2.6457236355605963E-2</v>
      </c>
      <c r="AB19" s="164">
        <f t="shared" si="62"/>
        <v>2.4644898890393108E-2</v>
      </c>
      <c r="AC19" s="163">
        <f t="shared" si="62"/>
        <v>2.3788571159610104E-2</v>
      </c>
      <c r="AD19" s="163">
        <f t="shared" si="62"/>
        <v>2.3064650880620003E-2</v>
      </c>
      <c r="AE19" s="163">
        <f t="shared" si="62"/>
        <v>2.4340066478332787E-2</v>
      </c>
      <c r="AF19" s="163">
        <f t="shared" si="62"/>
        <v>2.3454126132920132E-2</v>
      </c>
      <c r="AG19" s="163">
        <f t="shared" si="62"/>
        <v>2.265554610687916E-2</v>
      </c>
      <c r="AH19" s="163">
        <f t="shared" si="62"/>
        <v>2.3861176502592975E-2</v>
      </c>
      <c r="AI19" s="163">
        <f t="shared" si="62"/>
        <v>2.2932772000016494E-2</v>
      </c>
      <c r="AJ19" s="163">
        <f t="shared" si="62"/>
        <v>2.1825157176603521E-2</v>
      </c>
      <c r="AK19" s="163">
        <f t="shared" si="62"/>
        <v>2.252536426145953E-2</v>
      </c>
      <c r="AL19" s="163">
        <f t="shared" si="62"/>
        <v>2.1285416386141499E-2</v>
      </c>
      <c r="AM19" s="164">
        <f t="shared" si="62"/>
        <v>2.1730249672828029E-2</v>
      </c>
      <c r="AN19" s="163">
        <f t="shared" si="62"/>
        <v>2.0360633065670514E-2</v>
      </c>
      <c r="AO19" s="163" t="e">
        <f t="shared" si="62"/>
        <v>#DIV/0!</v>
      </c>
      <c r="AP19" s="163" t="e">
        <f t="shared" si="62"/>
        <v>#DIV/0!</v>
      </c>
      <c r="AQ19" s="163" t="e">
        <f t="shared" si="62"/>
        <v>#DIV/0!</v>
      </c>
      <c r="AR19" s="163" t="e">
        <f t="shared" si="62"/>
        <v>#DIV/0!</v>
      </c>
      <c r="AS19" s="163" t="e">
        <f t="shared" si="62"/>
        <v>#DIV/0!</v>
      </c>
      <c r="AT19" s="163" t="e">
        <f t="shared" si="62"/>
        <v>#DIV/0!</v>
      </c>
      <c r="AU19" s="163" t="e">
        <f t="shared" si="62"/>
        <v>#DIV/0!</v>
      </c>
      <c r="AV19" s="163" t="e">
        <f t="shared" si="62"/>
        <v>#DIV/0!</v>
      </c>
      <c r="AW19" s="163" t="e">
        <f t="shared" si="62"/>
        <v>#DIV/0!</v>
      </c>
      <c r="AX19" s="163" t="e">
        <f t="shared" si="62"/>
        <v>#DIV/0!</v>
      </c>
      <c r="AY19" s="164" t="e">
        <f t="shared" si="62"/>
        <v>#DIV/0!</v>
      </c>
      <c r="AZ19" s="163" t="e">
        <f t="shared" si="62"/>
        <v>#DIV/0!</v>
      </c>
      <c r="BA19" s="163" t="e">
        <f t="shared" si="62"/>
        <v>#DIV/0!</v>
      </c>
      <c r="BB19" s="163" t="e">
        <f t="shared" si="62"/>
        <v>#DIV/0!</v>
      </c>
      <c r="BC19" s="163" t="e">
        <f t="shared" si="62"/>
        <v>#DIV/0!</v>
      </c>
      <c r="BD19" s="163" t="e">
        <f t="shared" si="62"/>
        <v>#DIV/0!</v>
      </c>
      <c r="BE19" s="163" t="e">
        <f t="shared" si="62"/>
        <v>#DIV/0!</v>
      </c>
      <c r="BF19" s="163" t="e">
        <f t="shared" si="62"/>
        <v>#DIV/0!</v>
      </c>
      <c r="BG19" s="163" t="e">
        <f t="shared" si="62"/>
        <v>#DIV/0!</v>
      </c>
      <c r="BH19" s="163" t="e">
        <f t="shared" si="62"/>
        <v>#DIV/0!</v>
      </c>
      <c r="BI19" s="163" t="e">
        <f t="shared" si="62"/>
        <v>#DIV/0!</v>
      </c>
      <c r="BJ19" s="163" t="e">
        <f t="shared" si="62"/>
        <v>#DIV/0!</v>
      </c>
      <c r="BK19" s="164" t="e">
        <f t="shared" si="62"/>
        <v>#DIV/0!</v>
      </c>
    </row>
    <row r="20" spans="2:63" x14ac:dyDescent="0.35">
      <c r="B20" s="358"/>
      <c r="C20" s="3" t="s">
        <v>20</v>
      </c>
      <c r="D20" s="165">
        <f>(D14/D13)*D19</f>
        <v>4.1909627358492636E-2</v>
      </c>
      <c r="E20" s="166">
        <f t="shared" ref="E20" si="63">(E14/E13)*E19</f>
        <v>4.4286580793538179E-2</v>
      </c>
      <c r="F20" s="166">
        <f t="shared" ref="F20" si="64">(F14/F13)*F19</f>
        <v>4.6237496780725439E-2</v>
      </c>
      <c r="G20" s="166">
        <f t="shared" ref="G20" si="65">(G14/G13)*G19</f>
        <v>4.8011979922297505E-2</v>
      </c>
      <c r="H20" s="166">
        <f t="shared" ref="H20" si="66">(H14/H13)*H19</f>
        <v>4.9878482848653649E-2</v>
      </c>
      <c r="I20" s="166">
        <f t="shared" ref="I20" si="67">(I14/I13)*I19</f>
        <v>5.1532304814232856E-2</v>
      </c>
      <c r="J20" s="166">
        <f t="shared" ref="J20" si="68">(J14/J13)*J19</f>
        <v>5.3188643954554887E-2</v>
      </c>
      <c r="K20" s="166">
        <f t="shared" ref="K20" si="69">(K14/K13)*K19</f>
        <v>5.5589948113141635E-2</v>
      </c>
      <c r="L20" s="166">
        <f t="shared" ref="L20" si="70">(L14/L13)*L19</f>
        <v>5.7810765988997537E-2</v>
      </c>
      <c r="M20" s="166">
        <f t="shared" ref="M20" si="71">(M14/M13)*M19</f>
        <v>6.0855836823387167E-2</v>
      </c>
      <c r="N20" s="166">
        <f t="shared" ref="N20" si="72">(N14/N13)*N19</f>
        <v>6.400705250811288E-2</v>
      </c>
      <c r="O20" s="166">
        <f t="shared" ref="O20" si="73">(O14/O13)*O19</f>
        <v>6.6201905435450362E-2</v>
      </c>
      <c r="P20" s="167">
        <f t="shared" ref="P20" si="74">(P14/P13)*P19</f>
        <v>6.8432999371634287E-2</v>
      </c>
      <c r="Q20" s="166">
        <f t="shared" ref="Q20" si="75">(Q14/Q13)*Q19</f>
        <v>7.1835543834146476E-2</v>
      </c>
      <c r="R20" s="166">
        <f t="shared" ref="R20" si="76">(R14/R13)*R19</f>
        <v>7.5911752578832398E-2</v>
      </c>
      <c r="S20" s="166">
        <f t="shared" ref="S20" si="77">(S14/S13)*S19</f>
        <v>8.0658591183352446E-2</v>
      </c>
      <c r="T20" s="166">
        <f t="shared" ref="T20" si="78">(T14/T13)*T19</f>
        <v>8.5124198849889698E-2</v>
      </c>
      <c r="U20" s="166">
        <f t="shared" ref="U20" si="79">(U14/U13)*U19</f>
        <v>8.9741489347217901E-2</v>
      </c>
      <c r="V20" s="166">
        <f t="shared" ref="V20" si="80">(V14/V13)*V19</f>
        <v>9.4561327939859788E-2</v>
      </c>
      <c r="W20" s="166">
        <f t="shared" ref="W20" si="81">(W14/W13)*W19</f>
        <v>9.1875996279129846E-2</v>
      </c>
      <c r="X20" s="166">
        <f t="shared" ref="X20" si="82">(X14/X13)*X19</f>
        <v>8.8927567545109304E-2</v>
      </c>
      <c r="Y20" s="166">
        <f t="shared" ref="Y20" si="83">(Y14/Y13)*Y19</f>
        <v>8.6231743929666413E-2</v>
      </c>
      <c r="Z20" s="166">
        <f t="shared" ref="Z20" si="84">(Z14/Z13)*Z19</f>
        <v>8.3354610438497817E-2</v>
      </c>
      <c r="AA20" s="166">
        <f t="shared" ref="AA20" si="85">(AA14/AA13)*AA19</f>
        <v>8.0311164244489142E-2</v>
      </c>
      <c r="AB20" s="167">
        <f t="shared" ref="AB20" si="86">(AB14/AB13)*AB19</f>
        <v>7.7124191280971685E-2</v>
      </c>
      <c r="AC20" s="166">
        <f t="shared" ref="AC20" si="87">(AC14/AC13)*AC19</f>
        <v>7.3424978699485166E-2</v>
      </c>
      <c r="AD20" s="166">
        <f t="shared" ref="AD20" si="88">(AD14/AD13)*AD19</f>
        <v>7.0410216090944597E-2</v>
      </c>
      <c r="AE20" s="166">
        <f t="shared" ref="AE20" si="89">(AE14/AE13)*AE19</f>
        <v>6.769834177804919E-2</v>
      </c>
      <c r="AF20" s="166">
        <f t="shared" ref="AF20" si="90">(AF14/AF13)*AF19</f>
        <v>6.5155200351479842E-2</v>
      </c>
      <c r="AG20" s="166">
        <f t="shared" ref="AG20" si="91">(AG14/AG13)*AG19</f>
        <v>6.2230325756869848E-2</v>
      </c>
      <c r="AH20" s="166">
        <f t="shared" ref="AH20" si="92">(AH14/AH13)*AH19</f>
        <v>5.9268745944779377E-2</v>
      </c>
      <c r="AI20" s="166">
        <f t="shared" ref="AI20" si="93">(AI14/AI13)*AI19</f>
        <v>5.6516253652186585E-2</v>
      </c>
      <c r="AJ20" s="166">
        <f t="shared" ref="AJ20" si="94">(AJ14/AJ13)*AJ19</f>
        <v>5.3525370840033261E-2</v>
      </c>
      <c r="AK20" s="166">
        <f t="shared" ref="AK20" si="95">(AK14/AK13)*AK19</f>
        <v>5.0452933738914241E-2</v>
      </c>
      <c r="AL20" s="166">
        <f t="shared" ref="AL20" si="96">(AL14/AL13)*AL19</f>
        <v>4.730673357521669E-2</v>
      </c>
      <c r="AM20" s="167">
        <f t="shared" ref="AM20" si="97">(AM14/AM13)*AM19</f>
        <v>4.4091306700091981E-2</v>
      </c>
      <c r="AN20" s="166">
        <f t="shared" ref="AN20" si="98">(AN14/AN13)*AN19</f>
        <v>4.0904644685889981E-2</v>
      </c>
      <c r="AO20" s="166" t="e">
        <f t="shared" ref="AO20" si="99">(AO14/AO13)*AO19</f>
        <v>#DIV/0!</v>
      </c>
      <c r="AP20" s="166" t="e">
        <f t="shared" ref="AP20" si="100">(AP14/AP13)*AP19</f>
        <v>#DIV/0!</v>
      </c>
      <c r="AQ20" s="166" t="e">
        <f t="shared" ref="AQ20" si="101">(AQ14/AQ13)*AQ19</f>
        <v>#DIV/0!</v>
      </c>
      <c r="AR20" s="166" t="e">
        <f t="shared" ref="AR20" si="102">(AR14/AR13)*AR19</f>
        <v>#DIV/0!</v>
      </c>
      <c r="AS20" s="166" t="e">
        <f t="shared" ref="AS20" si="103">(AS14/AS13)*AS19</f>
        <v>#DIV/0!</v>
      </c>
      <c r="AT20" s="166" t="e">
        <f t="shared" ref="AT20" si="104">(AT14/AT13)*AT19</f>
        <v>#DIV/0!</v>
      </c>
      <c r="AU20" s="166" t="e">
        <f t="shared" ref="AU20" si="105">(AU14/AU13)*AU19</f>
        <v>#DIV/0!</v>
      </c>
      <c r="AV20" s="166" t="e">
        <f t="shared" ref="AV20" si="106">(AV14/AV13)*AV19</f>
        <v>#DIV/0!</v>
      </c>
      <c r="AW20" s="166" t="e">
        <f t="shared" ref="AW20" si="107">(AW14/AW13)*AW19</f>
        <v>#DIV/0!</v>
      </c>
      <c r="AX20" s="166" t="e">
        <f t="shared" ref="AX20" si="108">(AX14/AX13)*AX19</f>
        <v>#DIV/0!</v>
      </c>
      <c r="AY20" s="167" t="e">
        <f t="shared" ref="AY20" si="109">(AY14/AY13)*AY19</f>
        <v>#DIV/0!</v>
      </c>
      <c r="AZ20" s="166" t="e">
        <f t="shared" ref="AZ20" si="110">(AZ14/AZ13)*AZ19</f>
        <v>#DIV/0!</v>
      </c>
      <c r="BA20" s="166" t="e">
        <f t="shared" ref="BA20" si="111">(BA14/BA13)*BA19</f>
        <v>#DIV/0!</v>
      </c>
      <c r="BB20" s="166" t="e">
        <f t="shared" ref="BB20" si="112">(BB14/BB13)*BB19</f>
        <v>#DIV/0!</v>
      </c>
      <c r="BC20" s="166" t="e">
        <f t="shared" ref="BC20" si="113">(BC14/BC13)*BC19</f>
        <v>#DIV/0!</v>
      </c>
      <c r="BD20" s="166" t="e">
        <f t="shared" ref="BD20" si="114">(BD14/BD13)*BD19</f>
        <v>#DIV/0!</v>
      </c>
      <c r="BE20" s="166" t="e">
        <f t="shared" ref="BE20" si="115">(BE14/BE13)*BE19</f>
        <v>#DIV/0!</v>
      </c>
      <c r="BF20" s="166" t="e">
        <f t="shared" ref="BF20" si="116">(BF14/BF13)*BF19</f>
        <v>#DIV/0!</v>
      </c>
      <c r="BG20" s="166" t="e">
        <f t="shared" ref="BG20" si="117">(BG14/BG13)*BG19</f>
        <v>#DIV/0!</v>
      </c>
      <c r="BH20" s="166" t="e">
        <f t="shared" ref="BH20" si="118">(BH14/BH13)*BH19</f>
        <v>#DIV/0!</v>
      </c>
      <c r="BI20" s="166" t="e">
        <f t="shared" ref="BI20" si="119">(BI14/BI13)*BI19</f>
        <v>#DIV/0!</v>
      </c>
      <c r="BJ20" s="166" t="e">
        <f t="shared" ref="BJ20" si="120">(BJ14/BJ13)*BJ19</f>
        <v>#DIV/0!</v>
      </c>
      <c r="BK20" s="167" t="e">
        <f t="shared" ref="BK20" si="121">(BK14/BK13)*BK19</f>
        <v>#DIV/0!</v>
      </c>
    </row>
    <row r="22" spans="2:63" x14ac:dyDescent="0.35">
      <c r="C22" s="15" t="s">
        <v>159</v>
      </c>
      <c r="D22" s="110">
        <f>D2</f>
        <v>45352</v>
      </c>
      <c r="E22" s="111">
        <f>EDATE(D22,1)</f>
        <v>45383</v>
      </c>
      <c r="F22" s="111">
        <f t="shared" ref="F22" si="122">EDATE(E22,1)</f>
        <v>45413</v>
      </c>
      <c r="G22" s="111">
        <f t="shared" ref="G22" si="123">EDATE(F22,1)</f>
        <v>45444</v>
      </c>
      <c r="H22" s="111">
        <f t="shared" ref="H22" si="124">EDATE(G22,1)</f>
        <v>45474</v>
      </c>
      <c r="I22" s="111">
        <f t="shared" ref="I22" si="125">EDATE(H22,1)</f>
        <v>45505</v>
      </c>
      <c r="J22" s="111">
        <f t="shared" ref="J22" si="126">EDATE(I22,1)</f>
        <v>45536</v>
      </c>
      <c r="K22" s="111">
        <f t="shared" ref="K22" si="127">EDATE(J22,1)</f>
        <v>45566</v>
      </c>
      <c r="L22" s="111">
        <f t="shared" ref="L22" si="128">EDATE(K22,1)</f>
        <v>45597</v>
      </c>
      <c r="M22" s="111">
        <f t="shared" ref="M22" si="129">EDATE(L22,1)</f>
        <v>45627</v>
      </c>
      <c r="N22" s="111">
        <f t="shared" ref="N22" si="130">EDATE(M22,1)</f>
        <v>45658</v>
      </c>
      <c r="O22" s="111">
        <f t="shared" ref="O22" si="131">EDATE(N22,1)</f>
        <v>45689</v>
      </c>
      <c r="P22" s="112">
        <f t="shared" ref="P22" si="132">EDATE(O22,1)</f>
        <v>45717</v>
      </c>
      <c r="Q22" s="111">
        <f t="shared" ref="Q22" si="133">EDATE(P22,1)</f>
        <v>45748</v>
      </c>
      <c r="R22" s="111">
        <f t="shared" ref="R22" si="134">EDATE(Q22,1)</f>
        <v>45778</v>
      </c>
      <c r="S22" s="111">
        <f t="shared" ref="S22" si="135">EDATE(R22,1)</f>
        <v>45809</v>
      </c>
      <c r="T22" s="111">
        <f t="shared" ref="T22" si="136">EDATE(S22,1)</f>
        <v>45839</v>
      </c>
      <c r="U22" s="111">
        <f t="shared" ref="U22" si="137">EDATE(T22,1)</f>
        <v>45870</v>
      </c>
      <c r="V22" s="111">
        <f t="shared" ref="V22" si="138">EDATE(U22,1)</f>
        <v>45901</v>
      </c>
      <c r="W22" s="111">
        <f t="shared" ref="W22" si="139">EDATE(V22,1)</f>
        <v>45931</v>
      </c>
      <c r="X22" s="111">
        <f t="shared" ref="X22" si="140">EDATE(W22,1)</f>
        <v>45962</v>
      </c>
      <c r="Y22" s="111">
        <f t="shared" ref="Y22" si="141">EDATE(X22,1)</f>
        <v>45992</v>
      </c>
      <c r="Z22" s="111">
        <f t="shared" ref="Z22" si="142">EDATE(Y22,1)</f>
        <v>46023</v>
      </c>
      <c r="AA22" s="111">
        <f t="shared" ref="AA22" si="143">EDATE(Z22,1)</f>
        <v>46054</v>
      </c>
      <c r="AB22" s="112">
        <f t="shared" ref="AB22" si="144">EDATE(AA22,1)</f>
        <v>46082</v>
      </c>
      <c r="AC22" s="111">
        <f t="shared" ref="AC22" si="145">EDATE(AB22,1)</f>
        <v>46113</v>
      </c>
      <c r="AD22" s="111">
        <f t="shared" ref="AD22" si="146">EDATE(AC22,1)</f>
        <v>46143</v>
      </c>
      <c r="AE22" s="111">
        <f t="shared" ref="AE22" si="147">EDATE(AD22,1)</f>
        <v>46174</v>
      </c>
      <c r="AF22" s="111">
        <f t="shared" ref="AF22" si="148">EDATE(AE22,1)</f>
        <v>46204</v>
      </c>
      <c r="AG22" s="111">
        <f t="shared" ref="AG22" si="149">EDATE(AF22,1)</f>
        <v>46235</v>
      </c>
      <c r="AH22" s="111">
        <f t="shared" ref="AH22" si="150">EDATE(AG22,1)</f>
        <v>46266</v>
      </c>
      <c r="AI22" s="111">
        <f t="shared" ref="AI22" si="151">EDATE(AH22,1)</f>
        <v>46296</v>
      </c>
      <c r="AJ22" s="111">
        <f t="shared" ref="AJ22" si="152">EDATE(AI22,1)</f>
        <v>46327</v>
      </c>
      <c r="AK22" s="111">
        <f t="shared" ref="AK22" si="153">EDATE(AJ22,1)</f>
        <v>46357</v>
      </c>
      <c r="AL22" s="111">
        <f t="shared" ref="AL22" si="154">EDATE(AK22,1)</f>
        <v>46388</v>
      </c>
      <c r="AM22" s="112">
        <f t="shared" ref="AM22" si="155">EDATE(AL22,1)</f>
        <v>46419</v>
      </c>
      <c r="AN22" s="111">
        <f t="shared" ref="AN22" si="156">EDATE(AM22,1)</f>
        <v>46447</v>
      </c>
      <c r="AO22" s="111">
        <f t="shared" ref="AO22" si="157">EDATE(AN22,1)</f>
        <v>46478</v>
      </c>
      <c r="AP22" s="111">
        <f t="shared" ref="AP22" si="158">EDATE(AO22,1)</f>
        <v>46508</v>
      </c>
      <c r="AQ22" s="111">
        <f t="shared" ref="AQ22" si="159">EDATE(AP22,1)</f>
        <v>46539</v>
      </c>
      <c r="AR22" s="111">
        <f t="shared" ref="AR22" si="160">EDATE(AQ22,1)</f>
        <v>46569</v>
      </c>
      <c r="AS22" s="111">
        <f t="shared" ref="AS22" si="161">EDATE(AR22,1)</f>
        <v>46600</v>
      </c>
      <c r="AT22" s="111">
        <f t="shared" ref="AT22" si="162">EDATE(AS22,1)</f>
        <v>46631</v>
      </c>
      <c r="AU22" s="111">
        <f t="shared" ref="AU22" si="163">EDATE(AT22,1)</f>
        <v>46661</v>
      </c>
      <c r="AV22" s="111">
        <f t="shared" ref="AV22" si="164">EDATE(AU22,1)</f>
        <v>46692</v>
      </c>
      <c r="AW22" s="111">
        <f t="shared" ref="AW22" si="165">EDATE(AV22,1)</f>
        <v>46722</v>
      </c>
      <c r="AX22" s="111">
        <f t="shared" ref="AX22" si="166">EDATE(AW22,1)</f>
        <v>46753</v>
      </c>
      <c r="AY22" s="112">
        <f t="shared" ref="AY22" si="167">EDATE(AX22,1)</f>
        <v>46784</v>
      </c>
      <c r="AZ22" s="111">
        <f t="shared" ref="AZ22" si="168">EDATE(AY22,1)</f>
        <v>46813</v>
      </c>
      <c r="BA22" s="111">
        <f t="shared" ref="BA22" si="169">EDATE(AZ22,1)</f>
        <v>46844</v>
      </c>
      <c r="BB22" s="111">
        <f t="shared" ref="BB22" si="170">EDATE(BA22,1)</f>
        <v>46874</v>
      </c>
      <c r="BC22" s="111">
        <f t="shared" ref="BC22" si="171">EDATE(BB22,1)</f>
        <v>46905</v>
      </c>
      <c r="BD22" s="111">
        <f t="shared" ref="BD22" si="172">EDATE(BC22,1)</f>
        <v>46935</v>
      </c>
      <c r="BE22" s="111">
        <f t="shared" ref="BE22" si="173">EDATE(BD22,1)</f>
        <v>46966</v>
      </c>
      <c r="BF22" s="111">
        <f t="shared" ref="BF22" si="174">EDATE(BE22,1)</f>
        <v>46997</v>
      </c>
      <c r="BG22" s="111">
        <f t="shared" ref="BG22" si="175">EDATE(BF22,1)</f>
        <v>47027</v>
      </c>
      <c r="BH22" s="111">
        <f t="shared" ref="BH22" si="176">EDATE(BG22,1)</f>
        <v>47058</v>
      </c>
      <c r="BI22" s="111">
        <f t="shared" ref="BI22" si="177">EDATE(BH22,1)</f>
        <v>47088</v>
      </c>
      <c r="BJ22" s="111">
        <f t="shared" ref="BJ22" si="178">EDATE(BI22,1)</f>
        <v>47119</v>
      </c>
      <c r="BK22" s="112">
        <f>EDATE(BJ22,1)</f>
        <v>47150</v>
      </c>
    </row>
    <row r="23" spans="2:63" x14ac:dyDescent="0.35">
      <c r="B23" s="357" t="s">
        <v>154</v>
      </c>
      <c r="C23" s="1" t="s">
        <v>19</v>
      </c>
      <c r="D23" s="162">
        <f>'Calculation - Stage dist'!F27</f>
        <v>1.1506471812898868E-3</v>
      </c>
      <c r="E23" s="163">
        <f>'Calculation - Stage dist'!G27</f>
        <v>1.1559557323341523E-3</v>
      </c>
      <c r="F23" s="163">
        <f>'Calculation - Stage dist'!H27</f>
        <v>1.1532589466504112E-3</v>
      </c>
      <c r="G23" s="163">
        <f>'Calculation - Stage dist'!I27</f>
        <v>1.1431724278792199E-3</v>
      </c>
      <c r="H23" s="163">
        <f>'Calculation - Stage dist'!J27</f>
        <v>1.1228956978476547E-3</v>
      </c>
      <c r="I23" s="163">
        <f>'Calculation - Stage dist'!K27</f>
        <v>1.0941244223434939E-3</v>
      </c>
      <c r="J23" s="163">
        <f>'Calculation - Stage dist'!L27</f>
        <v>1.0619715070891338E-3</v>
      </c>
      <c r="K23" s="163">
        <f>'Calculation - Stage dist'!M27</f>
        <v>1.0274350507725046E-3</v>
      </c>
      <c r="L23" s="163">
        <f>'Calculation - Stage dist'!N27</f>
        <v>9.970909513883654E-4</v>
      </c>
      <c r="M23" s="163">
        <f>'Calculation - Stage dist'!O27</f>
        <v>9.6488483883826182E-4</v>
      </c>
      <c r="N23" s="163">
        <f>'Calculation - Stage dist'!P27</f>
        <v>9.3155262416716694E-4</v>
      </c>
      <c r="O23" s="163">
        <f>'Calculation - Stage dist'!Q27</f>
        <v>9.0004332389724843E-4</v>
      </c>
      <c r="P23" s="164">
        <f>'Calculation - Stage dist'!R27</f>
        <v>8.5314409476041438E-4</v>
      </c>
      <c r="Q23" s="163">
        <f>'Calculation - Stage dist'!S27</f>
        <v>8.6406637069767506E-4</v>
      </c>
      <c r="R23" s="163">
        <f>'Calculation - Stage dist'!T27</f>
        <v>8.694360161467014E-4</v>
      </c>
      <c r="S23" s="163">
        <f>'Calculation - Stage dist'!U27</f>
        <v>8.694142967183903E-4</v>
      </c>
      <c r="T23" s="163">
        <f>'Calculation - Stage dist'!V27</f>
        <v>8.6184420232422688E-4</v>
      </c>
      <c r="U23" s="163">
        <f>'Calculation - Stage dist'!W27</f>
        <v>8.4757784811653931E-4</v>
      </c>
      <c r="V23" s="163">
        <f>'Calculation - Stage dist'!X27</f>
        <v>8.2999544922525285E-4</v>
      </c>
      <c r="W23" s="163">
        <f>'Calculation - Stage dist'!Y27</f>
        <v>8.0976154497918254E-4</v>
      </c>
      <c r="X23" s="163">
        <f>'Calculation - Stage dist'!Z27</f>
        <v>7.9170063856002484E-4</v>
      </c>
      <c r="Y23" s="163">
        <f>'Calculation - Stage dist'!AA27</f>
        <v>7.7149534648307593E-4</v>
      </c>
      <c r="Z23" s="163">
        <f>'Calculation - Stage dist'!AB27</f>
        <v>7.4970528638956498E-4</v>
      </c>
      <c r="AA23" s="163">
        <f>'Calculation - Stage dist'!AC27</f>
        <v>7.2861326933564474E-4</v>
      </c>
      <c r="AB23" s="164">
        <f>'Calculation - Stage dist'!AD27</f>
        <v>6.9500851151995053E-4</v>
      </c>
      <c r="AC23" s="163">
        <f>'Calculation - Stage dist'!AE27</f>
        <v>7.0645183593312847E-4</v>
      </c>
      <c r="AD23" s="163">
        <f>'Calculation - Stage dist'!AF27</f>
        <v>7.1357636726700582E-4</v>
      </c>
      <c r="AE23" s="163">
        <f>'Calculation - Stage dist'!AG27</f>
        <v>7.1641280132577595E-4</v>
      </c>
      <c r="AF23" s="163">
        <f>'Calculation - Stage dist'!AH27</f>
        <v>7.1318200549392674E-4</v>
      </c>
      <c r="AG23" s="163">
        <f>'Calculation - Stage dist'!AI27</f>
        <v>7.0442412499300633E-4</v>
      </c>
      <c r="AH23" s="163">
        <f>'Calculation - Stage dist'!AJ27</f>
        <v>6.9271772187140372E-4</v>
      </c>
      <c r="AI23" s="163">
        <f>'Calculation - Stage dist'!AK27</f>
        <v>6.7855681083328005E-4</v>
      </c>
      <c r="AJ23" s="163">
        <f>'Calculation - Stage dist'!AL27</f>
        <v>6.6581983879880982E-4</v>
      </c>
      <c r="AK23" s="163">
        <f>'Calculation - Stage dist'!AM27</f>
        <v>6.5105601831333328E-4</v>
      </c>
      <c r="AL23" s="163">
        <f>'Calculation - Stage dist'!AN27</f>
        <v>6.347133823153445E-4</v>
      </c>
      <c r="AM23" s="164">
        <f>'Calculation - Stage dist'!AO27</f>
        <v>6.1867360149028903E-4</v>
      </c>
      <c r="AN23" s="163">
        <f>'Calculation - Stage dist'!AP27</f>
        <v>5.9202029374397691E-4</v>
      </c>
      <c r="AO23" s="163">
        <f>'Calculation - Stage dist'!AQ27</f>
        <v>0</v>
      </c>
      <c r="AP23" s="163">
        <f>'Calculation - Stage dist'!AR27</f>
        <v>0</v>
      </c>
      <c r="AQ23" s="163">
        <f>'Calculation - Stage dist'!AS27</f>
        <v>0</v>
      </c>
      <c r="AR23" s="163">
        <f>'Calculation - Stage dist'!AT27</f>
        <v>0</v>
      </c>
      <c r="AS23" s="163">
        <f>'Calculation - Stage dist'!AU27</f>
        <v>0</v>
      </c>
      <c r="AT23" s="163">
        <f>'Calculation - Stage dist'!AV27</f>
        <v>0</v>
      </c>
      <c r="AU23" s="163">
        <f>'Calculation - Stage dist'!AW27</f>
        <v>0</v>
      </c>
      <c r="AV23" s="163">
        <f>'Calculation - Stage dist'!AX27</f>
        <v>0</v>
      </c>
      <c r="AW23" s="163">
        <f>'Calculation - Stage dist'!AY27</f>
        <v>0</v>
      </c>
      <c r="AX23" s="163">
        <f>'Calculation - Stage dist'!AZ27</f>
        <v>0</v>
      </c>
      <c r="AY23" s="164">
        <f>'Calculation - Stage dist'!BA27</f>
        <v>0</v>
      </c>
      <c r="AZ23" s="163">
        <f>'Calculation - Stage dist'!BB27</f>
        <v>0</v>
      </c>
      <c r="BA23" s="163">
        <f>'Calculation - Stage dist'!BC27</f>
        <v>0</v>
      </c>
      <c r="BB23" s="163">
        <f>'Calculation - Stage dist'!BD27</f>
        <v>0</v>
      </c>
      <c r="BC23" s="163">
        <f>'Calculation - Stage dist'!BE27</f>
        <v>0</v>
      </c>
      <c r="BD23" s="163">
        <f>'Calculation - Stage dist'!BF27</f>
        <v>0</v>
      </c>
      <c r="BE23" s="163">
        <f>'Calculation - Stage dist'!BG27</f>
        <v>0</v>
      </c>
      <c r="BF23" s="163">
        <f>'Calculation - Stage dist'!BH27</f>
        <v>0</v>
      </c>
      <c r="BG23" s="163">
        <f>'Calculation - Stage dist'!BI27</f>
        <v>0</v>
      </c>
      <c r="BH23" s="163">
        <f>'Calculation - Stage dist'!BJ27</f>
        <v>0</v>
      </c>
      <c r="BI23" s="163">
        <f>'Calculation - Stage dist'!BK27</f>
        <v>0</v>
      </c>
      <c r="BJ23" s="163">
        <f>'Calculation - Stage dist'!BL27</f>
        <v>0</v>
      </c>
      <c r="BK23" s="164">
        <f>'Calculation - Stage dist'!BM27</f>
        <v>0</v>
      </c>
    </row>
    <row r="24" spans="2:63" x14ac:dyDescent="0.35">
      <c r="B24" s="358"/>
      <c r="C24" s="3" t="s">
        <v>20</v>
      </c>
      <c r="D24" s="165">
        <f>'Calculation - Stage dist'!F32</f>
        <v>1.1506471812898868E-3</v>
      </c>
      <c r="E24" s="166">
        <f>'Calculation - Stage dist'!G32</f>
        <v>1.1559557323341523E-3</v>
      </c>
      <c r="F24" s="166">
        <f>'Calculation - Stage dist'!H32</f>
        <v>1.1532589466504112E-3</v>
      </c>
      <c r="G24" s="166">
        <f>'Calculation - Stage dist'!I32</f>
        <v>1.1431724278792199E-3</v>
      </c>
      <c r="H24" s="166">
        <f>'Calculation - Stage dist'!J32</f>
        <v>1.1228956978476547E-3</v>
      </c>
      <c r="I24" s="166">
        <f>'Calculation - Stage dist'!K32</f>
        <v>1.0941244223434939E-3</v>
      </c>
      <c r="J24" s="166">
        <f>'Calculation - Stage dist'!L32</f>
        <v>1.0619715070891338E-3</v>
      </c>
      <c r="K24" s="166">
        <f>'Calculation - Stage dist'!M32</f>
        <v>1.0274350507725046E-3</v>
      </c>
      <c r="L24" s="166">
        <f>'Calculation - Stage dist'!N32</f>
        <v>9.970909513883654E-4</v>
      </c>
      <c r="M24" s="166">
        <f>'Calculation - Stage dist'!O32</f>
        <v>9.6488483883826182E-4</v>
      </c>
      <c r="N24" s="166">
        <f>'Calculation - Stage dist'!P32</f>
        <v>9.3155262416716694E-4</v>
      </c>
      <c r="O24" s="166">
        <f>'Calculation - Stage dist'!Q32</f>
        <v>9.0004332389724843E-4</v>
      </c>
      <c r="P24" s="167">
        <f>'Calculation - Stage dist'!R32</f>
        <v>8.5314409476041438E-4</v>
      </c>
      <c r="Q24" s="166">
        <f>'Calculation - Stage dist'!S32</f>
        <v>8.6406637069767506E-4</v>
      </c>
      <c r="R24" s="166">
        <f>'Calculation - Stage dist'!T32</f>
        <v>8.694360161467014E-4</v>
      </c>
      <c r="S24" s="166">
        <f>'Calculation - Stage dist'!U32</f>
        <v>8.694142967183903E-4</v>
      </c>
      <c r="T24" s="166">
        <f>'Calculation - Stage dist'!V32</f>
        <v>8.6184420232422688E-4</v>
      </c>
      <c r="U24" s="166">
        <f>'Calculation - Stage dist'!W32</f>
        <v>8.4757784811653931E-4</v>
      </c>
      <c r="V24" s="166">
        <f>'Calculation - Stage dist'!X32</f>
        <v>8.2999544922525285E-4</v>
      </c>
      <c r="W24" s="166">
        <f>'Calculation - Stage dist'!Y32</f>
        <v>8.0976154497918254E-4</v>
      </c>
      <c r="X24" s="166">
        <f>'Calculation - Stage dist'!Z32</f>
        <v>7.9170063856002484E-4</v>
      </c>
      <c r="Y24" s="166">
        <f>'Calculation - Stage dist'!AA32</f>
        <v>7.7149534648307593E-4</v>
      </c>
      <c r="Z24" s="166">
        <f>'Calculation - Stage dist'!AB32</f>
        <v>7.4970528638956498E-4</v>
      </c>
      <c r="AA24" s="166">
        <f>'Calculation - Stage dist'!AC32</f>
        <v>7.2861326933564474E-4</v>
      </c>
      <c r="AB24" s="167">
        <f>'Calculation - Stage dist'!AD32</f>
        <v>6.9500851151995053E-4</v>
      </c>
      <c r="AC24" s="166">
        <f>'Calculation - Stage dist'!AE32</f>
        <v>7.0645183593312847E-4</v>
      </c>
      <c r="AD24" s="166">
        <f>'Calculation - Stage dist'!AF32</f>
        <v>7.1357636726700582E-4</v>
      </c>
      <c r="AE24" s="166">
        <f>'Calculation - Stage dist'!AG32</f>
        <v>7.1641280132577595E-4</v>
      </c>
      <c r="AF24" s="166">
        <f>'Calculation - Stage dist'!AH32</f>
        <v>7.1318200549392674E-4</v>
      </c>
      <c r="AG24" s="166">
        <f>'Calculation - Stage dist'!AI32</f>
        <v>7.0442412499300633E-4</v>
      </c>
      <c r="AH24" s="166">
        <f>'Calculation - Stage dist'!AJ32</f>
        <v>6.9271772187140372E-4</v>
      </c>
      <c r="AI24" s="166">
        <f>'Calculation - Stage dist'!AK32</f>
        <v>6.7855681083328005E-4</v>
      </c>
      <c r="AJ24" s="166">
        <f>'Calculation - Stage dist'!AL32</f>
        <v>6.6581983879880982E-4</v>
      </c>
      <c r="AK24" s="166">
        <f>'Calculation - Stage dist'!AM32</f>
        <v>6.5105601831333328E-4</v>
      </c>
      <c r="AL24" s="166">
        <f>'Calculation - Stage dist'!AN32</f>
        <v>6.347133823153445E-4</v>
      </c>
      <c r="AM24" s="167">
        <f>'Calculation - Stage dist'!AO32</f>
        <v>6.1867360149028903E-4</v>
      </c>
      <c r="AN24" s="166">
        <f>'Calculation - Stage dist'!AP32</f>
        <v>5.9202029374397691E-4</v>
      </c>
      <c r="AO24" s="166">
        <f>'Calculation - Stage dist'!AQ32</f>
        <v>0</v>
      </c>
      <c r="AP24" s="166">
        <f>'Calculation - Stage dist'!AR32</f>
        <v>0</v>
      </c>
      <c r="AQ24" s="166">
        <f>'Calculation - Stage dist'!AS32</f>
        <v>0</v>
      </c>
      <c r="AR24" s="166">
        <f>'Calculation - Stage dist'!AT32</f>
        <v>0</v>
      </c>
      <c r="AS24" s="166">
        <f>'Calculation - Stage dist'!AU32</f>
        <v>0</v>
      </c>
      <c r="AT24" s="166">
        <f>'Calculation - Stage dist'!AV32</f>
        <v>0</v>
      </c>
      <c r="AU24" s="166">
        <f>'Calculation - Stage dist'!AW32</f>
        <v>0</v>
      </c>
      <c r="AV24" s="166">
        <f>'Calculation - Stage dist'!AX32</f>
        <v>0</v>
      </c>
      <c r="AW24" s="166">
        <f>'Calculation - Stage dist'!AY32</f>
        <v>0</v>
      </c>
      <c r="AX24" s="166">
        <f>'Calculation - Stage dist'!AZ32</f>
        <v>0</v>
      </c>
      <c r="AY24" s="167">
        <f>'Calculation - Stage dist'!BA32</f>
        <v>0</v>
      </c>
      <c r="AZ24" s="166">
        <f>'Calculation - Stage dist'!BB32</f>
        <v>0</v>
      </c>
      <c r="BA24" s="166">
        <f>'Calculation - Stage dist'!BC32</f>
        <v>0</v>
      </c>
      <c r="BB24" s="166">
        <f>'Calculation - Stage dist'!BD32</f>
        <v>0</v>
      </c>
      <c r="BC24" s="166">
        <f>'Calculation - Stage dist'!BE32</f>
        <v>0</v>
      </c>
      <c r="BD24" s="166">
        <f>'Calculation - Stage dist'!BF32</f>
        <v>0</v>
      </c>
      <c r="BE24" s="166">
        <f>'Calculation - Stage dist'!BG32</f>
        <v>0</v>
      </c>
      <c r="BF24" s="166">
        <f>'Calculation - Stage dist'!BH32</f>
        <v>0</v>
      </c>
      <c r="BG24" s="166">
        <f>'Calculation - Stage dist'!BI32</f>
        <v>0</v>
      </c>
      <c r="BH24" s="166">
        <f>'Calculation - Stage dist'!BJ32</f>
        <v>0</v>
      </c>
      <c r="BI24" s="166">
        <f>'Calculation - Stage dist'!BK32</f>
        <v>0</v>
      </c>
      <c r="BJ24" s="166">
        <f>'Calculation - Stage dist'!BL32</f>
        <v>0</v>
      </c>
      <c r="BK24" s="167">
        <f>'Calculation - Stage dist'!BM32</f>
        <v>0</v>
      </c>
    </row>
    <row r="25" spans="2:63" x14ac:dyDescent="0.35">
      <c r="B25" s="357" t="s">
        <v>155</v>
      </c>
      <c r="C25" s="1" t="s">
        <v>19</v>
      </c>
      <c r="D25" s="8">
        <f>'Input - GNPA'!C6</f>
        <v>0</v>
      </c>
      <c r="E25" s="9">
        <f>'Input - GNPA'!D6</f>
        <v>0</v>
      </c>
      <c r="F25" s="9">
        <f>'Input - GNPA'!E6</f>
        <v>0</v>
      </c>
      <c r="G25" s="9">
        <f>'Input - GNPA'!F6</f>
        <v>0</v>
      </c>
      <c r="H25" s="9">
        <f>'Input - GNPA'!G6</f>
        <v>0</v>
      </c>
      <c r="I25" s="9">
        <f>'Input - GNPA'!H6</f>
        <v>0</v>
      </c>
      <c r="J25" s="9">
        <f>'Input - GNPA'!I6</f>
        <v>0</v>
      </c>
      <c r="K25" s="9">
        <f>'Input - GNPA'!J6</f>
        <v>0</v>
      </c>
      <c r="L25" s="9">
        <f>'Input - GNPA'!K6</f>
        <v>0</v>
      </c>
      <c r="M25" s="9">
        <f>'Input - GNPA'!L6</f>
        <v>0</v>
      </c>
      <c r="N25" s="9">
        <f>'Input - GNPA'!M6</f>
        <v>0</v>
      </c>
      <c r="O25" s="9">
        <f>'Input - GNPA'!N6</f>
        <v>0</v>
      </c>
      <c r="P25" s="10">
        <f>'Input - GNPA'!O6</f>
        <v>0</v>
      </c>
      <c r="Q25" s="9">
        <f>'Input - GNPA'!P6</f>
        <v>0</v>
      </c>
      <c r="R25" s="9">
        <f>'Input - GNPA'!Q6</f>
        <v>0</v>
      </c>
      <c r="S25" s="9">
        <f>'Input - GNPA'!R6</f>
        <v>0</v>
      </c>
      <c r="T25" s="9">
        <f>'Input - GNPA'!S6</f>
        <v>0</v>
      </c>
      <c r="U25" s="9">
        <f>'Input - GNPA'!T6</f>
        <v>0</v>
      </c>
      <c r="V25" s="9">
        <f>'Input - GNPA'!U6</f>
        <v>0</v>
      </c>
      <c r="W25" s="9">
        <f>'Input - GNPA'!V6</f>
        <v>0</v>
      </c>
      <c r="X25" s="9">
        <f>'Input - GNPA'!W6</f>
        <v>0</v>
      </c>
      <c r="Y25" s="9">
        <f>'Input - GNPA'!X6</f>
        <v>0</v>
      </c>
      <c r="Z25" s="9">
        <f>'Input - GNPA'!Y6</f>
        <v>0</v>
      </c>
      <c r="AA25" s="9">
        <f>'Input - GNPA'!Z6</f>
        <v>0</v>
      </c>
      <c r="AB25" s="10">
        <f>'Input - GNPA'!AA6</f>
        <v>0</v>
      </c>
      <c r="AC25" s="9">
        <f>'Input - GNPA'!AB6</f>
        <v>0</v>
      </c>
      <c r="AD25" s="9">
        <f>'Input - GNPA'!AC6</f>
        <v>0</v>
      </c>
      <c r="AE25" s="9">
        <f>'Input - GNPA'!AD6</f>
        <v>0</v>
      </c>
      <c r="AF25" s="9">
        <f>'Input - GNPA'!AE6</f>
        <v>0</v>
      </c>
      <c r="AG25" s="9">
        <f>'Input - GNPA'!AF6</f>
        <v>0</v>
      </c>
      <c r="AH25" s="9">
        <f>'Input - GNPA'!AG6</f>
        <v>0</v>
      </c>
      <c r="AI25" s="9">
        <f>'Input - GNPA'!AH6</f>
        <v>0</v>
      </c>
      <c r="AJ25" s="9">
        <f>'Input - GNPA'!AI6</f>
        <v>0</v>
      </c>
      <c r="AK25" s="9">
        <f>'Input - GNPA'!AJ6</f>
        <v>0</v>
      </c>
      <c r="AL25" s="9">
        <f>'Input - GNPA'!AK6</f>
        <v>0</v>
      </c>
      <c r="AM25" s="10">
        <f>'Input - GNPA'!AL6</f>
        <v>0</v>
      </c>
      <c r="AN25" s="9">
        <f>'Input - GNPA'!AM6</f>
        <v>0</v>
      </c>
      <c r="AO25" s="9">
        <f>'Input - GNPA'!AN6</f>
        <v>0</v>
      </c>
      <c r="AP25" s="9">
        <f>'Input - GNPA'!AO6</f>
        <v>0</v>
      </c>
      <c r="AQ25" s="9">
        <f>'Input - GNPA'!AP6</f>
        <v>0</v>
      </c>
      <c r="AR25" s="9">
        <f>'Input - GNPA'!AQ6</f>
        <v>0</v>
      </c>
      <c r="AS25" s="9">
        <f>'Input - GNPA'!AR6</f>
        <v>0</v>
      </c>
      <c r="AT25" s="9">
        <f>'Input - GNPA'!AS6</f>
        <v>0</v>
      </c>
      <c r="AU25" s="9">
        <f>'Input - GNPA'!AT6</f>
        <v>0</v>
      </c>
      <c r="AV25" s="9">
        <f>'Input - GNPA'!AU6</f>
        <v>0</v>
      </c>
      <c r="AW25" s="9">
        <f>'Input - GNPA'!AV6</f>
        <v>0</v>
      </c>
      <c r="AX25" s="9">
        <f>'Input - GNPA'!AW6</f>
        <v>0</v>
      </c>
      <c r="AY25" s="10">
        <f>'Input - GNPA'!AX6</f>
        <v>0</v>
      </c>
      <c r="AZ25" s="9">
        <f>'Input - GNPA'!AY6</f>
        <v>0</v>
      </c>
      <c r="BA25" s="9">
        <f>'Input - GNPA'!AZ6</f>
        <v>0</v>
      </c>
      <c r="BB25" s="9">
        <f>'Input - GNPA'!BA6</f>
        <v>0</v>
      </c>
      <c r="BC25" s="9">
        <f>'Input - GNPA'!BB6</f>
        <v>0</v>
      </c>
      <c r="BD25" s="9">
        <f>'Input - GNPA'!BC6</f>
        <v>0</v>
      </c>
      <c r="BE25" s="9">
        <f>'Input - GNPA'!BD6</f>
        <v>0</v>
      </c>
      <c r="BF25" s="9">
        <f>'Input - GNPA'!BE6</f>
        <v>0</v>
      </c>
      <c r="BG25" s="9">
        <f>'Input - GNPA'!BF6</f>
        <v>0</v>
      </c>
      <c r="BH25" s="9">
        <f>'Input - GNPA'!BG6</f>
        <v>0</v>
      </c>
      <c r="BI25" s="9">
        <f>'Input - GNPA'!BH6</f>
        <v>0</v>
      </c>
      <c r="BJ25" s="9">
        <f>'Input - GNPA'!BI6</f>
        <v>0</v>
      </c>
      <c r="BK25" s="10">
        <f>'Input - GNPA'!BJ6</f>
        <v>0</v>
      </c>
    </row>
    <row r="26" spans="2:63" x14ac:dyDescent="0.35">
      <c r="B26" s="358"/>
      <c r="C26" s="3" t="s">
        <v>20</v>
      </c>
      <c r="D26" s="11">
        <f>IFERROR(D30*D28,0)</f>
        <v>0</v>
      </c>
      <c r="E26" s="12">
        <f t="shared" ref="E26:BK26" si="179">IFERROR(E30*E28,0)</f>
        <v>0</v>
      </c>
      <c r="F26" s="12">
        <f t="shared" si="179"/>
        <v>0</v>
      </c>
      <c r="G26" s="12">
        <f t="shared" si="179"/>
        <v>0</v>
      </c>
      <c r="H26" s="12">
        <f t="shared" si="179"/>
        <v>0</v>
      </c>
      <c r="I26" s="12">
        <f t="shared" si="179"/>
        <v>0</v>
      </c>
      <c r="J26" s="12">
        <f t="shared" si="179"/>
        <v>0</v>
      </c>
      <c r="K26" s="12">
        <f t="shared" si="179"/>
        <v>0</v>
      </c>
      <c r="L26" s="12">
        <f t="shared" si="179"/>
        <v>0</v>
      </c>
      <c r="M26" s="12">
        <f t="shared" si="179"/>
        <v>0</v>
      </c>
      <c r="N26" s="12">
        <f t="shared" si="179"/>
        <v>0</v>
      </c>
      <c r="O26" s="12">
        <f t="shared" si="179"/>
        <v>0</v>
      </c>
      <c r="P26" s="13">
        <f t="shared" si="179"/>
        <v>0</v>
      </c>
      <c r="Q26" s="12">
        <f t="shared" si="179"/>
        <v>0</v>
      </c>
      <c r="R26" s="12">
        <f t="shared" si="179"/>
        <v>0</v>
      </c>
      <c r="S26" s="12">
        <f t="shared" si="179"/>
        <v>0</v>
      </c>
      <c r="T26" s="12">
        <f t="shared" si="179"/>
        <v>0</v>
      </c>
      <c r="U26" s="12">
        <f t="shared" si="179"/>
        <v>0</v>
      </c>
      <c r="V26" s="12">
        <f t="shared" si="179"/>
        <v>0</v>
      </c>
      <c r="W26" s="12">
        <f t="shared" si="179"/>
        <v>0</v>
      </c>
      <c r="X26" s="12">
        <f t="shared" si="179"/>
        <v>0</v>
      </c>
      <c r="Y26" s="12">
        <f t="shared" si="179"/>
        <v>0</v>
      </c>
      <c r="Z26" s="12">
        <f t="shared" si="179"/>
        <v>0</v>
      </c>
      <c r="AA26" s="12">
        <f t="shared" si="179"/>
        <v>0</v>
      </c>
      <c r="AB26" s="13">
        <f t="shared" si="179"/>
        <v>0</v>
      </c>
      <c r="AC26" s="12">
        <f t="shared" si="179"/>
        <v>0</v>
      </c>
      <c r="AD26" s="12">
        <f t="shared" si="179"/>
        <v>0</v>
      </c>
      <c r="AE26" s="12">
        <f t="shared" si="179"/>
        <v>0</v>
      </c>
      <c r="AF26" s="12">
        <f t="shared" si="179"/>
        <v>0</v>
      </c>
      <c r="AG26" s="12">
        <f t="shared" si="179"/>
        <v>0</v>
      </c>
      <c r="AH26" s="12">
        <f t="shared" si="179"/>
        <v>0</v>
      </c>
      <c r="AI26" s="12">
        <f t="shared" si="179"/>
        <v>0</v>
      </c>
      <c r="AJ26" s="12">
        <f t="shared" si="179"/>
        <v>0</v>
      </c>
      <c r="AK26" s="12">
        <f t="shared" si="179"/>
        <v>0</v>
      </c>
      <c r="AL26" s="12">
        <f t="shared" si="179"/>
        <v>0</v>
      </c>
      <c r="AM26" s="13">
        <f t="shared" si="179"/>
        <v>0</v>
      </c>
      <c r="AN26" s="12">
        <f t="shared" si="179"/>
        <v>0</v>
      </c>
      <c r="AO26" s="12">
        <f t="shared" si="179"/>
        <v>0</v>
      </c>
      <c r="AP26" s="12">
        <f t="shared" si="179"/>
        <v>0</v>
      </c>
      <c r="AQ26" s="12">
        <f t="shared" si="179"/>
        <v>0</v>
      </c>
      <c r="AR26" s="12">
        <f t="shared" si="179"/>
        <v>0</v>
      </c>
      <c r="AS26" s="12">
        <f t="shared" si="179"/>
        <v>0</v>
      </c>
      <c r="AT26" s="12">
        <f t="shared" si="179"/>
        <v>0</v>
      </c>
      <c r="AU26" s="12">
        <f t="shared" si="179"/>
        <v>0</v>
      </c>
      <c r="AV26" s="12">
        <f t="shared" si="179"/>
        <v>0</v>
      </c>
      <c r="AW26" s="12">
        <f t="shared" si="179"/>
        <v>0</v>
      </c>
      <c r="AX26" s="12">
        <f t="shared" si="179"/>
        <v>0</v>
      </c>
      <c r="AY26" s="13">
        <f t="shared" si="179"/>
        <v>0</v>
      </c>
      <c r="AZ26" s="12">
        <f t="shared" si="179"/>
        <v>0</v>
      </c>
      <c r="BA26" s="12">
        <f t="shared" si="179"/>
        <v>0</v>
      </c>
      <c r="BB26" s="12">
        <f t="shared" si="179"/>
        <v>0</v>
      </c>
      <c r="BC26" s="12">
        <f t="shared" si="179"/>
        <v>0</v>
      </c>
      <c r="BD26" s="12">
        <f t="shared" si="179"/>
        <v>0</v>
      </c>
      <c r="BE26" s="12">
        <f t="shared" si="179"/>
        <v>0</v>
      </c>
      <c r="BF26" s="12">
        <f t="shared" si="179"/>
        <v>0</v>
      </c>
      <c r="BG26" s="12">
        <f t="shared" si="179"/>
        <v>0</v>
      </c>
      <c r="BH26" s="12">
        <f t="shared" si="179"/>
        <v>0</v>
      </c>
      <c r="BI26" s="12">
        <f t="shared" si="179"/>
        <v>0</v>
      </c>
      <c r="BJ26" s="12">
        <f t="shared" si="179"/>
        <v>0</v>
      </c>
      <c r="BK26" s="13">
        <f t="shared" si="179"/>
        <v>0</v>
      </c>
    </row>
    <row r="27" spans="2:63" x14ac:dyDescent="0.35">
      <c r="B27" s="357" t="s">
        <v>89</v>
      </c>
      <c r="C27" s="1" t="s">
        <v>19</v>
      </c>
      <c r="D27" s="8">
        <f>'Input - ENR'!C12</f>
        <v>7547.0547629249413</v>
      </c>
      <c r="E27" s="9">
        <f>'Input - ENR'!D12</f>
        <v>7512.3960607599756</v>
      </c>
      <c r="F27" s="9">
        <f>'Input - ENR'!E12</f>
        <v>7529.9630800370369</v>
      </c>
      <c r="G27" s="9">
        <f>'Input - ENR'!F12</f>
        <v>7596.4019759558905</v>
      </c>
      <c r="H27" s="9">
        <f>'Input - ENR'!G12</f>
        <v>7733.5742817835362</v>
      </c>
      <c r="I27" s="9">
        <f>'Input - ENR'!H12</f>
        <v>7936.9376212257785</v>
      </c>
      <c r="J27" s="9">
        <f>'Input - ENR'!I12</f>
        <v>8177.2413214765565</v>
      </c>
      <c r="K27" s="9">
        <f>'Input - ENR'!J12</f>
        <v>8452.1131369527466</v>
      </c>
      <c r="L27" s="9">
        <f>'Input - ENR'!K12</f>
        <v>8709.3331635476807</v>
      </c>
      <c r="M27" s="9">
        <f>'Input - ENR'!L12</f>
        <v>9000.0349683757941</v>
      </c>
      <c r="N27" s="9">
        <f>'Input - ENR'!M12</f>
        <v>9322.0684099985501</v>
      </c>
      <c r="O27" s="9">
        <f>'Input - ENR'!N12</f>
        <v>9648.421425312843</v>
      </c>
      <c r="P27" s="10">
        <f>'Input - ENR'!O12</f>
        <v>10178.816618825331</v>
      </c>
      <c r="Q27" s="9">
        <f>'Input - ENR'!P12</f>
        <v>10050.150757502875</v>
      </c>
      <c r="R27" s="9">
        <f>'Input - ENR'!Q12</f>
        <v>9988.080926859986</v>
      </c>
      <c r="S27" s="9">
        <f>'Input - ENR'!R12</f>
        <v>9988.3304458850071</v>
      </c>
      <c r="T27" s="9">
        <f>'Input - ENR'!S12</f>
        <v>10076.06394123316</v>
      </c>
      <c r="U27" s="9">
        <f>'Input - ENR'!T12</f>
        <v>10245.663344431787</v>
      </c>
      <c r="V27" s="9">
        <f>'Input - ENR'!U12</f>
        <v>10462.704702906443</v>
      </c>
      <c r="W27" s="9">
        <f>'Input - ENR'!V12</f>
        <v>10724.141376981848</v>
      </c>
      <c r="X27" s="9">
        <f>'Input - ENR'!W12</f>
        <v>10968.78904353896</v>
      </c>
      <c r="Y27" s="9">
        <f>'Input - ENR'!X12</f>
        <v>11256.059196710265</v>
      </c>
      <c r="Z27" s="9">
        <f>'Input - ENR'!Y12</f>
        <v>11583.21469469749</v>
      </c>
      <c r="AA27" s="9">
        <f>'Input - ENR'!Z12</f>
        <v>11918.527503511068</v>
      </c>
      <c r="AB27" s="10">
        <f>'Input - ENR'!AA12</f>
        <v>12494.807108201467</v>
      </c>
      <c r="AC27" s="9">
        <f>'Input - ENR'!AB12</f>
        <v>12292.412374482117</v>
      </c>
      <c r="AD27" s="9">
        <f>'Input - ENR'!AC12</f>
        <v>12169.681744449677</v>
      </c>
      <c r="AE27" s="9">
        <f>'Input - ENR'!AD12</f>
        <v>12121.499328221951</v>
      </c>
      <c r="AF27" s="9">
        <f>'Input - ENR'!AE12</f>
        <v>12176.411102781181</v>
      </c>
      <c r="AG27" s="9">
        <f>'Input - ENR'!AF12</f>
        <v>12327.796538890851</v>
      </c>
      <c r="AH27" s="9">
        <f>'Input - ENR'!AG12</f>
        <v>12536.126932828922</v>
      </c>
      <c r="AI27" s="9">
        <f>'Input - ENR'!AH12</f>
        <v>12797.745378660178</v>
      </c>
      <c r="AJ27" s="9">
        <f>'Input - ENR'!AI12</f>
        <v>13042.563143907813</v>
      </c>
      <c r="AK27" s="9">
        <f>'Input - ENR'!AJ12</f>
        <v>13338.32580566156</v>
      </c>
      <c r="AL27" s="9">
        <f>'Input - ENR'!AK12</f>
        <v>13681.761771466054</v>
      </c>
      <c r="AM27" s="10">
        <f>'Input - ENR'!AL12</f>
        <v>14036.476211497617</v>
      </c>
      <c r="AN27" s="9">
        <f>'Input - ENR'!AM12</f>
        <v>14668.411508466721</v>
      </c>
      <c r="AO27" s="9">
        <f>'Input - ENR'!AN12</f>
        <v>0</v>
      </c>
      <c r="AP27" s="9">
        <f>'Input - ENR'!AO12</f>
        <v>0</v>
      </c>
      <c r="AQ27" s="9">
        <f>'Input - ENR'!AP12</f>
        <v>0</v>
      </c>
      <c r="AR27" s="9">
        <f>'Input - ENR'!AQ12</f>
        <v>0</v>
      </c>
      <c r="AS27" s="9">
        <f>'Input - ENR'!AR12</f>
        <v>0</v>
      </c>
      <c r="AT27" s="9">
        <f>'Input - ENR'!AS12</f>
        <v>0</v>
      </c>
      <c r="AU27" s="9">
        <f>'Input - ENR'!AT12</f>
        <v>0</v>
      </c>
      <c r="AV27" s="9">
        <f>'Input - ENR'!AU12</f>
        <v>0</v>
      </c>
      <c r="AW27" s="9">
        <f>'Input - ENR'!AV12</f>
        <v>0</v>
      </c>
      <c r="AX27" s="9">
        <f>'Input - ENR'!AW12</f>
        <v>0</v>
      </c>
      <c r="AY27" s="10">
        <f>'Input - ENR'!AX12</f>
        <v>0</v>
      </c>
      <c r="AZ27" s="9">
        <f>'Input - ENR'!AY12</f>
        <v>0</v>
      </c>
      <c r="BA27" s="9">
        <f>'Input - ENR'!AZ12</f>
        <v>0</v>
      </c>
      <c r="BB27" s="9">
        <f>'Input - ENR'!BA12</f>
        <v>0</v>
      </c>
      <c r="BC27" s="9">
        <f>'Input - ENR'!BB12</f>
        <v>0</v>
      </c>
      <c r="BD27" s="9">
        <f>'Input - ENR'!BC12</f>
        <v>0</v>
      </c>
      <c r="BE27" s="9">
        <f>'Input - ENR'!BD12</f>
        <v>0</v>
      </c>
      <c r="BF27" s="9">
        <f>'Input - ENR'!BE12</f>
        <v>0</v>
      </c>
      <c r="BG27" s="9">
        <f>'Input - ENR'!BF12</f>
        <v>0</v>
      </c>
      <c r="BH27" s="9">
        <f>'Input - ENR'!BG12</f>
        <v>0</v>
      </c>
      <c r="BI27" s="9">
        <f>'Input - ENR'!BH12</f>
        <v>0</v>
      </c>
      <c r="BJ27" s="9">
        <f>'Input - ENR'!BI12</f>
        <v>0</v>
      </c>
      <c r="BK27" s="10">
        <f>'Input - ENR'!BJ12</f>
        <v>0</v>
      </c>
    </row>
    <row r="28" spans="2:63" x14ac:dyDescent="0.35">
      <c r="B28" s="358"/>
      <c r="C28" s="3" t="s">
        <v>20</v>
      </c>
      <c r="D28" s="11">
        <f>'Calculation - Stagewise ECL'!C55</f>
        <v>7547.0547629249413</v>
      </c>
      <c r="E28" s="12">
        <f>'Calculation - Stagewise ECL'!D55</f>
        <v>7499.2351045468185</v>
      </c>
      <c r="F28" s="12">
        <f>'Calculation - Stagewise ECL'!E55</f>
        <v>7242.6472974920052</v>
      </c>
      <c r="G28" s="12">
        <f>'Calculation - Stagewise ECL'!F55</f>
        <v>7008.5371121671214</v>
      </c>
      <c r="H28" s="12">
        <f>'Calculation - Stagewise ECL'!G55</f>
        <v>6802.2110748837422</v>
      </c>
      <c r="I28" s="12">
        <f>'Calculation - Stagewise ECL'!H55</f>
        <v>6617.3849360831255</v>
      </c>
      <c r="J28" s="12">
        <f>'Calculation - Stagewise ECL'!I55</f>
        <v>6445.553009759582</v>
      </c>
      <c r="K28" s="12">
        <f>'Calculation - Stagewise ECL'!J55</f>
        <v>6271.6308302370808</v>
      </c>
      <c r="L28" s="12">
        <f>'Calculation - Stagewise ECL'!K55</f>
        <v>6082.4776299326941</v>
      </c>
      <c r="M28" s="12">
        <f>'Calculation - Stagewise ECL'!L55</f>
        <v>5912.8715184529738</v>
      </c>
      <c r="N28" s="12">
        <f>'Calculation - Stagewise ECL'!M55</f>
        <v>5740.1572158246772</v>
      </c>
      <c r="O28" s="12">
        <f>'Calculation - Stagewise ECL'!N55</f>
        <v>5570.4093246657094</v>
      </c>
      <c r="P28" s="13">
        <f>'Calculation - Stagewise ECL'!O55</f>
        <v>5442.6873472020416</v>
      </c>
      <c r="Q28" s="12">
        <f>'Calculation - Stagewise ECL'!P55</f>
        <v>5190.2924525084072</v>
      </c>
      <c r="R28" s="12">
        <f>'Calculation - Stagewise ECL'!Q55</f>
        <v>4956.1475846878875</v>
      </c>
      <c r="S28" s="12">
        <f>'Calculation - Stagewise ECL'!R55</f>
        <v>4737.3307588249563</v>
      </c>
      <c r="T28" s="12">
        <f>'Calculation - Stagewise ECL'!S55</f>
        <v>4535.1909681156012</v>
      </c>
      <c r="U28" s="12">
        <f>'Calculation - Stagewise ECL'!T55</f>
        <v>4350.1155757640936</v>
      </c>
      <c r="V28" s="12">
        <f>'Calculation - Stagewise ECL'!U55</f>
        <v>4175.7587358515757</v>
      </c>
      <c r="W28" s="12">
        <f>'Calculation - Stagewise ECL'!V55</f>
        <v>4056.9321216231278</v>
      </c>
      <c r="X28" s="12">
        <f>'Calculation - Stagewise ECL'!W55</f>
        <v>3983.0696787759271</v>
      </c>
      <c r="Y28" s="12">
        <f>'Calculation - Stagewise ECL'!X55</f>
        <v>3965.2838865975741</v>
      </c>
      <c r="Z28" s="12">
        <f>'Calculation - Stagewise ECL'!Y55</f>
        <v>4004.6402669918225</v>
      </c>
      <c r="AA28" s="12">
        <f>'Calculation - Stagewise ECL'!Z55</f>
        <v>4092.8025825696668</v>
      </c>
      <c r="AB28" s="13">
        <f>'Calculation - Stagewise ECL'!AA55</f>
        <v>4312.9699345769468</v>
      </c>
      <c r="AC28" s="12">
        <f>'Calculation - Stagewise ECL'!AB55</f>
        <v>4298.7985229956621</v>
      </c>
      <c r="AD28" s="12">
        <f>'Calculation - Stagewise ECL'!AC55</f>
        <v>4336.0705080983262</v>
      </c>
      <c r="AE28" s="12">
        <f>'Calculation - Stagewise ECL'!AD55</f>
        <v>4442.6156179503905</v>
      </c>
      <c r="AF28" s="12">
        <f>'Calculation - Stagewise ECL'!AE55</f>
        <v>4640.6519198919486</v>
      </c>
      <c r="AG28" s="12">
        <f>'Calculation - Stagewise ECL'!AF55</f>
        <v>4935.3040090385084</v>
      </c>
      <c r="AH28" s="12">
        <f>'Calculation - Stagewise ECL'!AG55</f>
        <v>5323.3673879395601</v>
      </c>
      <c r="AI28" s="12">
        <f>'Calculation - Stagewise ECL'!AH55</f>
        <v>6048.1766797186792</v>
      </c>
      <c r="AJ28" s="12">
        <f>'Calculation - Stagewise ECL'!AI55</f>
        <v>6726.4399821409334</v>
      </c>
      <c r="AK28" s="12">
        <f>'Calculation - Stagewise ECL'!AJ55</f>
        <v>7427.8130641786338</v>
      </c>
      <c r="AL28" s="12">
        <f>'Calculation - Stagewise ECL'!AK55</f>
        <v>8150.8118560658158</v>
      </c>
      <c r="AM28" s="13">
        <f>'Calculation - Stagewise ECL'!AL55</f>
        <v>8860.7142590767799</v>
      </c>
      <c r="AN28" s="12">
        <f>'Calculation - Stagewise ECL'!AM55</f>
        <v>9825.0279671444823</v>
      </c>
      <c r="AO28" s="12">
        <f>'Calculation - Stagewise ECL'!AN55</f>
        <v>0</v>
      </c>
      <c r="AP28" s="12">
        <f>'Calculation - Stagewise ECL'!AO55</f>
        <v>0</v>
      </c>
      <c r="AQ28" s="12">
        <f>'Calculation - Stagewise ECL'!AP55</f>
        <v>0</v>
      </c>
      <c r="AR28" s="12">
        <f>'Calculation - Stagewise ECL'!AQ55</f>
        <v>0</v>
      </c>
      <c r="AS28" s="12">
        <f>'Calculation - Stagewise ECL'!AR55</f>
        <v>0</v>
      </c>
      <c r="AT28" s="12">
        <f>'Calculation - Stagewise ECL'!AS55</f>
        <v>0</v>
      </c>
      <c r="AU28" s="12">
        <f>'Calculation - Stagewise ECL'!AT55</f>
        <v>0</v>
      </c>
      <c r="AV28" s="12">
        <f>'Calculation - Stagewise ECL'!AU55</f>
        <v>0</v>
      </c>
      <c r="AW28" s="12">
        <f>'Calculation - Stagewise ECL'!AV55</f>
        <v>0</v>
      </c>
      <c r="AX28" s="12">
        <f>'Calculation - Stagewise ECL'!AW55</f>
        <v>0</v>
      </c>
      <c r="AY28" s="13">
        <f>'Calculation - Stagewise ECL'!AX55</f>
        <v>0</v>
      </c>
      <c r="AZ28" s="12">
        <f>'Calculation - Stagewise ECL'!AY55</f>
        <v>0</v>
      </c>
      <c r="BA28" s="12">
        <f>'Calculation - Stagewise ECL'!AZ55</f>
        <v>0</v>
      </c>
      <c r="BB28" s="12">
        <f>'Calculation - Stagewise ECL'!BA55</f>
        <v>0</v>
      </c>
      <c r="BC28" s="12">
        <f>'Calculation - Stagewise ECL'!BB55</f>
        <v>0</v>
      </c>
      <c r="BD28" s="12">
        <f>'Calculation - Stagewise ECL'!BC55</f>
        <v>0</v>
      </c>
      <c r="BE28" s="12">
        <f>'Calculation - Stagewise ECL'!BD55</f>
        <v>0</v>
      </c>
      <c r="BF28" s="12">
        <f>'Calculation - Stagewise ECL'!BE55</f>
        <v>0</v>
      </c>
      <c r="BG28" s="12">
        <f>'Calculation - Stagewise ECL'!BF55</f>
        <v>0</v>
      </c>
      <c r="BH28" s="12">
        <f>'Calculation - Stagewise ECL'!BG55</f>
        <v>0</v>
      </c>
      <c r="BI28" s="12">
        <f>'Calculation - Stagewise ECL'!BH55</f>
        <v>0</v>
      </c>
      <c r="BJ28" s="12">
        <f>'Calculation - Stagewise ECL'!BI55</f>
        <v>0</v>
      </c>
      <c r="BK28" s="13">
        <f>'Calculation - Stagewise ECL'!BJ55</f>
        <v>0</v>
      </c>
    </row>
    <row r="29" spans="2:63" x14ac:dyDescent="0.35">
      <c r="B29" s="357" t="s">
        <v>156</v>
      </c>
      <c r="C29" s="1" t="s">
        <v>19</v>
      </c>
      <c r="D29" s="162">
        <f>D25/D27</f>
        <v>0</v>
      </c>
      <c r="E29" s="163">
        <f t="shared" ref="E29:BK29" si="180">E25/E27</f>
        <v>0</v>
      </c>
      <c r="F29" s="163">
        <f t="shared" si="180"/>
        <v>0</v>
      </c>
      <c r="G29" s="163">
        <f t="shared" si="180"/>
        <v>0</v>
      </c>
      <c r="H29" s="163">
        <f t="shared" si="180"/>
        <v>0</v>
      </c>
      <c r="I29" s="163">
        <f t="shared" si="180"/>
        <v>0</v>
      </c>
      <c r="J29" s="163">
        <f t="shared" si="180"/>
        <v>0</v>
      </c>
      <c r="K29" s="163">
        <f t="shared" si="180"/>
        <v>0</v>
      </c>
      <c r="L29" s="163">
        <f t="shared" si="180"/>
        <v>0</v>
      </c>
      <c r="M29" s="163">
        <f t="shared" si="180"/>
        <v>0</v>
      </c>
      <c r="N29" s="163">
        <f t="shared" si="180"/>
        <v>0</v>
      </c>
      <c r="O29" s="163">
        <f t="shared" si="180"/>
        <v>0</v>
      </c>
      <c r="P29" s="164">
        <f t="shared" si="180"/>
        <v>0</v>
      </c>
      <c r="Q29" s="163">
        <f t="shared" si="180"/>
        <v>0</v>
      </c>
      <c r="R29" s="163">
        <f t="shared" si="180"/>
        <v>0</v>
      </c>
      <c r="S29" s="163">
        <f t="shared" si="180"/>
        <v>0</v>
      </c>
      <c r="T29" s="163">
        <f t="shared" si="180"/>
        <v>0</v>
      </c>
      <c r="U29" s="163">
        <f t="shared" si="180"/>
        <v>0</v>
      </c>
      <c r="V29" s="163">
        <f t="shared" si="180"/>
        <v>0</v>
      </c>
      <c r="W29" s="163">
        <f t="shared" si="180"/>
        <v>0</v>
      </c>
      <c r="X29" s="163">
        <f t="shared" si="180"/>
        <v>0</v>
      </c>
      <c r="Y29" s="163">
        <f t="shared" si="180"/>
        <v>0</v>
      </c>
      <c r="Z29" s="163">
        <f t="shared" si="180"/>
        <v>0</v>
      </c>
      <c r="AA29" s="163">
        <f t="shared" si="180"/>
        <v>0</v>
      </c>
      <c r="AB29" s="164">
        <f t="shared" si="180"/>
        <v>0</v>
      </c>
      <c r="AC29" s="163">
        <f t="shared" si="180"/>
        <v>0</v>
      </c>
      <c r="AD29" s="163">
        <f t="shared" si="180"/>
        <v>0</v>
      </c>
      <c r="AE29" s="163">
        <f t="shared" si="180"/>
        <v>0</v>
      </c>
      <c r="AF29" s="163">
        <f t="shared" si="180"/>
        <v>0</v>
      </c>
      <c r="AG29" s="163">
        <f t="shared" si="180"/>
        <v>0</v>
      </c>
      <c r="AH29" s="163">
        <f t="shared" si="180"/>
        <v>0</v>
      </c>
      <c r="AI29" s="163">
        <f t="shared" si="180"/>
        <v>0</v>
      </c>
      <c r="AJ29" s="163">
        <f t="shared" si="180"/>
        <v>0</v>
      </c>
      <c r="AK29" s="163">
        <f t="shared" si="180"/>
        <v>0</v>
      </c>
      <c r="AL29" s="163">
        <f t="shared" si="180"/>
        <v>0</v>
      </c>
      <c r="AM29" s="164">
        <f t="shared" si="180"/>
        <v>0</v>
      </c>
      <c r="AN29" s="163">
        <f t="shared" si="180"/>
        <v>0</v>
      </c>
      <c r="AO29" s="163" t="e">
        <f t="shared" si="180"/>
        <v>#DIV/0!</v>
      </c>
      <c r="AP29" s="163" t="e">
        <f t="shared" si="180"/>
        <v>#DIV/0!</v>
      </c>
      <c r="AQ29" s="163" t="e">
        <f t="shared" si="180"/>
        <v>#DIV/0!</v>
      </c>
      <c r="AR29" s="163" t="e">
        <f t="shared" si="180"/>
        <v>#DIV/0!</v>
      </c>
      <c r="AS29" s="163" t="e">
        <f t="shared" si="180"/>
        <v>#DIV/0!</v>
      </c>
      <c r="AT29" s="163" t="e">
        <f t="shared" si="180"/>
        <v>#DIV/0!</v>
      </c>
      <c r="AU29" s="163" t="e">
        <f t="shared" si="180"/>
        <v>#DIV/0!</v>
      </c>
      <c r="AV29" s="163" t="e">
        <f t="shared" si="180"/>
        <v>#DIV/0!</v>
      </c>
      <c r="AW29" s="163" t="e">
        <f t="shared" si="180"/>
        <v>#DIV/0!</v>
      </c>
      <c r="AX29" s="163" t="e">
        <f t="shared" si="180"/>
        <v>#DIV/0!</v>
      </c>
      <c r="AY29" s="164" t="e">
        <f t="shared" si="180"/>
        <v>#DIV/0!</v>
      </c>
      <c r="AZ29" s="163" t="e">
        <f t="shared" si="180"/>
        <v>#DIV/0!</v>
      </c>
      <c r="BA29" s="163" t="e">
        <f t="shared" si="180"/>
        <v>#DIV/0!</v>
      </c>
      <c r="BB29" s="163" t="e">
        <f t="shared" si="180"/>
        <v>#DIV/0!</v>
      </c>
      <c r="BC29" s="163" t="e">
        <f t="shared" si="180"/>
        <v>#DIV/0!</v>
      </c>
      <c r="BD29" s="163" t="e">
        <f t="shared" si="180"/>
        <v>#DIV/0!</v>
      </c>
      <c r="BE29" s="163" t="e">
        <f t="shared" si="180"/>
        <v>#DIV/0!</v>
      </c>
      <c r="BF29" s="163" t="e">
        <f t="shared" si="180"/>
        <v>#DIV/0!</v>
      </c>
      <c r="BG29" s="163" t="e">
        <f t="shared" si="180"/>
        <v>#DIV/0!</v>
      </c>
      <c r="BH29" s="163" t="e">
        <f t="shared" si="180"/>
        <v>#DIV/0!</v>
      </c>
      <c r="BI29" s="163" t="e">
        <f t="shared" si="180"/>
        <v>#DIV/0!</v>
      </c>
      <c r="BJ29" s="163" t="e">
        <f t="shared" si="180"/>
        <v>#DIV/0!</v>
      </c>
      <c r="BK29" s="164" t="e">
        <f t="shared" si="180"/>
        <v>#DIV/0!</v>
      </c>
    </row>
    <row r="30" spans="2:63" x14ac:dyDescent="0.35">
      <c r="B30" s="358"/>
      <c r="C30" s="3" t="s">
        <v>20</v>
      </c>
      <c r="D30" s="165">
        <f>IFERROR((D24/D23)*D29,0)</f>
        <v>0</v>
      </c>
      <c r="E30" s="166">
        <f t="shared" ref="E30:BK30" si="181">IFERROR((E24/E23)*E29,0)</f>
        <v>0</v>
      </c>
      <c r="F30" s="166">
        <f t="shared" si="181"/>
        <v>0</v>
      </c>
      <c r="G30" s="166">
        <f t="shared" si="181"/>
        <v>0</v>
      </c>
      <c r="H30" s="166">
        <f t="shared" si="181"/>
        <v>0</v>
      </c>
      <c r="I30" s="166">
        <f t="shared" si="181"/>
        <v>0</v>
      </c>
      <c r="J30" s="166">
        <f t="shared" si="181"/>
        <v>0</v>
      </c>
      <c r="K30" s="166">
        <f t="shared" si="181"/>
        <v>0</v>
      </c>
      <c r="L30" s="166">
        <f t="shared" si="181"/>
        <v>0</v>
      </c>
      <c r="M30" s="166">
        <f t="shared" si="181"/>
        <v>0</v>
      </c>
      <c r="N30" s="166">
        <f t="shared" si="181"/>
        <v>0</v>
      </c>
      <c r="O30" s="166">
        <f t="shared" si="181"/>
        <v>0</v>
      </c>
      <c r="P30" s="167">
        <f t="shared" si="181"/>
        <v>0</v>
      </c>
      <c r="Q30" s="166">
        <f t="shared" si="181"/>
        <v>0</v>
      </c>
      <c r="R30" s="166">
        <f t="shared" si="181"/>
        <v>0</v>
      </c>
      <c r="S30" s="166">
        <f t="shared" si="181"/>
        <v>0</v>
      </c>
      <c r="T30" s="166">
        <f t="shared" si="181"/>
        <v>0</v>
      </c>
      <c r="U30" s="166">
        <f t="shared" si="181"/>
        <v>0</v>
      </c>
      <c r="V30" s="166">
        <f t="shared" si="181"/>
        <v>0</v>
      </c>
      <c r="W30" s="166">
        <f t="shared" si="181"/>
        <v>0</v>
      </c>
      <c r="X30" s="166">
        <f t="shared" si="181"/>
        <v>0</v>
      </c>
      <c r="Y30" s="166">
        <f t="shared" si="181"/>
        <v>0</v>
      </c>
      <c r="Z30" s="166">
        <f t="shared" si="181"/>
        <v>0</v>
      </c>
      <c r="AA30" s="166">
        <f t="shared" si="181"/>
        <v>0</v>
      </c>
      <c r="AB30" s="167">
        <f t="shared" si="181"/>
        <v>0</v>
      </c>
      <c r="AC30" s="166">
        <f t="shared" si="181"/>
        <v>0</v>
      </c>
      <c r="AD30" s="166">
        <f t="shared" si="181"/>
        <v>0</v>
      </c>
      <c r="AE30" s="166">
        <f t="shared" si="181"/>
        <v>0</v>
      </c>
      <c r="AF30" s="166">
        <f t="shared" si="181"/>
        <v>0</v>
      </c>
      <c r="AG30" s="166">
        <f t="shared" si="181"/>
        <v>0</v>
      </c>
      <c r="AH30" s="166">
        <f t="shared" si="181"/>
        <v>0</v>
      </c>
      <c r="AI30" s="166">
        <f t="shared" si="181"/>
        <v>0</v>
      </c>
      <c r="AJ30" s="166">
        <f t="shared" si="181"/>
        <v>0</v>
      </c>
      <c r="AK30" s="166">
        <f t="shared" si="181"/>
        <v>0</v>
      </c>
      <c r="AL30" s="166">
        <f t="shared" si="181"/>
        <v>0</v>
      </c>
      <c r="AM30" s="167">
        <f t="shared" si="181"/>
        <v>0</v>
      </c>
      <c r="AN30" s="166">
        <f t="shared" si="181"/>
        <v>0</v>
      </c>
      <c r="AO30" s="166">
        <f t="shared" si="181"/>
        <v>0</v>
      </c>
      <c r="AP30" s="166">
        <f t="shared" si="181"/>
        <v>0</v>
      </c>
      <c r="AQ30" s="166">
        <f t="shared" si="181"/>
        <v>0</v>
      </c>
      <c r="AR30" s="166">
        <f t="shared" si="181"/>
        <v>0</v>
      </c>
      <c r="AS30" s="166">
        <f t="shared" si="181"/>
        <v>0</v>
      </c>
      <c r="AT30" s="166">
        <f t="shared" si="181"/>
        <v>0</v>
      </c>
      <c r="AU30" s="166">
        <f t="shared" si="181"/>
        <v>0</v>
      </c>
      <c r="AV30" s="166">
        <f t="shared" si="181"/>
        <v>0</v>
      </c>
      <c r="AW30" s="166">
        <f t="shared" si="181"/>
        <v>0</v>
      </c>
      <c r="AX30" s="166">
        <f t="shared" si="181"/>
        <v>0</v>
      </c>
      <c r="AY30" s="167">
        <f t="shared" si="181"/>
        <v>0</v>
      </c>
      <c r="AZ30" s="166">
        <f t="shared" si="181"/>
        <v>0</v>
      </c>
      <c r="BA30" s="166">
        <f t="shared" si="181"/>
        <v>0</v>
      </c>
      <c r="BB30" s="166">
        <f t="shared" si="181"/>
        <v>0</v>
      </c>
      <c r="BC30" s="166">
        <f t="shared" si="181"/>
        <v>0</v>
      </c>
      <c r="BD30" s="166">
        <f t="shared" si="181"/>
        <v>0</v>
      </c>
      <c r="BE30" s="166">
        <f t="shared" si="181"/>
        <v>0</v>
      </c>
      <c r="BF30" s="166">
        <f t="shared" si="181"/>
        <v>0</v>
      </c>
      <c r="BG30" s="166">
        <f t="shared" si="181"/>
        <v>0</v>
      </c>
      <c r="BH30" s="166">
        <f t="shared" si="181"/>
        <v>0</v>
      </c>
      <c r="BI30" s="166">
        <f t="shared" si="181"/>
        <v>0</v>
      </c>
      <c r="BJ30" s="166">
        <f t="shared" si="181"/>
        <v>0</v>
      </c>
      <c r="BK30" s="167">
        <f t="shared" si="181"/>
        <v>0</v>
      </c>
    </row>
  </sheetData>
  <mergeCells count="12">
    <mergeCell ref="B29:B30"/>
    <mergeCell ref="B3:B4"/>
    <mergeCell ref="B5:B6"/>
    <mergeCell ref="B7:B8"/>
    <mergeCell ref="B9:B10"/>
    <mergeCell ref="B13:B14"/>
    <mergeCell ref="B15:B16"/>
    <mergeCell ref="B17:B18"/>
    <mergeCell ref="B19:B20"/>
    <mergeCell ref="B23:B24"/>
    <mergeCell ref="B25:B26"/>
    <mergeCell ref="B27:B28"/>
  </mergeCells>
  <conditionalFormatting sqref="D4:BK4">
    <cfRule type="expression" dxfId="59" priority="178">
      <formula>D$1="SL3"</formula>
    </cfRule>
    <cfRule type="expression" dxfId="58" priority="179">
      <formula>D$1="SL2"</formula>
    </cfRule>
    <cfRule type="expression" dxfId="57" priority="180">
      <formula>D$1="SL1"</formula>
    </cfRule>
  </conditionalFormatting>
  <conditionalFormatting sqref="D6:BK6">
    <cfRule type="expression" dxfId="56" priority="175">
      <formula>D$1="SL3"</formula>
    </cfRule>
    <cfRule type="expression" dxfId="55" priority="176">
      <formula>D$1="SL2"</formula>
    </cfRule>
    <cfRule type="expression" dxfId="54" priority="177">
      <formula>D$1="SL1"</formula>
    </cfRule>
  </conditionalFormatting>
  <conditionalFormatting sqref="D8:BK8">
    <cfRule type="expression" dxfId="53" priority="172">
      <formula>D$1="SL3"</formula>
    </cfRule>
    <cfRule type="expression" dxfId="52" priority="173">
      <formula>D$1="SL2"</formula>
    </cfRule>
    <cfRule type="expression" dxfId="51" priority="174">
      <formula>D$1="SL1"</formula>
    </cfRule>
  </conditionalFormatting>
  <conditionalFormatting sqref="D10:BK10">
    <cfRule type="expression" dxfId="50" priority="169">
      <formula>D$1="SL3"</formula>
    </cfRule>
    <cfRule type="expression" dxfId="49" priority="170">
      <formula>D$1="SL2"</formula>
    </cfRule>
    <cfRule type="expression" dxfId="48" priority="171">
      <formula>D$1="SL1"</formula>
    </cfRule>
  </conditionalFormatting>
  <conditionalFormatting sqref="D14:BK14">
    <cfRule type="expression" dxfId="47" priority="166">
      <formula>D$1="SL3"</formula>
    </cfRule>
    <cfRule type="expression" dxfId="46" priority="167">
      <formula>D$1="SL2"</formula>
    </cfRule>
    <cfRule type="expression" dxfId="45" priority="168">
      <formula>D$1="SL1"</formula>
    </cfRule>
  </conditionalFormatting>
  <conditionalFormatting sqref="D16:BK16">
    <cfRule type="expression" dxfId="44" priority="163">
      <formula>D$1="SL3"</formula>
    </cfRule>
    <cfRule type="expression" dxfId="43" priority="164">
      <formula>D$1="SL2"</formula>
    </cfRule>
    <cfRule type="expression" dxfId="42" priority="165">
      <formula>D$1="SL1"</formula>
    </cfRule>
  </conditionalFormatting>
  <conditionalFormatting sqref="D18:BK18">
    <cfRule type="expression" dxfId="41" priority="160">
      <formula>D$1="SL3"</formula>
    </cfRule>
    <cfRule type="expression" dxfId="40" priority="161">
      <formula>D$1="SL2"</formula>
    </cfRule>
    <cfRule type="expression" dxfId="39" priority="162">
      <formula>D$1="SL1"</formula>
    </cfRule>
  </conditionalFormatting>
  <conditionalFormatting sqref="D20:BK20">
    <cfRule type="expression" dxfId="38" priority="157">
      <formula>D$1="SL3"</formula>
    </cfRule>
    <cfRule type="expression" dxfId="37" priority="158">
      <formula>D$1="SL2"</formula>
    </cfRule>
    <cfRule type="expression" dxfId="36" priority="159">
      <formula>D$1="SL1"</formula>
    </cfRule>
  </conditionalFormatting>
  <conditionalFormatting sqref="D24:BK24">
    <cfRule type="expression" dxfId="35" priority="154">
      <formula>D$1="SL3"</formula>
    </cfRule>
    <cfRule type="expression" dxfId="34" priority="155">
      <formula>D$1="SL2"</formula>
    </cfRule>
    <cfRule type="expression" dxfId="33" priority="156">
      <formula>D$1="SL1"</formula>
    </cfRule>
  </conditionalFormatting>
  <conditionalFormatting sqref="D26:BK26">
    <cfRule type="expression" dxfId="32" priority="151">
      <formula>D$1="SL3"</formula>
    </cfRule>
    <cfRule type="expression" dxfId="31" priority="152">
      <formula>D$1="SL2"</formula>
    </cfRule>
    <cfRule type="expression" dxfId="30" priority="153">
      <formula>D$1="SL1"</formula>
    </cfRule>
  </conditionalFormatting>
  <conditionalFormatting sqref="D28:BK28">
    <cfRule type="expression" dxfId="29" priority="148">
      <formula>D$1="SL3"</formula>
    </cfRule>
    <cfRule type="expression" dxfId="28" priority="149">
      <formula>D$1="SL2"</formula>
    </cfRule>
    <cfRule type="expression" dxfId="27" priority="150">
      <formula>D$1="SL1"</formula>
    </cfRule>
  </conditionalFormatting>
  <conditionalFormatting sqref="D30:BK30">
    <cfRule type="expression" dxfId="26" priority="145">
      <formula>D$1="SL3"</formula>
    </cfRule>
    <cfRule type="expression" dxfId="25" priority="146">
      <formula>D$1="SL2"</formula>
    </cfRule>
    <cfRule type="expression" dxfId="24" priority="147">
      <formula>D$1="SL1"</formula>
    </cfRule>
  </conditionalFormatting>
  <pageMargins left="0.7" right="0.7" top="0.75" bottom="0.75" header="0.3" footer="0.3"/>
  <pageSetup orientation="portrait" horizontalDpi="0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BJ31"/>
  <sheetViews>
    <sheetView showGridLines="0" workbookViewId="0">
      <pane xSplit="1" ySplit="2" topLeftCell="C3" activePane="bottomRight" state="frozen"/>
      <selection activeCell="T1" sqref="T1:Y1"/>
      <selection pane="topRight" activeCell="T1" sqref="T1:Y1"/>
      <selection pane="bottomLeft" activeCell="T1" sqref="T1:Y1"/>
      <selection pane="bottomRight" activeCell="H10" sqref="H10"/>
    </sheetView>
  </sheetViews>
  <sheetFormatPr defaultRowHeight="14.5" x14ac:dyDescent="0.35"/>
  <cols>
    <col min="1" max="1" width="24.81640625" bestFit="1" customWidth="1"/>
    <col min="2" max="2" width="25.1796875" bestFit="1" customWidth="1"/>
    <col min="3" max="25" width="10.81640625" bestFit="1" customWidth="1"/>
    <col min="26" max="38" width="12.1796875" bestFit="1" customWidth="1"/>
    <col min="39" max="39" width="9.54296875" customWidth="1"/>
    <col min="40" max="62" width="9.54296875" hidden="1" customWidth="1"/>
  </cols>
  <sheetData>
    <row r="1" spans="1:62" x14ac:dyDescent="0.35">
      <c r="A1" s="122" t="s">
        <v>117</v>
      </c>
      <c r="C1" s="28" t="str">
        <f>LOOKUP(C2,'Input-Stress Parameters'!$C$9:$BJ$9,'Input-Stress Parameters'!$C$11:$BJ$11)</f>
        <v>N</v>
      </c>
      <c r="D1" s="28" t="str">
        <f>LOOKUP(D2,'Input-Stress Parameters'!$C$9:$BJ$9,'Input-Stress Parameters'!$C$11:$BJ$11)</f>
        <v>SL1</v>
      </c>
      <c r="E1" s="28" t="str">
        <f>LOOKUP(E2,'Input-Stress Parameters'!$C$9:$BJ$9,'Input-Stress Parameters'!$C$11:$BJ$11)</f>
        <v>SL1</v>
      </c>
      <c r="F1" s="28" t="str">
        <f>LOOKUP(F2,'Input-Stress Parameters'!$C$9:$BJ$9,'Input-Stress Parameters'!$C$11:$BJ$11)</f>
        <v>SL1</v>
      </c>
      <c r="G1" s="28" t="str">
        <f>LOOKUP(G2,'Input-Stress Parameters'!$C$9:$BJ$9,'Input-Stress Parameters'!$C$11:$BJ$11)</f>
        <v>SL1</v>
      </c>
      <c r="H1" s="28" t="str">
        <f>LOOKUP(H2,'Input-Stress Parameters'!$C$9:$BJ$9,'Input-Stress Parameters'!$C$11:$BJ$11)</f>
        <v>SL1</v>
      </c>
      <c r="I1" s="28" t="str">
        <f>LOOKUP(I2,'Input-Stress Parameters'!$C$9:$BJ$9,'Input-Stress Parameters'!$C$11:$BJ$11)</f>
        <v>SL1</v>
      </c>
      <c r="J1" s="28" t="str">
        <f>LOOKUP(J2,'Input-Stress Parameters'!$C$9:$BJ$9,'Input-Stress Parameters'!$C$11:$BJ$11)</f>
        <v>SL2</v>
      </c>
      <c r="K1" s="28" t="str">
        <f>LOOKUP(K2,'Input-Stress Parameters'!$C$9:$BJ$9,'Input-Stress Parameters'!$C$11:$BJ$11)</f>
        <v>SL2</v>
      </c>
      <c r="L1" s="28" t="str">
        <f>LOOKUP(L2,'Input-Stress Parameters'!$C$9:$BJ$9,'Input-Stress Parameters'!$C$11:$BJ$11)</f>
        <v>SL2</v>
      </c>
      <c r="M1" s="28" t="str">
        <f>LOOKUP(M2,'Input-Stress Parameters'!$C$9:$BJ$9,'Input-Stress Parameters'!$C$11:$BJ$11)</f>
        <v>SL2</v>
      </c>
      <c r="N1" s="28" t="str">
        <f>LOOKUP(N2,'Input-Stress Parameters'!$C$9:$BJ$9,'Input-Stress Parameters'!$C$11:$BJ$11)</f>
        <v>SL2</v>
      </c>
      <c r="O1" s="28" t="str">
        <f>LOOKUP(O2,'Input-Stress Parameters'!$C$9:$BJ$9,'Input-Stress Parameters'!$C$11:$BJ$11)</f>
        <v>SL2</v>
      </c>
      <c r="P1" s="28" t="str">
        <f>LOOKUP(P2,'Input-Stress Parameters'!$C$9:$BJ$9,'Input-Stress Parameters'!$C$11:$BJ$11)</f>
        <v>SL2</v>
      </c>
      <c r="Q1" s="28" t="str">
        <f>LOOKUP(Q2,'Input-Stress Parameters'!$C$9:$BJ$9,'Input-Stress Parameters'!$C$11:$BJ$11)</f>
        <v>SL2</v>
      </c>
      <c r="R1" s="28" t="str">
        <f>LOOKUP(R2,'Input-Stress Parameters'!$C$9:$BJ$9,'Input-Stress Parameters'!$C$11:$BJ$11)</f>
        <v>SL2</v>
      </c>
      <c r="S1" s="28" t="str">
        <f>LOOKUP(S2,'Input-Stress Parameters'!$C$9:$BJ$9,'Input-Stress Parameters'!$C$11:$BJ$11)</f>
        <v>SL2</v>
      </c>
      <c r="T1" s="28" t="str">
        <f>LOOKUP(T2,'Input-Stress Parameters'!$C$9:$BJ$9,'Input-Stress Parameters'!$C$11:$BJ$11)</f>
        <v>SL2</v>
      </c>
      <c r="U1" s="28" t="str">
        <f>LOOKUP(U2,'Input-Stress Parameters'!$C$9:$BJ$9,'Input-Stress Parameters'!$C$11:$BJ$11)</f>
        <v>SL2</v>
      </c>
      <c r="V1" s="28" t="str">
        <f>LOOKUP(V2,'Input-Stress Parameters'!$C$9:$BJ$9,'Input-Stress Parameters'!$C$11:$BJ$11)</f>
        <v>SL3</v>
      </c>
      <c r="W1" s="28" t="str">
        <f>LOOKUP(W2,'Input-Stress Parameters'!$C$9:$BJ$9,'Input-Stress Parameters'!$C$11:$BJ$11)</f>
        <v>SL3</v>
      </c>
      <c r="X1" s="28" t="str">
        <f>LOOKUP(X2,'Input-Stress Parameters'!$C$9:$BJ$9,'Input-Stress Parameters'!$C$11:$BJ$11)</f>
        <v>SL3</v>
      </c>
      <c r="Y1" s="28" t="str">
        <f>LOOKUP(Y2,'Input-Stress Parameters'!$C$9:$BJ$9,'Input-Stress Parameters'!$C$11:$BJ$11)</f>
        <v>SL3</v>
      </c>
      <c r="Z1" s="28" t="str">
        <f>LOOKUP(Z2,'Input-Stress Parameters'!$C$9:$BJ$9,'Input-Stress Parameters'!$C$11:$BJ$11)</f>
        <v>SL3</v>
      </c>
      <c r="AA1" s="28" t="str">
        <f>LOOKUP(AA2,'Input-Stress Parameters'!$C$9:$BJ$9,'Input-Stress Parameters'!$C$11:$BJ$11)</f>
        <v>SL3</v>
      </c>
      <c r="AB1" s="28" t="str">
        <f>LOOKUP(AB2,'Input-Stress Parameters'!$C$9:$BJ$9,'Input-Stress Parameters'!$C$11:$BJ$11)</f>
        <v>SL3</v>
      </c>
      <c r="AC1" s="28" t="str">
        <f>LOOKUP(AC2,'Input-Stress Parameters'!$C$9:$BJ$9,'Input-Stress Parameters'!$C$11:$BJ$11)</f>
        <v>SL3</v>
      </c>
      <c r="AD1" s="28" t="str">
        <f>LOOKUP(AD2,'Input-Stress Parameters'!$C$9:$BJ$9,'Input-Stress Parameters'!$C$11:$BJ$11)</f>
        <v>SL3</v>
      </c>
      <c r="AE1" s="28" t="str">
        <f>LOOKUP(AE2,'Input-Stress Parameters'!$C$9:$BJ$9,'Input-Stress Parameters'!$C$11:$BJ$11)</f>
        <v>SL3</v>
      </c>
      <c r="AF1" s="28" t="str">
        <f>LOOKUP(AF2,'Input-Stress Parameters'!$C$9:$BJ$9,'Input-Stress Parameters'!$C$11:$BJ$11)</f>
        <v>SL3</v>
      </c>
      <c r="AG1" s="28" t="str">
        <f>LOOKUP(AG2,'Input-Stress Parameters'!$C$9:$BJ$9,'Input-Stress Parameters'!$C$11:$BJ$11)</f>
        <v>SL3</v>
      </c>
      <c r="AH1" s="28" t="str">
        <f>LOOKUP(AH2,'Input-Stress Parameters'!$C$9:$BJ$9,'Input-Stress Parameters'!$C$11:$BJ$11)</f>
        <v>N</v>
      </c>
      <c r="AI1" s="28" t="str">
        <f>LOOKUP(AI2,'Input-Stress Parameters'!$C$9:$BJ$9,'Input-Stress Parameters'!$C$11:$BJ$11)</f>
        <v>N</v>
      </c>
      <c r="AJ1" s="28" t="str">
        <f>LOOKUP(AJ2,'Input-Stress Parameters'!$C$9:$BJ$9,'Input-Stress Parameters'!$C$11:$BJ$11)</f>
        <v>N</v>
      </c>
      <c r="AK1" s="28" t="str">
        <f>LOOKUP(AK2,'Input-Stress Parameters'!$C$9:$BJ$9,'Input-Stress Parameters'!$C$11:$BJ$11)</f>
        <v>N</v>
      </c>
      <c r="AL1" s="28" t="str">
        <f>LOOKUP(AL2,'Input-Stress Parameters'!$C$9:$BJ$9,'Input-Stress Parameters'!$C$11:$BJ$11)</f>
        <v>N</v>
      </c>
      <c r="AM1" s="28" t="str">
        <f>LOOKUP(AM2,'Input-Stress Parameters'!$C$9:$BJ$9,'Input-Stress Parameters'!$C$11:$BJ$11)</f>
        <v>N</v>
      </c>
      <c r="AN1" s="28" t="str">
        <f>LOOKUP(AN2,'Input-Stress Parameters'!$C$9:$BJ$9,'Input-Stress Parameters'!$C$11:$BJ$11)</f>
        <v>N</v>
      </c>
      <c r="AO1" s="28" t="str">
        <f>LOOKUP(AO2,'Input-Stress Parameters'!$C$9:$BJ$9,'Input-Stress Parameters'!$C$11:$BJ$11)</f>
        <v>N</v>
      </c>
      <c r="AP1" s="28" t="str">
        <f>LOOKUP(AP2,'Input-Stress Parameters'!$C$9:$BJ$9,'Input-Stress Parameters'!$C$11:$BJ$11)</f>
        <v>N</v>
      </c>
      <c r="AQ1" s="28" t="str">
        <f>LOOKUP(AQ2,'Input-Stress Parameters'!$C$9:$BJ$9,'Input-Stress Parameters'!$C$11:$BJ$11)</f>
        <v>N</v>
      </c>
      <c r="AR1" s="28" t="str">
        <f>LOOKUP(AR2,'Input-Stress Parameters'!$C$9:$BJ$9,'Input-Stress Parameters'!$C$11:$BJ$11)</f>
        <v>N</v>
      </c>
      <c r="AS1" s="28" t="str">
        <f>LOOKUP(AS2,'Input-Stress Parameters'!$C$9:$BJ$9,'Input-Stress Parameters'!$C$11:$BJ$11)</f>
        <v>N</v>
      </c>
      <c r="AT1" s="28" t="str">
        <f>LOOKUP(AT2,'Input-Stress Parameters'!$C$9:$BJ$9,'Input-Stress Parameters'!$C$11:$BJ$11)</f>
        <v>N</v>
      </c>
      <c r="AU1" s="28" t="str">
        <f>LOOKUP(AU2,'Input-Stress Parameters'!$C$9:$BJ$9,'Input-Stress Parameters'!$C$11:$BJ$11)</f>
        <v>N</v>
      </c>
      <c r="AV1" s="28" t="str">
        <f>LOOKUP(AV2,'Input-Stress Parameters'!$C$9:$BJ$9,'Input-Stress Parameters'!$C$11:$BJ$11)</f>
        <v>N</v>
      </c>
      <c r="AW1" s="28" t="str">
        <f>LOOKUP(AW2,'Input-Stress Parameters'!$C$9:$BJ$9,'Input-Stress Parameters'!$C$11:$BJ$11)</f>
        <v>N</v>
      </c>
      <c r="AX1" s="28" t="str">
        <f>LOOKUP(AX2,'Input-Stress Parameters'!$C$9:$BJ$9,'Input-Stress Parameters'!$C$11:$BJ$11)</f>
        <v>N</v>
      </c>
      <c r="AY1" s="28" t="str">
        <f>LOOKUP(AY2,'Input-Stress Parameters'!$C$9:$BJ$9,'Input-Stress Parameters'!$C$11:$BJ$11)</f>
        <v>N</v>
      </c>
      <c r="AZ1" s="28" t="str">
        <f>LOOKUP(AZ2,'Input-Stress Parameters'!$C$9:$BJ$9,'Input-Stress Parameters'!$C$11:$BJ$11)</f>
        <v>N</v>
      </c>
      <c r="BA1" s="28" t="str">
        <f>LOOKUP(BA2,'Input-Stress Parameters'!$C$9:$BJ$9,'Input-Stress Parameters'!$C$11:$BJ$11)</f>
        <v>N</v>
      </c>
      <c r="BB1" s="28" t="str">
        <f>LOOKUP(BB2,'Input-Stress Parameters'!$C$9:$BJ$9,'Input-Stress Parameters'!$C$11:$BJ$11)</f>
        <v>N</v>
      </c>
      <c r="BC1" s="28" t="str">
        <f>LOOKUP(BC2,'Input-Stress Parameters'!$C$9:$BJ$9,'Input-Stress Parameters'!$C$11:$BJ$11)</f>
        <v>N</v>
      </c>
      <c r="BD1" s="28" t="str">
        <f>LOOKUP(BD2,'Input-Stress Parameters'!$C$9:$BJ$9,'Input-Stress Parameters'!$C$11:$BJ$11)</f>
        <v>N</v>
      </c>
      <c r="BE1" s="28" t="str">
        <f>LOOKUP(BE2,'Input-Stress Parameters'!$C$9:$BJ$9,'Input-Stress Parameters'!$C$11:$BJ$11)</f>
        <v>N</v>
      </c>
      <c r="BF1" s="28" t="str">
        <f>LOOKUP(BF2,'Input-Stress Parameters'!$C$9:$BJ$9,'Input-Stress Parameters'!$C$11:$BJ$11)</f>
        <v>N</v>
      </c>
      <c r="BG1" s="28" t="str">
        <f>LOOKUP(BG2,'Input-Stress Parameters'!$C$9:$BJ$9,'Input-Stress Parameters'!$C$11:$BJ$11)</f>
        <v>N</v>
      </c>
      <c r="BH1" s="28" t="str">
        <f>LOOKUP(BH2,'Input-Stress Parameters'!$C$9:$BJ$9,'Input-Stress Parameters'!$C$11:$BJ$11)</f>
        <v>N</v>
      </c>
      <c r="BI1" s="28" t="str">
        <f>LOOKUP(BI2,'Input-Stress Parameters'!$C$9:$BJ$9,'Input-Stress Parameters'!$C$11:$BJ$11)</f>
        <v>N</v>
      </c>
      <c r="BJ1" s="28" t="str">
        <f>LOOKUP(BJ2,'Input-Stress Parameters'!$C$9:$BJ$9,'Input-Stress Parameters'!$C$11:$BJ$11)</f>
        <v>N</v>
      </c>
    </row>
    <row r="2" spans="1:62" x14ac:dyDescent="0.35">
      <c r="A2" s="25" t="s">
        <v>34</v>
      </c>
      <c r="B2" s="4" t="s">
        <v>3</v>
      </c>
      <c r="C2" s="19">
        <f>'Input-Stress Parameters'!C9</f>
        <v>45352</v>
      </c>
      <c r="D2" s="20">
        <f>EDATE(C2,1)</f>
        <v>45383</v>
      </c>
      <c r="E2" s="20">
        <f>EDATE(D2,1)</f>
        <v>45413</v>
      </c>
      <c r="F2" s="20">
        <f>EDATE(E2,1)</f>
        <v>45444</v>
      </c>
      <c r="G2" s="20">
        <f t="shared" ref="G2:AL2" si="0">EDATE(F2,1)</f>
        <v>45474</v>
      </c>
      <c r="H2" s="20">
        <f t="shared" si="0"/>
        <v>45505</v>
      </c>
      <c r="I2" s="20">
        <f t="shared" si="0"/>
        <v>45536</v>
      </c>
      <c r="J2" s="20">
        <f t="shared" si="0"/>
        <v>45566</v>
      </c>
      <c r="K2" s="20">
        <f t="shared" si="0"/>
        <v>45597</v>
      </c>
      <c r="L2" s="20">
        <f t="shared" si="0"/>
        <v>45627</v>
      </c>
      <c r="M2" s="20">
        <f t="shared" si="0"/>
        <v>45658</v>
      </c>
      <c r="N2" s="20">
        <f t="shared" si="0"/>
        <v>45689</v>
      </c>
      <c r="O2" s="21">
        <f t="shared" si="0"/>
        <v>45717</v>
      </c>
      <c r="P2" s="20">
        <f t="shared" si="0"/>
        <v>45748</v>
      </c>
      <c r="Q2" s="20">
        <f t="shared" si="0"/>
        <v>45778</v>
      </c>
      <c r="R2" s="20">
        <f t="shared" si="0"/>
        <v>45809</v>
      </c>
      <c r="S2" s="20">
        <f t="shared" si="0"/>
        <v>45839</v>
      </c>
      <c r="T2" s="20">
        <f t="shared" si="0"/>
        <v>45870</v>
      </c>
      <c r="U2" s="20">
        <f t="shared" si="0"/>
        <v>45901</v>
      </c>
      <c r="V2" s="20">
        <f t="shared" si="0"/>
        <v>45931</v>
      </c>
      <c r="W2" s="20">
        <f t="shared" si="0"/>
        <v>45962</v>
      </c>
      <c r="X2" s="20">
        <f t="shared" si="0"/>
        <v>45992</v>
      </c>
      <c r="Y2" s="20">
        <f t="shared" si="0"/>
        <v>46023</v>
      </c>
      <c r="Z2" s="20">
        <f t="shared" si="0"/>
        <v>46054</v>
      </c>
      <c r="AA2" s="21">
        <f t="shared" si="0"/>
        <v>46082</v>
      </c>
      <c r="AB2" s="20">
        <f t="shared" si="0"/>
        <v>46113</v>
      </c>
      <c r="AC2" s="20">
        <f t="shared" si="0"/>
        <v>46143</v>
      </c>
      <c r="AD2" s="20">
        <f t="shared" si="0"/>
        <v>46174</v>
      </c>
      <c r="AE2" s="20">
        <f t="shared" si="0"/>
        <v>46204</v>
      </c>
      <c r="AF2" s="20">
        <f t="shared" si="0"/>
        <v>46235</v>
      </c>
      <c r="AG2" s="20">
        <f t="shared" si="0"/>
        <v>46266</v>
      </c>
      <c r="AH2" s="20">
        <f t="shared" si="0"/>
        <v>46296</v>
      </c>
      <c r="AI2" s="20">
        <f t="shared" si="0"/>
        <v>46327</v>
      </c>
      <c r="AJ2" s="20">
        <f t="shared" si="0"/>
        <v>46357</v>
      </c>
      <c r="AK2" s="20">
        <f t="shared" si="0"/>
        <v>46388</v>
      </c>
      <c r="AL2" s="20">
        <f t="shared" si="0"/>
        <v>46419</v>
      </c>
      <c r="AM2" s="21">
        <f t="shared" ref="AM2" si="1">EDATE(AL2,1)</f>
        <v>46447</v>
      </c>
      <c r="AN2" s="20">
        <f t="shared" ref="AN2" si="2">EDATE(AM2,1)</f>
        <v>46478</v>
      </c>
      <c r="AO2" s="20">
        <f t="shared" ref="AO2" si="3">EDATE(AN2,1)</f>
        <v>46508</v>
      </c>
      <c r="AP2" s="20">
        <f t="shared" ref="AP2" si="4">EDATE(AO2,1)</f>
        <v>46539</v>
      </c>
      <c r="AQ2" s="20">
        <f t="shared" ref="AQ2" si="5">EDATE(AP2,1)</f>
        <v>46569</v>
      </c>
      <c r="AR2" s="20">
        <f t="shared" ref="AR2" si="6">EDATE(AQ2,1)</f>
        <v>46600</v>
      </c>
      <c r="AS2" s="20">
        <f t="shared" ref="AS2" si="7">EDATE(AR2,1)</f>
        <v>46631</v>
      </c>
      <c r="AT2" s="20">
        <f t="shared" ref="AT2" si="8">EDATE(AS2,1)</f>
        <v>46661</v>
      </c>
      <c r="AU2" s="20">
        <f t="shared" ref="AU2" si="9">EDATE(AT2,1)</f>
        <v>46692</v>
      </c>
      <c r="AV2" s="20">
        <f t="shared" ref="AV2" si="10">EDATE(AU2,1)</f>
        <v>46722</v>
      </c>
      <c r="AW2" s="20">
        <f t="shared" ref="AW2" si="11">EDATE(AV2,1)</f>
        <v>46753</v>
      </c>
      <c r="AX2" s="21">
        <f t="shared" ref="AX2" si="12">EDATE(AW2,1)</f>
        <v>46784</v>
      </c>
      <c r="AY2" s="20">
        <f t="shared" ref="AY2" si="13">EDATE(AX2,1)</f>
        <v>46813</v>
      </c>
      <c r="AZ2" s="20">
        <f t="shared" ref="AZ2" si="14">EDATE(AY2,1)</f>
        <v>46844</v>
      </c>
      <c r="BA2" s="20">
        <f t="shared" ref="BA2" si="15">EDATE(AZ2,1)</f>
        <v>46874</v>
      </c>
      <c r="BB2" s="20">
        <f t="shared" ref="BB2" si="16">EDATE(BA2,1)</f>
        <v>46905</v>
      </c>
      <c r="BC2" s="20">
        <f t="shared" ref="BC2" si="17">EDATE(BB2,1)</f>
        <v>46935</v>
      </c>
      <c r="BD2" s="20">
        <f t="shared" ref="BD2" si="18">EDATE(BC2,1)</f>
        <v>46966</v>
      </c>
      <c r="BE2" s="20">
        <f t="shared" ref="BE2" si="19">EDATE(BD2,1)</f>
        <v>46997</v>
      </c>
      <c r="BF2" s="20">
        <f t="shared" ref="BF2" si="20">EDATE(BE2,1)</f>
        <v>47027</v>
      </c>
      <c r="BG2" s="20">
        <f t="shared" ref="BG2" si="21">EDATE(BF2,1)</f>
        <v>47058</v>
      </c>
      <c r="BH2" s="20">
        <f t="shared" ref="BH2" si="22">EDATE(BG2,1)</f>
        <v>47088</v>
      </c>
      <c r="BI2" s="20">
        <f t="shared" ref="BI2" si="23">EDATE(BH2,1)</f>
        <v>47119</v>
      </c>
      <c r="BJ2" s="21">
        <f t="shared" ref="BJ2" si="24">EDATE(BI2,1)</f>
        <v>47150</v>
      </c>
    </row>
    <row r="3" spans="1:62" x14ac:dyDescent="0.35">
      <c r="A3" s="15" t="s">
        <v>34</v>
      </c>
      <c r="B3" s="15" t="s">
        <v>188</v>
      </c>
      <c r="C3" s="16">
        <f>SUM(C4:C6)</f>
        <v>78777.342131280544</v>
      </c>
      <c r="D3" s="17">
        <f t="shared" ref="D3:BJ3" si="25">SUM(D4:D6)</f>
        <v>80016.050043232797</v>
      </c>
      <c r="E3" s="17">
        <f t="shared" si="25"/>
        <v>81263.959009826198</v>
      </c>
      <c r="F3" s="17">
        <f t="shared" si="25"/>
        <v>82589.78357198408</v>
      </c>
      <c r="G3" s="17">
        <f t="shared" si="25"/>
        <v>83962.455350761607</v>
      </c>
      <c r="H3" s="17">
        <f t="shared" si="25"/>
        <v>85453.724900637651</v>
      </c>
      <c r="I3" s="17">
        <f t="shared" si="25"/>
        <v>85079.435358671311</v>
      </c>
      <c r="J3" s="17">
        <f t="shared" si="25"/>
        <v>86182.148539971022</v>
      </c>
      <c r="K3" s="17">
        <f t="shared" si="25"/>
        <v>87483.280324471794</v>
      </c>
      <c r="L3" s="17">
        <f t="shared" si="25"/>
        <v>85939.885393086661</v>
      </c>
      <c r="M3" s="17">
        <f t="shared" si="25"/>
        <v>87239.487760655684</v>
      </c>
      <c r="N3" s="17">
        <f t="shared" si="25"/>
        <v>85542.744828219744</v>
      </c>
      <c r="O3" s="18">
        <f t="shared" si="25"/>
        <v>86930.596306118183</v>
      </c>
      <c r="P3" s="17">
        <f t="shared" si="25"/>
        <v>86751.674017619443</v>
      </c>
      <c r="Q3" s="17">
        <f t="shared" si="25"/>
        <v>86713.617819288891</v>
      </c>
      <c r="R3" s="17">
        <f t="shared" si="25"/>
        <v>86738.642831559628</v>
      </c>
      <c r="S3" s="17">
        <f t="shared" si="25"/>
        <v>86782.905976470633</v>
      </c>
      <c r="T3" s="17">
        <f t="shared" si="25"/>
        <v>87014.985556171625</v>
      </c>
      <c r="U3" s="17">
        <f t="shared" si="25"/>
        <v>87350.357154268277</v>
      </c>
      <c r="V3" s="17">
        <f t="shared" si="25"/>
        <v>87925.187995563843</v>
      </c>
      <c r="W3" s="17">
        <f t="shared" si="25"/>
        <v>89071.925731649171</v>
      </c>
      <c r="X3" s="17">
        <f t="shared" si="25"/>
        <v>87843.430497387701</v>
      </c>
      <c r="Y3" s="17">
        <f t="shared" si="25"/>
        <v>90003.838492025345</v>
      </c>
      <c r="Z3" s="17">
        <f t="shared" si="25"/>
        <v>89533.170908576241</v>
      </c>
      <c r="AA3" s="18">
        <f t="shared" si="25"/>
        <v>92702.224404406297</v>
      </c>
      <c r="AB3" s="17">
        <f t="shared" si="25"/>
        <v>93598.662624740944</v>
      </c>
      <c r="AC3" s="17">
        <f t="shared" si="25"/>
        <v>96314.780279848681</v>
      </c>
      <c r="AD3" s="17">
        <f t="shared" si="25"/>
        <v>98516.775287188881</v>
      </c>
      <c r="AE3" s="17">
        <f t="shared" si="25"/>
        <v>101351.54531652611</v>
      </c>
      <c r="AF3" s="17">
        <f t="shared" si="25"/>
        <v>105056.73446543215</v>
      </c>
      <c r="AG3" s="17">
        <f t="shared" si="25"/>
        <v>108771.34877147095</v>
      </c>
      <c r="AH3" s="17">
        <f t="shared" si="25"/>
        <v>114192.29430369302</v>
      </c>
      <c r="AI3" s="17">
        <f t="shared" si="25"/>
        <v>120401.39954255585</v>
      </c>
      <c r="AJ3" s="17">
        <f t="shared" si="25"/>
        <v>124322.1871888747</v>
      </c>
      <c r="AK3" s="17">
        <f t="shared" si="25"/>
        <v>131396.21453839427</v>
      </c>
      <c r="AL3" s="17">
        <f t="shared" si="25"/>
        <v>135433.07813092545</v>
      </c>
      <c r="AM3" s="18">
        <f t="shared" si="25"/>
        <v>143181.25825214997</v>
      </c>
      <c r="AN3" s="17">
        <f t="shared" si="25"/>
        <v>0</v>
      </c>
      <c r="AO3" s="17">
        <f t="shared" si="25"/>
        <v>0</v>
      </c>
      <c r="AP3" s="17">
        <f t="shared" si="25"/>
        <v>0</v>
      </c>
      <c r="AQ3" s="17">
        <f t="shared" si="25"/>
        <v>0</v>
      </c>
      <c r="AR3" s="17">
        <f t="shared" si="25"/>
        <v>0</v>
      </c>
      <c r="AS3" s="17">
        <f t="shared" si="25"/>
        <v>0</v>
      </c>
      <c r="AT3" s="17">
        <f t="shared" si="25"/>
        <v>0</v>
      </c>
      <c r="AU3" s="17">
        <f t="shared" si="25"/>
        <v>0</v>
      </c>
      <c r="AV3" s="17">
        <f t="shared" si="25"/>
        <v>0</v>
      </c>
      <c r="AW3" s="17">
        <f t="shared" si="25"/>
        <v>0</v>
      </c>
      <c r="AX3" s="18">
        <f t="shared" si="25"/>
        <v>0</v>
      </c>
      <c r="AY3" s="17">
        <f t="shared" si="25"/>
        <v>0</v>
      </c>
      <c r="AZ3" s="17">
        <f t="shared" si="25"/>
        <v>0</v>
      </c>
      <c r="BA3" s="17">
        <f t="shared" si="25"/>
        <v>0</v>
      </c>
      <c r="BB3" s="17">
        <f t="shared" si="25"/>
        <v>0</v>
      </c>
      <c r="BC3" s="17">
        <f t="shared" si="25"/>
        <v>0</v>
      </c>
      <c r="BD3" s="17">
        <f t="shared" si="25"/>
        <v>0</v>
      </c>
      <c r="BE3" s="17">
        <f t="shared" si="25"/>
        <v>0</v>
      </c>
      <c r="BF3" s="17">
        <f t="shared" si="25"/>
        <v>0</v>
      </c>
      <c r="BG3" s="17">
        <f t="shared" si="25"/>
        <v>0</v>
      </c>
      <c r="BH3" s="17">
        <f t="shared" si="25"/>
        <v>0</v>
      </c>
      <c r="BI3" s="17">
        <f t="shared" si="25"/>
        <v>0</v>
      </c>
      <c r="BJ3" s="18">
        <f t="shared" si="25"/>
        <v>0</v>
      </c>
    </row>
    <row r="4" spans="1:62" x14ac:dyDescent="0.35">
      <c r="A4" s="1" t="s">
        <v>34</v>
      </c>
      <c r="B4" s="1" t="s">
        <v>157</v>
      </c>
      <c r="C4" s="52">
        <v>52026.135628996468</v>
      </c>
      <c r="D4" s="53">
        <v>52427.211097569161</v>
      </c>
      <c r="E4" s="53">
        <v>53343.307673366362</v>
      </c>
      <c r="F4" s="53">
        <v>54301.81667421083</v>
      </c>
      <c r="G4" s="53">
        <v>55283.254270096098</v>
      </c>
      <c r="H4" s="53">
        <v>56336.702190980432</v>
      </c>
      <c r="I4" s="53">
        <v>57443.134278176265</v>
      </c>
      <c r="J4" s="53">
        <v>58210.55423906826</v>
      </c>
      <c r="K4" s="53">
        <v>59131.160581001037</v>
      </c>
      <c r="L4" s="53">
        <v>60122.724558764086</v>
      </c>
      <c r="M4" s="53">
        <v>61015.999349979138</v>
      </c>
      <c r="N4" s="53">
        <v>61838.960070355817</v>
      </c>
      <c r="O4" s="54">
        <v>62701.129695051794</v>
      </c>
      <c r="P4" s="53">
        <v>62564.230550715438</v>
      </c>
      <c r="Q4" s="53">
        <v>62518.003881036697</v>
      </c>
      <c r="R4" s="53">
        <v>62522.019221988347</v>
      </c>
      <c r="S4" s="53">
        <v>62491.529299995971</v>
      </c>
      <c r="T4" s="53">
        <v>62611.95665346583</v>
      </c>
      <c r="U4" s="53">
        <v>62801.46685567747</v>
      </c>
      <c r="V4" s="53">
        <v>63115.001871814638</v>
      </c>
      <c r="W4" s="53">
        <v>63787.09058600905</v>
      </c>
      <c r="X4" s="53">
        <v>64815.475941581346</v>
      </c>
      <c r="Y4" s="53">
        <v>66080.11003656208</v>
      </c>
      <c r="Z4" s="53">
        <v>67522.259323623308</v>
      </c>
      <c r="AA4" s="54">
        <v>69324.803944108251</v>
      </c>
      <c r="AB4" s="53">
        <v>69673.986483885848</v>
      </c>
      <c r="AC4" s="53">
        <v>71614.017675599462</v>
      </c>
      <c r="AD4" s="53">
        <v>72828.433794119221</v>
      </c>
      <c r="AE4" s="53">
        <v>74412.297274199504</v>
      </c>
      <c r="AF4" s="53">
        <v>76547.79473735363</v>
      </c>
      <c r="AG4" s="53">
        <v>79319.166105275508</v>
      </c>
      <c r="AH4" s="53">
        <v>82346.272548490742</v>
      </c>
      <c r="AI4" s="53">
        <v>85966.850881092425</v>
      </c>
      <c r="AJ4" s="53">
        <v>90024.638585567343</v>
      </c>
      <c r="AK4" s="53">
        <v>94172.900422237857</v>
      </c>
      <c r="AL4" s="53">
        <v>98264.280535458543</v>
      </c>
      <c r="AM4" s="54">
        <v>102687.7404967867</v>
      </c>
      <c r="AN4" s="53">
        <f t="shared" ref="AN4:BJ5" si="26">AN22*AN$20</f>
        <v>0</v>
      </c>
      <c r="AO4" s="53">
        <f t="shared" si="26"/>
        <v>0</v>
      </c>
      <c r="AP4" s="53">
        <f t="shared" si="26"/>
        <v>0</v>
      </c>
      <c r="AQ4" s="53">
        <f t="shared" si="26"/>
        <v>0</v>
      </c>
      <c r="AR4" s="53">
        <f t="shared" si="26"/>
        <v>0</v>
      </c>
      <c r="AS4" s="53">
        <f t="shared" si="26"/>
        <v>0</v>
      </c>
      <c r="AT4" s="53">
        <f t="shared" si="26"/>
        <v>0</v>
      </c>
      <c r="AU4" s="53">
        <f t="shared" si="26"/>
        <v>0</v>
      </c>
      <c r="AV4" s="53">
        <f t="shared" si="26"/>
        <v>0</v>
      </c>
      <c r="AW4" s="53">
        <f t="shared" si="26"/>
        <v>0</v>
      </c>
      <c r="AX4" s="54">
        <f t="shared" si="26"/>
        <v>0</v>
      </c>
      <c r="AY4" s="53">
        <f t="shared" si="26"/>
        <v>0</v>
      </c>
      <c r="AZ4" s="53">
        <f t="shared" si="26"/>
        <v>0</v>
      </c>
      <c r="BA4" s="53">
        <f t="shared" si="26"/>
        <v>0</v>
      </c>
      <c r="BB4" s="53">
        <f t="shared" si="26"/>
        <v>0</v>
      </c>
      <c r="BC4" s="53">
        <f t="shared" si="26"/>
        <v>0</v>
      </c>
      <c r="BD4" s="53">
        <f t="shared" si="26"/>
        <v>0</v>
      </c>
      <c r="BE4" s="53">
        <f t="shared" si="26"/>
        <v>0</v>
      </c>
      <c r="BF4" s="53">
        <f t="shared" si="26"/>
        <v>0</v>
      </c>
      <c r="BG4" s="53">
        <f t="shared" si="26"/>
        <v>0</v>
      </c>
      <c r="BH4" s="53">
        <f t="shared" si="26"/>
        <v>0</v>
      </c>
      <c r="BI4" s="53">
        <f t="shared" si="26"/>
        <v>0</v>
      </c>
      <c r="BJ4" s="54">
        <f t="shared" si="26"/>
        <v>0</v>
      </c>
    </row>
    <row r="5" spans="1:62" x14ac:dyDescent="0.35">
      <c r="A5" s="2" t="s">
        <v>34</v>
      </c>
      <c r="B5" s="2" t="s">
        <v>158</v>
      </c>
      <c r="C5" s="55">
        <v>19204.151739359146</v>
      </c>
      <c r="D5" s="56">
        <v>20089.603841116816</v>
      </c>
      <c r="E5" s="56">
        <v>20678.004038967825</v>
      </c>
      <c r="F5" s="56">
        <v>21279.429785606124</v>
      </c>
      <c r="G5" s="56">
        <v>21876.990005781758</v>
      </c>
      <c r="H5" s="56">
        <v>22499.637773574093</v>
      </c>
      <c r="I5" s="56">
        <v>21190.74807073547</v>
      </c>
      <c r="J5" s="56">
        <v>21699.963470665683</v>
      </c>
      <c r="K5" s="56">
        <v>22269.642113538059</v>
      </c>
      <c r="L5" s="56">
        <v>19904.289315869606</v>
      </c>
      <c r="M5" s="56">
        <v>20483.331194851879</v>
      </c>
      <c r="N5" s="56">
        <v>18133.375433198205</v>
      </c>
      <c r="O5" s="57">
        <v>18786.779263864355</v>
      </c>
      <c r="P5" s="56">
        <v>18997.1510143956</v>
      </c>
      <c r="Q5" s="56">
        <v>19239.466353564312</v>
      </c>
      <c r="R5" s="56">
        <v>19479.292850746329</v>
      </c>
      <c r="S5" s="56">
        <v>19756.185708359066</v>
      </c>
      <c r="T5" s="56">
        <v>20052.9133269417</v>
      </c>
      <c r="U5" s="56">
        <v>20373.131562739232</v>
      </c>
      <c r="V5" s="56">
        <v>20753.254002126072</v>
      </c>
      <c r="W5" s="56">
        <v>21301.765466864206</v>
      </c>
      <c r="X5" s="56">
        <v>19062.670669208772</v>
      </c>
      <c r="Y5" s="56">
        <v>19919.088188471454</v>
      </c>
      <c r="Z5" s="56">
        <v>17918.109002383266</v>
      </c>
      <c r="AA5" s="57">
        <v>19064.450525721099</v>
      </c>
      <c r="AB5" s="56">
        <v>19625.877617859427</v>
      </c>
      <c r="AC5" s="56">
        <v>20364.692096150891</v>
      </c>
      <c r="AD5" s="56">
        <v>21245.725875119268</v>
      </c>
      <c r="AE5" s="56">
        <v>22298.596122434672</v>
      </c>
      <c r="AF5" s="56">
        <v>23573.635719040012</v>
      </c>
      <c r="AG5" s="56">
        <v>24128.815278255872</v>
      </c>
      <c r="AH5" s="56">
        <v>25797.845075483609</v>
      </c>
      <c r="AI5" s="56">
        <v>27708.108679322497</v>
      </c>
      <c r="AJ5" s="56">
        <v>26869.735539128724</v>
      </c>
      <c r="AK5" s="56">
        <v>29072.50226009059</v>
      </c>
      <c r="AL5" s="56">
        <v>28308.083336390115</v>
      </c>
      <c r="AM5" s="57">
        <v>30668.489788218794</v>
      </c>
      <c r="AN5" s="56">
        <f t="shared" si="26"/>
        <v>0</v>
      </c>
      <c r="AO5" s="56">
        <f t="shared" si="26"/>
        <v>0</v>
      </c>
      <c r="AP5" s="56">
        <f t="shared" si="26"/>
        <v>0</v>
      </c>
      <c r="AQ5" s="56">
        <f t="shared" si="26"/>
        <v>0</v>
      </c>
      <c r="AR5" s="56">
        <f t="shared" si="26"/>
        <v>0</v>
      </c>
      <c r="AS5" s="56">
        <f t="shared" si="26"/>
        <v>0</v>
      </c>
      <c r="AT5" s="56">
        <f t="shared" si="26"/>
        <v>0</v>
      </c>
      <c r="AU5" s="56">
        <f t="shared" si="26"/>
        <v>0</v>
      </c>
      <c r="AV5" s="56">
        <f t="shared" si="26"/>
        <v>0</v>
      </c>
      <c r="AW5" s="56">
        <f t="shared" si="26"/>
        <v>0</v>
      </c>
      <c r="AX5" s="57">
        <f t="shared" si="26"/>
        <v>0</v>
      </c>
      <c r="AY5" s="56">
        <f t="shared" si="26"/>
        <v>0</v>
      </c>
      <c r="AZ5" s="56">
        <f t="shared" si="26"/>
        <v>0</v>
      </c>
      <c r="BA5" s="56">
        <f t="shared" si="26"/>
        <v>0</v>
      </c>
      <c r="BB5" s="56">
        <f t="shared" si="26"/>
        <v>0</v>
      </c>
      <c r="BC5" s="56">
        <f t="shared" si="26"/>
        <v>0</v>
      </c>
      <c r="BD5" s="56">
        <f t="shared" si="26"/>
        <v>0</v>
      </c>
      <c r="BE5" s="56">
        <f t="shared" si="26"/>
        <v>0</v>
      </c>
      <c r="BF5" s="56">
        <f t="shared" si="26"/>
        <v>0</v>
      </c>
      <c r="BG5" s="56">
        <f t="shared" si="26"/>
        <v>0</v>
      </c>
      <c r="BH5" s="56">
        <f t="shared" si="26"/>
        <v>0</v>
      </c>
      <c r="BI5" s="56">
        <f t="shared" si="26"/>
        <v>0</v>
      </c>
      <c r="BJ5" s="57">
        <f t="shared" si="26"/>
        <v>0</v>
      </c>
    </row>
    <row r="6" spans="1:62" x14ac:dyDescent="0.35">
      <c r="A6" s="3" t="s">
        <v>34</v>
      </c>
      <c r="B6" s="3" t="s">
        <v>159</v>
      </c>
      <c r="C6" s="58">
        <v>7547.0547629249413</v>
      </c>
      <c r="D6" s="59">
        <v>7499.2351045468185</v>
      </c>
      <c r="E6" s="59">
        <v>7242.6472974920052</v>
      </c>
      <c r="F6" s="59">
        <v>7008.5371121671214</v>
      </c>
      <c r="G6" s="59">
        <v>6802.2110748837422</v>
      </c>
      <c r="H6" s="59">
        <v>6617.3849360831255</v>
      </c>
      <c r="I6" s="59">
        <v>6445.553009759582</v>
      </c>
      <c r="J6" s="59">
        <v>6271.6308302370808</v>
      </c>
      <c r="K6" s="59">
        <v>6082.4776299326941</v>
      </c>
      <c r="L6" s="59">
        <v>5912.8715184529738</v>
      </c>
      <c r="M6" s="59">
        <v>5740.1572158246772</v>
      </c>
      <c r="N6" s="59">
        <v>5570.4093246657094</v>
      </c>
      <c r="O6" s="60">
        <v>5442.6873472020416</v>
      </c>
      <c r="P6" s="59">
        <v>5190.2924525084072</v>
      </c>
      <c r="Q6" s="59">
        <v>4956.1475846878875</v>
      </c>
      <c r="R6" s="59">
        <v>4737.3307588249563</v>
      </c>
      <c r="S6" s="59">
        <v>4535.1909681156012</v>
      </c>
      <c r="T6" s="59">
        <v>4350.1155757640936</v>
      </c>
      <c r="U6" s="59">
        <v>4175.7587358515757</v>
      </c>
      <c r="V6" s="59">
        <v>4056.9321216231278</v>
      </c>
      <c r="W6" s="59">
        <v>3983.0696787759271</v>
      </c>
      <c r="X6" s="59">
        <v>3965.2838865975741</v>
      </c>
      <c r="Y6" s="59">
        <v>4004.6402669918225</v>
      </c>
      <c r="Z6" s="59">
        <v>4092.8025825696668</v>
      </c>
      <c r="AA6" s="60">
        <v>4312.9699345769468</v>
      </c>
      <c r="AB6" s="59">
        <v>4298.7985229956621</v>
      </c>
      <c r="AC6" s="59">
        <v>4336.0705080983262</v>
      </c>
      <c r="AD6" s="59">
        <v>4442.6156179503905</v>
      </c>
      <c r="AE6" s="59">
        <v>4640.6519198919486</v>
      </c>
      <c r="AF6" s="59">
        <v>4935.3040090385084</v>
      </c>
      <c r="AG6" s="59">
        <v>5323.3673879395601</v>
      </c>
      <c r="AH6" s="59">
        <v>6048.1766797186792</v>
      </c>
      <c r="AI6" s="59">
        <v>6726.4399821409334</v>
      </c>
      <c r="AJ6" s="59">
        <v>7427.8130641786338</v>
      </c>
      <c r="AK6" s="59">
        <v>8150.8118560658158</v>
      </c>
      <c r="AL6" s="59">
        <v>8860.7142590767799</v>
      </c>
      <c r="AM6" s="60">
        <v>9825.0279671444823</v>
      </c>
      <c r="AN6" s="59">
        <f t="shared" ref="AN6:BJ6" si="27">AN12</f>
        <v>0</v>
      </c>
      <c r="AO6" s="59">
        <f t="shared" si="27"/>
        <v>0</v>
      </c>
      <c r="AP6" s="59">
        <f t="shared" si="27"/>
        <v>0</v>
      </c>
      <c r="AQ6" s="59">
        <f t="shared" si="27"/>
        <v>0</v>
      </c>
      <c r="AR6" s="59">
        <f t="shared" si="27"/>
        <v>0</v>
      </c>
      <c r="AS6" s="59">
        <f t="shared" si="27"/>
        <v>0</v>
      </c>
      <c r="AT6" s="59">
        <f t="shared" si="27"/>
        <v>0</v>
      </c>
      <c r="AU6" s="59">
        <f t="shared" si="27"/>
        <v>0</v>
      </c>
      <c r="AV6" s="59">
        <f t="shared" si="27"/>
        <v>0</v>
      </c>
      <c r="AW6" s="59">
        <f t="shared" si="27"/>
        <v>0</v>
      </c>
      <c r="AX6" s="60">
        <f t="shared" si="27"/>
        <v>0</v>
      </c>
      <c r="AY6" s="59">
        <f t="shared" si="27"/>
        <v>0</v>
      </c>
      <c r="AZ6" s="59">
        <f t="shared" si="27"/>
        <v>0</v>
      </c>
      <c r="BA6" s="59">
        <f t="shared" si="27"/>
        <v>0</v>
      </c>
      <c r="BB6" s="59">
        <f t="shared" si="27"/>
        <v>0</v>
      </c>
      <c r="BC6" s="59">
        <f t="shared" si="27"/>
        <v>0</v>
      </c>
      <c r="BD6" s="59">
        <f t="shared" si="27"/>
        <v>0</v>
      </c>
      <c r="BE6" s="59">
        <f t="shared" si="27"/>
        <v>0</v>
      </c>
      <c r="BF6" s="59">
        <f t="shared" si="27"/>
        <v>0</v>
      </c>
      <c r="BG6" s="59">
        <f t="shared" si="27"/>
        <v>0</v>
      </c>
      <c r="BH6" s="59">
        <f t="shared" si="27"/>
        <v>0</v>
      </c>
      <c r="BI6" s="59">
        <f t="shared" si="27"/>
        <v>0</v>
      </c>
      <c r="BJ6" s="60">
        <f t="shared" si="27"/>
        <v>0</v>
      </c>
    </row>
    <row r="8" spans="1:62" x14ac:dyDescent="0.35">
      <c r="A8" s="25" t="s">
        <v>7</v>
      </c>
      <c r="B8" s="4" t="s">
        <v>3</v>
      </c>
      <c r="C8" s="19">
        <f>C2</f>
        <v>45352</v>
      </c>
      <c r="D8" s="20">
        <f>EDATE(C8,1)</f>
        <v>45383</v>
      </c>
      <c r="E8" s="20">
        <f>EDATE(D8,1)</f>
        <v>45413</v>
      </c>
      <c r="F8" s="20">
        <f>EDATE(E8,1)</f>
        <v>45444</v>
      </c>
      <c r="G8" s="20">
        <f t="shared" ref="G8:AL8" si="28">EDATE(F8,1)</f>
        <v>45474</v>
      </c>
      <c r="H8" s="20">
        <f t="shared" si="28"/>
        <v>45505</v>
      </c>
      <c r="I8" s="20">
        <f t="shared" si="28"/>
        <v>45536</v>
      </c>
      <c r="J8" s="20">
        <f t="shared" si="28"/>
        <v>45566</v>
      </c>
      <c r="K8" s="20">
        <f t="shared" si="28"/>
        <v>45597</v>
      </c>
      <c r="L8" s="20">
        <f t="shared" si="28"/>
        <v>45627</v>
      </c>
      <c r="M8" s="20">
        <f t="shared" si="28"/>
        <v>45658</v>
      </c>
      <c r="N8" s="20">
        <f t="shared" si="28"/>
        <v>45689</v>
      </c>
      <c r="O8" s="21">
        <f t="shared" si="28"/>
        <v>45717</v>
      </c>
      <c r="P8" s="20">
        <f t="shared" si="28"/>
        <v>45748</v>
      </c>
      <c r="Q8" s="20">
        <f t="shared" si="28"/>
        <v>45778</v>
      </c>
      <c r="R8" s="20">
        <f t="shared" si="28"/>
        <v>45809</v>
      </c>
      <c r="S8" s="20">
        <f t="shared" si="28"/>
        <v>45839</v>
      </c>
      <c r="T8" s="20">
        <f t="shared" si="28"/>
        <v>45870</v>
      </c>
      <c r="U8" s="20">
        <f t="shared" si="28"/>
        <v>45901</v>
      </c>
      <c r="V8" s="20">
        <f t="shared" si="28"/>
        <v>45931</v>
      </c>
      <c r="W8" s="20">
        <f t="shared" si="28"/>
        <v>45962</v>
      </c>
      <c r="X8" s="20">
        <f t="shared" si="28"/>
        <v>45992</v>
      </c>
      <c r="Y8" s="20">
        <f t="shared" si="28"/>
        <v>46023</v>
      </c>
      <c r="Z8" s="20">
        <f t="shared" si="28"/>
        <v>46054</v>
      </c>
      <c r="AA8" s="21">
        <f t="shared" si="28"/>
        <v>46082</v>
      </c>
      <c r="AB8" s="20">
        <f t="shared" si="28"/>
        <v>46113</v>
      </c>
      <c r="AC8" s="20">
        <f t="shared" si="28"/>
        <v>46143</v>
      </c>
      <c r="AD8" s="20">
        <f t="shared" si="28"/>
        <v>46174</v>
      </c>
      <c r="AE8" s="20">
        <f t="shared" si="28"/>
        <v>46204</v>
      </c>
      <c r="AF8" s="20">
        <f t="shared" si="28"/>
        <v>46235</v>
      </c>
      <c r="AG8" s="20">
        <f t="shared" si="28"/>
        <v>46266</v>
      </c>
      <c r="AH8" s="20">
        <f t="shared" si="28"/>
        <v>46296</v>
      </c>
      <c r="AI8" s="20">
        <f t="shared" si="28"/>
        <v>46327</v>
      </c>
      <c r="AJ8" s="20">
        <f t="shared" si="28"/>
        <v>46357</v>
      </c>
      <c r="AK8" s="20">
        <f t="shared" si="28"/>
        <v>46388</v>
      </c>
      <c r="AL8" s="20">
        <f t="shared" si="28"/>
        <v>46419</v>
      </c>
      <c r="AM8" s="21">
        <f t="shared" ref="AM8" si="29">EDATE(AL8,1)</f>
        <v>46447</v>
      </c>
      <c r="AN8" s="20">
        <f t="shared" ref="AN8" si="30">EDATE(AM8,1)</f>
        <v>46478</v>
      </c>
      <c r="AO8" s="20">
        <f t="shared" ref="AO8" si="31">EDATE(AN8,1)</f>
        <v>46508</v>
      </c>
      <c r="AP8" s="20">
        <f t="shared" ref="AP8" si="32">EDATE(AO8,1)</f>
        <v>46539</v>
      </c>
      <c r="AQ8" s="20">
        <f t="shared" ref="AQ8" si="33">EDATE(AP8,1)</f>
        <v>46569</v>
      </c>
      <c r="AR8" s="20">
        <f t="shared" ref="AR8" si="34">EDATE(AQ8,1)</f>
        <v>46600</v>
      </c>
      <c r="AS8" s="20">
        <f t="shared" ref="AS8" si="35">EDATE(AR8,1)</f>
        <v>46631</v>
      </c>
      <c r="AT8" s="20">
        <f t="shared" ref="AT8" si="36">EDATE(AS8,1)</f>
        <v>46661</v>
      </c>
      <c r="AU8" s="20">
        <f t="shared" ref="AU8" si="37">EDATE(AT8,1)</f>
        <v>46692</v>
      </c>
      <c r="AV8" s="20">
        <f t="shared" ref="AV8" si="38">EDATE(AU8,1)</f>
        <v>46722</v>
      </c>
      <c r="AW8" s="20">
        <f t="shared" ref="AW8" si="39">EDATE(AV8,1)</f>
        <v>46753</v>
      </c>
      <c r="AX8" s="21">
        <f t="shared" ref="AX8" si="40">EDATE(AW8,1)</f>
        <v>46784</v>
      </c>
      <c r="AY8" s="20">
        <f t="shared" ref="AY8" si="41">EDATE(AX8,1)</f>
        <v>46813</v>
      </c>
      <c r="AZ8" s="20">
        <f t="shared" ref="AZ8" si="42">EDATE(AY8,1)</f>
        <v>46844</v>
      </c>
      <c r="BA8" s="20">
        <f t="shared" ref="BA8" si="43">EDATE(AZ8,1)</f>
        <v>46874</v>
      </c>
      <c r="BB8" s="20">
        <f t="shared" ref="BB8" si="44">EDATE(BA8,1)</f>
        <v>46905</v>
      </c>
      <c r="BC8" s="20">
        <f t="shared" ref="BC8" si="45">EDATE(BB8,1)</f>
        <v>46935</v>
      </c>
      <c r="BD8" s="20">
        <f t="shared" ref="BD8" si="46">EDATE(BC8,1)</f>
        <v>46966</v>
      </c>
      <c r="BE8" s="20">
        <f t="shared" ref="BE8" si="47">EDATE(BD8,1)</f>
        <v>46997</v>
      </c>
      <c r="BF8" s="20">
        <f t="shared" ref="BF8" si="48">EDATE(BE8,1)</f>
        <v>47027</v>
      </c>
      <c r="BG8" s="20">
        <f t="shared" ref="BG8" si="49">EDATE(BF8,1)</f>
        <v>47058</v>
      </c>
      <c r="BH8" s="20">
        <f t="shared" ref="BH8" si="50">EDATE(BG8,1)</f>
        <v>47088</v>
      </c>
      <c r="BI8" s="20">
        <f t="shared" ref="BI8" si="51">EDATE(BH8,1)</f>
        <v>47119</v>
      </c>
      <c r="BJ8" s="21">
        <f t="shared" ref="BJ8" si="52">EDATE(BI8,1)</f>
        <v>47150</v>
      </c>
    </row>
    <row r="9" spans="1:62" x14ac:dyDescent="0.35">
      <c r="A9" s="15" t="s">
        <v>7</v>
      </c>
      <c r="B9" s="15" t="s">
        <v>188</v>
      </c>
      <c r="C9" s="16">
        <f>SUM(C10:C12)</f>
        <v>78777.342131280544</v>
      </c>
      <c r="D9" s="17">
        <f t="shared" ref="D9" si="53">SUM(D10:D12)</f>
        <v>80486.904401370601</v>
      </c>
      <c r="E9" s="17">
        <f t="shared" ref="E9" si="54">SUM(E10:E12)</f>
        <v>82686.404596594337</v>
      </c>
      <c r="F9" s="17">
        <f t="shared" ref="F9" si="55">SUM(F10:F12)</f>
        <v>83242.103107851697</v>
      </c>
      <c r="G9" s="17">
        <f t="shared" ref="G9" si="56">SUM(G10:G12)</f>
        <v>86077.734660968214</v>
      </c>
      <c r="H9" s="17">
        <f t="shared" ref="H9" si="57">SUM(H10:H12)</f>
        <v>89366.434586122661</v>
      </c>
      <c r="I9" s="17">
        <f t="shared" ref="I9" si="58">SUM(I10:I12)</f>
        <v>91088.425650852456</v>
      </c>
      <c r="J9" s="17">
        <f t="shared" ref="J9" si="59">SUM(J10:J12)</f>
        <v>94619.585908141831</v>
      </c>
      <c r="K9" s="17">
        <f t="shared" ref="K9" si="60">SUM(K10:K12)</f>
        <v>98738.60909414792</v>
      </c>
      <c r="L9" s="17">
        <f t="shared" ref="L9" si="61">SUM(L10:L12)</f>
        <v>100366.75236573328</v>
      </c>
      <c r="M9" s="17">
        <f t="shared" ref="M9" si="62">SUM(M10:M12)</f>
        <v>105079.523302311</v>
      </c>
      <c r="N9" s="17">
        <f t="shared" ref="N9" si="63">SUM(N10:N12)</f>
        <v>106847.5206858106</v>
      </c>
      <c r="O9" s="18">
        <f t="shared" ref="O9" si="64">SUM(O10:O12)</f>
        <v>112136.80024975733</v>
      </c>
      <c r="P9" s="17">
        <f t="shared" ref="P9" si="65">SUM(P10:P12)</f>
        <v>113885.88831006039</v>
      </c>
      <c r="Q9" s="17">
        <f t="shared" ref="Q9" si="66">SUM(Q10:Q12)</f>
        <v>116216.2990810842</v>
      </c>
      <c r="R9" s="17">
        <f t="shared" ref="R9" si="67">SUM(R10:R12)</f>
        <v>116476.60103327988</v>
      </c>
      <c r="S9" s="17">
        <f t="shared" ref="S9" si="68">SUM(S10:S12)</f>
        <v>119559.52064156505</v>
      </c>
      <c r="T9" s="17">
        <f t="shared" ref="T9" si="69">SUM(T10:T12)</f>
        <v>123251.48242012208</v>
      </c>
      <c r="U9" s="17">
        <f t="shared" ref="U9" si="70">SUM(U10:U12)</f>
        <v>124976.07159461245</v>
      </c>
      <c r="V9" s="17">
        <f t="shared" ref="V9" si="71">SUM(V10:V12)</f>
        <v>129021.90574437598</v>
      </c>
      <c r="W9" s="17">
        <f t="shared" ref="W9" si="72">SUM(W10:W12)</f>
        <v>133776.63545945249</v>
      </c>
      <c r="X9" s="17">
        <f t="shared" ref="X9" si="73">SUM(X10:X12)</f>
        <v>136169.71022052289</v>
      </c>
      <c r="Y9" s="17">
        <f t="shared" ref="Y9" si="74">SUM(Y10:Y12)</f>
        <v>141737.80895780044</v>
      </c>
      <c r="Z9" s="17">
        <f t="shared" ref="Z9" si="75">SUM(Z10:Z12)</f>
        <v>144294.91484298167</v>
      </c>
      <c r="AA9" s="18">
        <f t="shared" ref="AA9" si="76">SUM(AA10:AA12)</f>
        <v>150480.17345706414</v>
      </c>
      <c r="AB9" s="17">
        <f t="shared" ref="AB9" si="77">SUM(AB10:AB12)</f>
        <v>152118.84440919102</v>
      </c>
      <c r="AC9" s="17">
        <f t="shared" ref="AC9" si="78">SUM(AC10:AC12)</f>
        <v>155573.06885375196</v>
      </c>
      <c r="AD9" s="17">
        <f t="shared" ref="AD9" si="79">SUM(AD10:AD12)</f>
        <v>155436.81631720066</v>
      </c>
      <c r="AE9" s="17">
        <f t="shared" ref="AE9" si="80">SUM(AE10:AE12)</f>
        <v>158735.61085739362</v>
      </c>
      <c r="AF9" s="17">
        <f t="shared" ref="AF9" si="81">SUM(AF10:AF12)</f>
        <v>162696.00473526836</v>
      </c>
      <c r="AG9" s="17">
        <f t="shared" ref="AG9" si="82">SUM(AG10:AG12)</f>
        <v>164301.3027765101</v>
      </c>
      <c r="AH9" s="17">
        <f t="shared" ref="AH9" si="83">SUM(AH10:AH12)</f>
        <v>168703.38178619463</v>
      </c>
      <c r="AI9" s="17">
        <f t="shared" ref="AI9" si="84">SUM(AI10:AI12)</f>
        <v>173931.01051123743</v>
      </c>
      <c r="AJ9" s="17">
        <f t="shared" ref="AJ9" si="85">SUM(AJ10:AJ12)</f>
        <v>176906.65236057644</v>
      </c>
      <c r="AK9" s="17">
        <f t="shared" ref="AK9" si="86">SUM(AK10:AK12)</f>
        <v>183075.21492088458</v>
      </c>
      <c r="AL9" s="17">
        <f t="shared" ref="AL9" si="87">SUM(AL10:AL12)</f>
        <v>186239.65169511389</v>
      </c>
      <c r="AM9" s="18">
        <f t="shared" ref="AM9" si="88">SUM(AM10:AM12)</f>
        <v>193146.81068852902</v>
      </c>
      <c r="AN9" s="17">
        <f t="shared" ref="AN9" si="89">SUM(AN10:AN12)</f>
        <v>0</v>
      </c>
      <c r="AO9" s="17">
        <f t="shared" ref="AO9" si="90">SUM(AO10:AO12)</f>
        <v>0</v>
      </c>
      <c r="AP9" s="17">
        <f t="shared" ref="AP9" si="91">SUM(AP10:AP12)</f>
        <v>0</v>
      </c>
      <c r="AQ9" s="17">
        <f t="shared" ref="AQ9" si="92">SUM(AQ10:AQ12)</f>
        <v>0</v>
      </c>
      <c r="AR9" s="17">
        <f t="shared" ref="AR9" si="93">SUM(AR10:AR12)</f>
        <v>0</v>
      </c>
      <c r="AS9" s="17">
        <f t="shared" ref="AS9" si="94">SUM(AS10:AS12)</f>
        <v>0</v>
      </c>
      <c r="AT9" s="17">
        <f t="shared" ref="AT9" si="95">SUM(AT10:AT12)</f>
        <v>0</v>
      </c>
      <c r="AU9" s="17">
        <f t="shared" ref="AU9" si="96">SUM(AU10:AU12)</f>
        <v>0</v>
      </c>
      <c r="AV9" s="17">
        <f t="shared" ref="AV9" si="97">SUM(AV10:AV12)</f>
        <v>0</v>
      </c>
      <c r="AW9" s="17">
        <f t="shared" ref="AW9" si="98">SUM(AW10:AW12)</f>
        <v>0</v>
      </c>
      <c r="AX9" s="18">
        <f t="shared" ref="AX9" si="99">SUM(AX10:AX12)</f>
        <v>0</v>
      </c>
      <c r="AY9" s="17">
        <f t="shared" ref="AY9" si="100">SUM(AY10:AY12)</f>
        <v>0</v>
      </c>
      <c r="AZ9" s="17">
        <f t="shared" ref="AZ9" si="101">SUM(AZ10:AZ12)</f>
        <v>0</v>
      </c>
      <c r="BA9" s="17">
        <f t="shared" ref="BA9" si="102">SUM(BA10:BA12)</f>
        <v>0</v>
      </c>
      <c r="BB9" s="17">
        <f t="shared" ref="BB9" si="103">SUM(BB10:BB12)</f>
        <v>0</v>
      </c>
      <c r="BC9" s="17">
        <f t="shared" ref="BC9" si="104">SUM(BC10:BC12)</f>
        <v>0</v>
      </c>
      <c r="BD9" s="17">
        <f t="shared" ref="BD9" si="105">SUM(BD10:BD12)</f>
        <v>0</v>
      </c>
      <c r="BE9" s="17">
        <f t="shared" ref="BE9" si="106">SUM(BE10:BE12)</f>
        <v>0</v>
      </c>
      <c r="BF9" s="17">
        <f t="shared" ref="BF9" si="107">SUM(BF10:BF12)</f>
        <v>0</v>
      </c>
      <c r="BG9" s="17">
        <f t="shared" ref="BG9" si="108">SUM(BG10:BG12)</f>
        <v>0</v>
      </c>
      <c r="BH9" s="17">
        <f t="shared" ref="BH9" si="109">SUM(BH10:BH12)</f>
        <v>0</v>
      </c>
      <c r="BI9" s="17">
        <f t="shared" ref="BI9" si="110">SUM(BI10:BI12)</f>
        <v>0</v>
      </c>
      <c r="BJ9" s="18">
        <f t="shared" ref="BJ9" si="111">SUM(BJ10:BJ12)</f>
        <v>0</v>
      </c>
    </row>
    <row r="10" spans="1:62" x14ac:dyDescent="0.35">
      <c r="A10" s="1" t="s">
        <v>7</v>
      </c>
      <c r="B10" s="1" t="s">
        <v>157</v>
      </c>
      <c r="C10" s="52">
        <v>52026.135628996468</v>
      </c>
      <c r="D10" s="53">
        <v>53122.125815351996</v>
      </c>
      <c r="E10" s="53">
        <v>54537.357663136383</v>
      </c>
      <c r="F10" s="53">
        <v>56131.077956348076</v>
      </c>
      <c r="G10" s="53">
        <v>57882.285814306131</v>
      </c>
      <c r="H10" s="53">
        <v>59903.92163520991</v>
      </c>
      <c r="I10" s="53">
        <v>62171.724108479808</v>
      </c>
      <c r="J10" s="53">
        <v>64281.553740035597</v>
      </c>
      <c r="K10" s="53">
        <v>66819.502661620645</v>
      </c>
      <c r="L10" s="53">
        <v>69659.502041674525</v>
      </c>
      <c r="M10" s="53">
        <v>72546.099697516183</v>
      </c>
      <c r="N10" s="53">
        <v>75386.351684501729</v>
      </c>
      <c r="O10" s="54">
        <v>78457.532984202116</v>
      </c>
      <c r="P10" s="53">
        <v>79519.981139796422</v>
      </c>
      <c r="Q10" s="53">
        <v>80956.827117634137</v>
      </c>
      <c r="R10" s="53">
        <v>82624.562289331021</v>
      </c>
      <c r="S10" s="53">
        <v>84420.557639227103</v>
      </c>
      <c r="T10" s="53">
        <v>86618.50569523219</v>
      </c>
      <c r="U10" s="53">
        <v>89116.611439742264</v>
      </c>
      <c r="V10" s="53">
        <v>91456.307372413838</v>
      </c>
      <c r="W10" s="53">
        <v>94293.670887324784</v>
      </c>
      <c r="X10" s="53">
        <v>97508.76547126098</v>
      </c>
      <c r="Y10" s="53">
        <v>100838.6126031715</v>
      </c>
      <c r="Z10" s="53">
        <v>104111.31454869072</v>
      </c>
      <c r="AA10" s="54">
        <v>107662.78619623838</v>
      </c>
      <c r="AB10" s="53">
        <v>108590.62344738512</v>
      </c>
      <c r="AC10" s="53">
        <v>111090.54813952436</v>
      </c>
      <c r="AD10" s="53">
        <v>112758.54533353513</v>
      </c>
      <c r="AE10" s="53">
        <v>114652.41540832316</v>
      </c>
      <c r="AF10" s="53">
        <v>116957.82026474871</v>
      </c>
      <c r="AG10" s="53">
        <v>119640.4579319203</v>
      </c>
      <c r="AH10" s="53">
        <v>122144.02098364236</v>
      </c>
      <c r="AI10" s="53">
        <v>125253.07717721196</v>
      </c>
      <c r="AJ10" s="53">
        <v>128812.10211765191</v>
      </c>
      <c r="AK10" s="53">
        <v>132474.85432067487</v>
      </c>
      <c r="AL10" s="53">
        <v>136093.94402657251</v>
      </c>
      <c r="AM10" s="54">
        <v>140058.07690881961</v>
      </c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4"/>
      <c r="AY10" s="53"/>
      <c r="AZ10" s="53"/>
      <c r="BA10" s="53"/>
      <c r="BB10" s="53"/>
      <c r="BC10" s="53"/>
      <c r="BD10" s="53"/>
      <c r="BE10" s="53"/>
      <c r="BF10" s="53"/>
      <c r="BG10" s="53"/>
      <c r="BH10" s="53"/>
      <c r="BI10" s="53"/>
      <c r="BJ10" s="54"/>
    </row>
    <row r="11" spans="1:62" x14ac:dyDescent="0.35">
      <c r="A11" s="2" t="s">
        <v>7</v>
      </c>
      <c r="B11" s="2" t="s">
        <v>158</v>
      </c>
      <c r="C11" s="55">
        <v>19204.151739359146</v>
      </c>
      <c r="D11" s="56">
        <v>19852.382525258636</v>
      </c>
      <c r="E11" s="56">
        <v>20619.083853420918</v>
      </c>
      <c r="F11" s="56">
        <v>19514.623175547731</v>
      </c>
      <c r="G11" s="56">
        <v>20461.874564878537</v>
      </c>
      <c r="H11" s="56">
        <v>21525.575329686973</v>
      </c>
      <c r="I11" s="56">
        <v>20739.460220896093</v>
      </c>
      <c r="J11" s="56">
        <v>21885.919031153495</v>
      </c>
      <c r="K11" s="56">
        <v>23209.773268979588</v>
      </c>
      <c r="L11" s="56">
        <v>21707.215355682954</v>
      </c>
      <c r="M11" s="56">
        <v>23211.35519479627</v>
      </c>
      <c r="N11" s="56">
        <v>21812.747575996029</v>
      </c>
      <c r="O11" s="57">
        <v>23500.450646729885</v>
      </c>
      <c r="P11" s="56">
        <v>24315.756412761082</v>
      </c>
      <c r="Q11" s="56">
        <v>25271.391036590077</v>
      </c>
      <c r="R11" s="56">
        <v>23863.708298063855</v>
      </c>
      <c r="S11" s="56">
        <v>25062.899061104774</v>
      </c>
      <c r="T11" s="56">
        <v>26387.313380458108</v>
      </c>
      <c r="U11" s="56">
        <v>25396.755451963749</v>
      </c>
      <c r="V11" s="56">
        <v>26841.456994980294</v>
      </c>
      <c r="W11" s="56">
        <v>28514.175528588748</v>
      </c>
      <c r="X11" s="56">
        <v>27404.885552551634</v>
      </c>
      <c r="Y11" s="56">
        <v>29315.981659931447</v>
      </c>
      <c r="Z11" s="56">
        <v>28265.072790779908</v>
      </c>
      <c r="AA11" s="57">
        <v>30322.580152624301</v>
      </c>
      <c r="AB11" s="56">
        <v>31235.808587323801</v>
      </c>
      <c r="AC11" s="56">
        <v>32312.83896977792</v>
      </c>
      <c r="AD11" s="56">
        <v>30556.771655443572</v>
      </c>
      <c r="AE11" s="56">
        <v>31906.784346289282</v>
      </c>
      <c r="AF11" s="56">
        <v>33410.3879316288</v>
      </c>
      <c r="AG11" s="56">
        <v>32124.717911760865</v>
      </c>
      <c r="AH11" s="56">
        <v>33761.615423892094</v>
      </c>
      <c r="AI11" s="56">
        <v>35635.370190117668</v>
      </c>
      <c r="AJ11" s="56">
        <v>34756.224437262972</v>
      </c>
      <c r="AK11" s="56">
        <v>36918.598828743663</v>
      </c>
      <c r="AL11" s="56">
        <v>36109.231457043752</v>
      </c>
      <c r="AM11" s="57">
        <v>38420.322271242687</v>
      </c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7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7"/>
    </row>
    <row r="12" spans="1:62" x14ac:dyDescent="0.35">
      <c r="A12" s="3" t="s">
        <v>7</v>
      </c>
      <c r="B12" s="3" t="s">
        <v>159</v>
      </c>
      <c r="C12" s="58">
        <v>7547.0547629249413</v>
      </c>
      <c r="D12" s="59">
        <v>7512.3960607599756</v>
      </c>
      <c r="E12" s="59">
        <v>7529.9630800370369</v>
      </c>
      <c r="F12" s="59">
        <v>7596.4019759558905</v>
      </c>
      <c r="G12" s="59">
        <v>7733.5742817835362</v>
      </c>
      <c r="H12" s="59">
        <v>7936.9376212257785</v>
      </c>
      <c r="I12" s="59">
        <v>8177.2413214765565</v>
      </c>
      <c r="J12" s="59">
        <v>8452.1131369527466</v>
      </c>
      <c r="K12" s="59">
        <v>8709.3331635476807</v>
      </c>
      <c r="L12" s="59">
        <v>9000.0349683757941</v>
      </c>
      <c r="M12" s="59">
        <v>9322.0684099985501</v>
      </c>
      <c r="N12" s="59">
        <v>9648.421425312843</v>
      </c>
      <c r="O12" s="60">
        <v>10178.816618825331</v>
      </c>
      <c r="P12" s="59">
        <v>10050.150757502875</v>
      </c>
      <c r="Q12" s="59">
        <v>9988.080926859986</v>
      </c>
      <c r="R12" s="59">
        <v>9988.3304458850071</v>
      </c>
      <c r="S12" s="59">
        <v>10076.06394123316</v>
      </c>
      <c r="T12" s="59">
        <v>10245.663344431787</v>
      </c>
      <c r="U12" s="59">
        <v>10462.704702906443</v>
      </c>
      <c r="V12" s="59">
        <v>10724.141376981848</v>
      </c>
      <c r="W12" s="59">
        <v>10968.78904353896</v>
      </c>
      <c r="X12" s="59">
        <v>11256.059196710265</v>
      </c>
      <c r="Y12" s="59">
        <v>11583.21469469749</v>
      </c>
      <c r="Z12" s="59">
        <v>11918.527503511068</v>
      </c>
      <c r="AA12" s="60">
        <v>12494.807108201467</v>
      </c>
      <c r="AB12" s="59">
        <v>12292.412374482117</v>
      </c>
      <c r="AC12" s="59">
        <v>12169.681744449677</v>
      </c>
      <c r="AD12" s="59">
        <v>12121.499328221951</v>
      </c>
      <c r="AE12" s="59">
        <v>12176.411102781181</v>
      </c>
      <c r="AF12" s="59">
        <v>12327.796538890851</v>
      </c>
      <c r="AG12" s="59">
        <v>12536.126932828922</v>
      </c>
      <c r="AH12" s="59">
        <v>12797.745378660178</v>
      </c>
      <c r="AI12" s="59">
        <v>13042.563143907813</v>
      </c>
      <c r="AJ12" s="59">
        <v>13338.32580566156</v>
      </c>
      <c r="AK12" s="59">
        <v>13681.761771466054</v>
      </c>
      <c r="AL12" s="59">
        <v>14036.476211497617</v>
      </c>
      <c r="AM12" s="60">
        <v>14668.411508466721</v>
      </c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60"/>
      <c r="AY12" s="59"/>
      <c r="AZ12" s="59"/>
      <c r="BA12" s="59"/>
      <c r="BB12" s="59"/>
      <c r="BC12" s="59"/>
      <c r="BD12" s="59"/>
      <c r="BE12" s="59"/>
      <c r="BF12" s="59"/>
      <c r="BG12" s="59"/>
      <c r="BH12" s="59"/>
      <c r="BI12" s="59"/>
      <c r="BJ12" s="60"/>
    </row>
    <row r="14" spans="1:62" x14ac:dyDescent="0.35">
      <c r="A14" s="25" t="s">
        <v>55</v>
      </c>
      <c r="B14" s="4" t="s">
        <v>3</v>
      </c>
      <c r="C14" s="19">
        <f>C2</f>
        <v>45352</v>
      </c>
      <c r="D14" s="20">
        <f>EDATE(C14,1)</f>
        <v>45383</v>
      </c>
      <c r="E14" s="20">
        <f>EDATE(D14,1)</f>
        <v>45413</v>
      </c>
      <c r="F14" s="20">
        <f>EDATE(E14,1)</f>
        <v>45444</v>
      </c>
      <c r="G14" s="20">
        <f t="shared" ref="G14" si="112">EDATE(F14,1)</f>
        <v>45474</v>
      </c>
      <c r="H14" s="20">
        <f t="shared" ref="H14" si="113">EDATE(G14,1)</f>
        <v>45505</v>
      </c>
      <c r="I14" s="20">
        <f t="shared" ref="I14" si="114">EDATE(H14,1)</f>
        <v>45536</v>
      </c>
      <c r="J14" s="20">
        <f t="shared" ref="J14" si="115">EDATE(I14,1)</f>
        <v>45566</v>
      </c>
      <c r="K14" s="20">
        <f t="shared" ref="K14" si="116">EDATE(J14,1)</f>
        <v>45597</v>
      </c>
      <c r="L14" s="20">
        <f t="shared" ref="L14" si="117">EDATE(K14,1)</f>
        <v>45627</v>
      </c>
      <c r="M14" s="20">
        <f t="shared" ref="M14" si="118">EDATE(L14,1)</f>
        <v>45658</v>
      </c>
      <c r="N14" s="20">
        <f t="shared" ref="N14" si="119">EDATE(M14,1)</f>
        <v>45689</v>
      </c>
      <c r="O14" s="21">
        <f t="shared" ref="O14" si="120">EDATE(N14,1)</f>
        <v>45717</v>
      </c>
      <c r="P14" s="20">
        <f t="shared" ref="P14" si="121">EDATE(O14,1)</f>
        <v>45748</v>
      </c>
      <c r="Q14" s="20">
        <f t="shared" ref="Q14" si="122">EDATE(P14,1)</f>
        <v>45778</v>
      </c>
      <c r="R14" s="20">
        <f t="shared" ref="R14" si="123">EDATE(Q14,1)</f>
        <v>45809</v>
      </c>
      <c r="S14" s="20">
        <f t="shared" ref="S14" si="124">EDATE(R14,1)</f>
        <v>45839</v>
      </c>
      <c r="T14" s="20">
        <f t="shared" ref="T14" si="125">EDATE(S14,1)</f>
        <v>45870</v>
      </c>
      <c r="U14" s="20">
        <f t="shared" ref="U14" si="126">EDATE(T14,1)</f>
        <v>45901</v>
      </c>
      <c r="V14" s="20">
        <f t="shared" ref="V14" si="127">EDATE(U14,1)</f>
        <v>45931</v>
      </c>
      <c r="W14" s="20">
        <f t="shared" ref="W14" si="128">EDATE(V14,1)</f>
        <v>45962</v>
      </c>
      <c r="X14" s="20">
        <f t="shared" ref="X14" si="129">EDATE(W14,1)</f>
        <v>45992</v>
      </c>
      <c r="Y14" s="20">
        <f t="shared" ref="Y14" si="130">EDATE(X14,1)</f>
        <v>46023</v>
      </c>
      <c r="Z14" s="20">
        <f t="shared" ref="Z14" si="131">EDATE(Y14,1)</f>
        <v>46054</v>
      </c>
      <c r="AA14" s="21">
        <f t="shared" ref="AA14" si="132">EDATE(Z14,1)</f>
        <v>46082</v>
      </c>
      <c r="AB14" s="20">
        <f t="shared" ref="AB14" si="133">EDATE(AA14,1)</f>
        <v>46113</v>
      </c>
      <c r="AC14" s="20">
        <f t="shared" ref="AC14" si="134">EDATE(AB14,1)</f>
        <v>46143</v>
      </c>
      <c r="AD14" s="20">
        <f t="shared" ref="AD14" si="135">EDATE(AC14,1)</f>
        <v>46174</v>
      </c>
      <c r="AE14" s="20">
        <f t="shared" ref="AE14" si="136">EDATE(AD14,1)</f>
        <v>46204</v>
      </c>
      <c r="AF14" s="20">
        <f t="shared" ref="AF14" si="137">EDATE(AE14,1)</f>
        <v>46235</v>
      </c>
      <c r="AG14" s="20">
        <f t="shared" ref="AG14" si="138">EDATE(AF14,1)</f>
        <v>46266</v>
      </c>
      <c r="AH14" s="20">
        <f t="shared" ref="AH14" si="139">EDATE(AG14,1)</f>
        <v>46296</v>
      </c>
      <c r="AI14" s="20">
        <f t="shared" ref="AI14" si="140">EDATE(AH14,1)</f>
        <v>46327</v>
      </c>
      <c r="AJ14" s="20">
        <f t="shared" ref="AJ14" si="141">EDATE(AI14,1)</f>
        <v>46357</v>
      </c>
      <c r="AK14" s="20">
        <f t="shared" ref="AK14" si="142">EDATE(AJ14,1)</f>
        <v>46388</v>
      </c>
      <c r="AL14" s="20">
        <f t="shared" ref="AL14" si="143">EDATE(AK14,1)</f>
        <v>46419</v>
      </c>
      <c r="AM14" s="21">
        <f t="shared" ref="AM14" si="144">EDATE(AL14,1)</f>
        <v>46447</v>
      </c>
      <c r="AN14" s="20">
        <f t="shared" ref="AN14" si="145">EDATE(AM14,1)</f>
        <v>46478</v>
      </c>
      <c r="AO14" s="20">
        <f t="shared" ref="AO14" si="146">EDATE(AN14,1)</f>
        <v>46508</v>
      </c>
      <c r="AP14" s="20">
        <f t="shared" ref="AP14" si="147">EDATE(AO14,1)</f>
        <v>46539</v>
      </c>
      <c r="AQ14" s="20">
        <f t="shared" ref="AQ14" si="148">EDATE(AP14,1)</f>
        <v>46569</v>
      </c>
      <c r="AR14" s="20">
        <f t="shared" ref="AR14" si="149">EDATE(AQ14,1)</f>
        <v>46600</v>
      </c>
      <c r="AS14" s="20">
        <f t="shared" ref="AS14" si="150">EDATE(AR14,1)</f>
        <v>46631</v>
      </c>
      <c r="AT14" s="20">
        <f t="shared" ref="AT14" si="151">EDATE(AS14,1)</f>
        <v>46661</v>
      </c>
      <c r="AU14" s="20">
        <f t="shared" ref="AU14" si="152">EDATE(AT14,1)</f>
        <v>46692</v>
      </c>
      <c r="AV14" s="20">
        <f t="shared" ref="AV14" si="153">EDATE(AU14,1)</f>
        <v>46722</v>
      </c>
      <c r="AW14" s="20">
        <f t="shared" ref="AW14" si="154">EDATE(AV14,1)</f>
        <v>46753</v>
      </c>
      <c r="AX14" s="21">
        <f t="shared" ref="AX14" si="155">EDATE(AW14,1)</f>
        <v>46784</v>
      </c>
      <c r="AY14" s="20">
        <f t="shared" ref="AY14" si="156">EDATE(AX14,1)</f>
        <v>46813</v>
      </c>
      <c r="AZ14" s="20">
        <f t="shared" ref="AZ14" si="157">EDATE(AY14,1)</f>
        <v>46844</v>
      </c>
      <c r="BA14" s="20">
        <f t="shared" ref="BA14" si="158">EDATE(AZ14,1)</f>
        <v>46874</v>
      </c>
      <c r="BB14" s="20">
        <f t="shared" ref="BB14" si="159">EDATE(BA14,1)</f>
        <v>46905</v>
      </c>
      <c r="BC14" s="20">
        <f t="shared" ref="BC14" si="160">EDATE(BB14,1)</f>
        <v>46935</v>
      </c>
      <c r="BD14" s="20">
        <f t="shared" ref="BD14" si="161">EDATE(BC14,1)</f>
        <v>46966</v>
      </c>
      <c r="BE14" s="20">
        <f t="shared" ref="BE14" si="162">EDATE(BD14,1)</f>
        <v>46997</v>
      </c>
      <c r="BF14" s="20">
        <f t="shared" ref="BF14" si="163">EDATE(BE14,1)</f>
        <v>47027</v>
      </c>
      <c r="BG14" s="20">
        <f t="shared" ref="BG14" si="164">EDATE(BF14,1)</f>
        <v>47058</v>
      </c>
      <c r="BH14" s="20">
        <f t="shared" ref="BH14" si="165">EDATE(BG14,1)</f>
        <v>47088</v>
      </c>
      <c r="BI14" s="20">
        <f t="shared" ref="BI14" si="166">EDATE(BH14,1)</f>
        <v>47119</v>
      </c>
      <c r="BJ14" s="21">
        <f t="shared" ref="BJ14" si="167">EDATE(BI14,1)</f>
        <v>47150</v>
      </c>
    </row>
    <row r="15" spans="1:62" x14ac:dyDescent="0.35">
      <c r="A15" s="15" t="str">
        <f>$A$14</f>
        <v>ENR - Stress Post-WriteOff</v>
      </c>
      <c r="B15" s="15" t="s">
        <v>188</v>
      </c>
      <c r="C15" s="16">
        <f>SUM(C16:C18)</f>
        <v>78777.342131280544</v>
      </c>
      <c r="D15" s="17">
        <f t="shared" ref="D15" si="168">SUM(D16:D18)</f>
        <v>80016.050043232797</v>
      </c>
      <c r="E15" s="17">
        <f t="shared" ref="E15" si="169">SUM(E16:E18)</f>
        <v>81263.959009826198</v>
      </c>
      <c r="F15" s="17">
        <f t="shared" ref="F15" si="170">SUM(F16:F18)</f>
        <v>82589.78357198408</v>
      </c>
      <c r="G15" s="17">
        <f t="shared" ref="G15" si="171">SUM(G16:G18)</f>
        <v>83962.455350761607</v>
      </c>
      <c r="H15" s="17">
        <f t="shared" ref="H15" si="172">SUM(H16:H18)</f>
        <v>85453.724900637651</v>
      </c>
      <c r="I15" s="17">
        <f t="shared" ref="I15" si="173">SUM(I16:I18)</f>
        <v>85079.435358671311</v>
      </c>
      <c r="J15" s="17">
        <f t="shared" ref="J15" si="174">SUM(J16:J18)</f>
        <v>86182.148539971022</v>
      </c>
      <c r="K15" s="17">
        <f t="shared" ref="K15" si="175">SUM(K16:K18)</f>
        <v>87483.280324471794</v>
      </c>
      <c r="L15" s="17">
        <f t="shared" ref="L15" si="176">SUM(L16:L18)</f>
        <v>85939.885393086661</v>
      </c>
      <c r="M15" s="17">
        <f t="shared" ref="M15" si="177">SUM(M16:M18)</f>
        <v>87239.487760655684</v>
      </c>
      <c r="N15" s="17">
        <f t="shared" ref="N15" si="178">SUM(N16:N18)</f>
        <v>85542.744828219744</v>
      </c>
      <c r="O15" s="18">
        <f t="shared" ref="O15" si="179">SUM(O16:O18)</f>
        <v>86930.596306118183</v>
      </c>
      <c r="P15" s="17">
        <f t="shared" ref="P15" si="180">SUM(P16:P18)</f>
        <v>86751.674017619443</v>
      </c>
      <c r="Q15" s="17">
        <f t="shared" ref="Q15" si="181">SUM(Q16:Q18)</f>
        <v>86713.617819288891</v>
      </c>
      <c r="R15" s="17">
        <f t="shared" ref="R15" si="182">SUM(R16:R18)</f>
        <v>86738.642831559628</v>
      </c>
      <c r="S15" s="17">
        <f t="shared" ref="S15" si="183">SUM(S16:S18)</f>
        <v>86782.905976470633</v>
      </c>
      <c r="T15" s="17">
        <f t="shared" ref="T15" si="184">SUM(T16:T18)</f>
        <v>87014.985556171625</v>
      </c>
      <c r="U15" s="17">
        <f t="shared" ref="U15" si="185">SUM(U16:U18)</f>
        <v>87350.357154268277</v>
      </c>
      <c r="V15" s="17">
        <f t="shared" ref="V15" si="186">SUM(V16:V18)</f>
        <v>87925.187995563843</v>
      </c>
      <c r="W15" s="17">
        <f t="shared" ref="W15" si="187">SUM(W16:W18)</f>
        <v>89071.925731649171</v>
      </c>
      <c r="X15" s="17">
        <f t="shared" ref="X15" si="188">SUM(X16:X18)</f>
        <v>87843.430497387701</v>
      </c>
      <c r="Y15" s="17">
        <f t="shared" ref="Y15" si="189">SUM(Y16:Y18)</f>
        <v>90003.838492025345</v>
      </c>
      <c r="Z15" s="17">
        <f t="shared" ref="Z15" si="190">SUM(Z16:Z18)</f>
        <v>89533.170908576241</v>
      </c>
      <c r="AA15" s="18">
        <f t="shared" ref="AA15" si="191">SUM(AA16:AA18)</f>
        <v>92702.224404406297</v>
      </c>
      <c r="AB15" s="17">
        <f t="shared" ref="AB15" si="192">SUM(AB16:AB18)</f>
        <v>93598.662624740944</v>
      </c>
      <c r="AC15" s="17">
        <f t="shared" ref="AC15" si="193">SUM(AC16:AC18)</f>
        <v>96314.780279848681</v>
      </c>
      <c r="AD15" s="17">
        <f t="shared" ref="AD15" si="194">SUM(AD16:AD18)</f>
        <v>98516.775287188881</v>
      </c>
      <c r="AE15" s="17">
        <f t="shared" ref="AE15" si="195">SUM(AE16:AE18)</f>
        <v>101351.54531652611</v>
      </c>
      <c r="AF15" s="17">
        <f t="shared" ref="AF15" si="196">SUM(AF16:AF18)</f>
        <v>105056.73446543215</v>
      </c>
      <c r="AG15" s="17">
        <f t="shared" ref="AG15" si="197">SUM(AG16:AG18)</f>
        <v>108771.34877147095</v>
      </c>
      <c r="AH15" s="17">
        <f t="shared" ref="AH15" si="198">SUM(AH16:AH18)</f>
        <v>114192.29430369302</v>
      </c>
      <c r="AI15" s="17">
        <f t="shared" ref="AI15" si="199">SUM(AI16:AI18)</f>
        <v>120401.39954255585</v>
      </c>
      <c r="AJ15" s="17">
        <f t="shared" ref="AJ15" si="200">SUM(AJ16:AJ18)</f>
        <v>124322.1871888747</v>
      </c>
      <c r="AK15" s="17">
        <f t="shared" ref="AK15" si="201">SUM(AK16:AK18)</f>
        <v>131396.21453839427</v>
      </c>
      <c r="AL15" s="17">
        <f t="shared" ref="AL15" si="202">SUM(AL16:AL18)</f>
        <v>135433.07813092545</v>
      </c>
      <c r="AM15" s="18">
        <f t="shared" ref="AM15" si="203">SUM(AM16:AM18)</f>
        <v>143181.25825214997</v>
      </c>
      <c r="AN15" s="17">
        <f t="shared" ref="AN15" si="204">SUM(AN16:AN18)</f>
        <v>0</v>
      </c>
      <c r="AO15" s="17">
        <f t="shared" ref="AO15" si="205">SUM(AO16:AO18)</f>
        <v>0</v>
      </c>
      <c r="AP15" s="17">
        <f t="shared" ref="AP15" si="206">SUM(AP16:AP18)</f>
        <v>0</v>
      </c>
      <c r="AQ15" s="17">
        <f t="shared" ref="AQ15" si="207">SUM(AQ16:AQ18)</f>
        <v>0</v>
      </c>
      <c r="AR15" s="17">
        <f t="shared" ref="AR15" si="208">SUM(AR16:AR18)</f>
        <v>0</v>
      </c>
      <c r="AS15" s="17">
        <f t="shared" ref="AS15" si="209">SUM(AS16:AS18)</f>
        <v>0</v>
      </c>
      <c r="AT15" s="17">
        <f t="shared" ref="AT15" si="210">SUM(AT16:AT18)</f>
        <v>0</v>
      </c>
      <c r="AU15" s="17">
        <f t="shared" ref="AU15" si="211">SUM(AU16:AU18)</f>
        <v>0</v>
      </c>
      <c r="AV15" s="17">
        <f t="shared" ref="AV15" si="212">SUM(AV16:AV18)</f>
        <v>0</v>
      </c>
      <c r="AW15" s="17">
        <f t="shared" ref="AW15" si="213">SUM(AW16:AW18)</f>
        <v>0</v>
      </c>
      <c r="AX15" s="18">
        <f t="shared" ref="AX15" si="214">SUM(AX16:AX18)</f>
        <v>0</v>
      </c>
      <c r="AY15" s="17">
        <f t="shared" ref="AY15" si="215">SUM(AY16:AY18)</f>
        <v>0</v>
      </c>
      <c r="AZ15" s="17">
        <f t="shared" ref="AZ15" si="216">SUM(AZ16:AZ18)</f>
        <v>0</v>
      </c>
      <c r="BA15" s="17">
        <f t="shared" ref="BA15" si="217">SUM(BA16:BA18)</f>
        <v>0</v>
      </c>
      <c r="BB15" s="17">
        <f t="shared" ref="BB15" si="218">SUM(BB16:BB18)</f>
        <v>0</v>
      </c>
      <c r="BC15" s="17">
        <f t="shared" ref="BC15" si="219">SUM(BC16:BC18)</f>
        <v>0</v>
      </c>
      <c r="BD15" s="17">
        <f t="shared" ref="BD15" si="220">SUM(BD16:BD18)</f>
        <v>0</v>
      </c>
      <c r="BE15" s="17">
        <f t="shared" ref="BE15" si="221">SUM(BE16:BE18)</f>
        <v>0</v>
      </c>
      <c r="BF15" s="17">
        <f t="shared" ref="BF15" si="222">SUM(BF16:BF18)</f>
        <v>0</v>
      </c>
      <c r="BG15" s="17">
        <f t="shared" ref="BG15" si="223">SUM(BG16:BG18)</f>
        <v>0</v>
      </c>
      <c r="BH15" s="17">
        <f t="shared" ref="BH15" si="224">SUM(BH16:BH18)</f>
        <v>0</v>
      </c>
      <c r="BI15" s="17">
        <f t="shared" ref="BI15" si="225">SUM(BI16:BI18)</f>
        <v>0</v>
      </c>
      <c r="BJ15" s="18">
        <f t="shared" ref="BJ15" si="226">SUM(BJ16:BJ18)</f>
        <v>0</v>
      </c>
    </row>
    <row r="16" spans="1:62" x14ac:dyDescent="0.35">
      <c r="A16" s="1" t="str">
        <f>$A$14</f>
        <v>ENR - Stress Post-WriteOff</v>
      </c>
      <c r="B16" s="1" t="s">
        <v>157</v>
      </c>
      <c r="C16" s="52">
        <v>52026.135628996468</v>
      </c>
      <c r="D16" s="53">
        <f>D4</f>
        <v>52427.211097569161</v>
      </c>
      <c r="E16" s="53">
        <f t="shared" ref="E16:AM16" si="227">E4</f>
        <v>53343.307673366362</v>
      </c>
      <c r="F16" s="53">
        <f t="shared" si="227"/>
        <v>54301.81667421083</v>
      </c>
      <c r="G16" s="53">
        <f t="shared" si="227"/>
        <v>55283.254270096098</v>
      </c>
      <c r="H16" s="53">
        <f t="shared" si="227"/>
        <v>56336.702190980432</v>
      </c>
      <c r="I16" s="53">
        <f t="shared" si="227"/>
        <v>57443.134278176265</v>
      </c>
      <c r="J16" s="53">
        <f t="shared" si="227"/>
        <v>58210.55423906826</v>
      </c>
      <c r="K16" s="53">
        <f t="shared" si="227"/>
        <v>59131.160581001037</v>
      </c>
      <c r="L16" s="53">
        <f t="shared" si="227"/>
        <v>60122.724558764086</v>
      </c>
      <c r="M16" s="53">
        <f t="shared" si="227"/>
        <v>61015.999349979138</v>
      </c>
      <c r="N16" s="53">
        <f t="shared" si="227"/>
        <v>61838.960070355817</v>
      </c>
      <c r="O16" s="54">
        <f t="shared" si="227"/>
        <v>62701.129695051794</v>
      </c>
      <c r="P16" s="53">
        <f t="shared" si="227"/>
        <v>62564.230550715438</v>
      </c>
      <c r="Q16" s="53">
        <f t="shared" si="227"/>
        <v>62518.003881036697</v>
      </c>
      <c r="R16" s="53">
        <f t="shared" si="227"/>
        <v>62522.019221988347</v>
      </c>
      <c r="S16" s="53">
        <f t="shared" si="227"/>
        <v>62491.529299995971</v>
      </c>
      <c r="T16" s="53">
        <f t="shared" si="227"/>
        <v>62611.95665346583</v>
      </c>
      <c r="U16" s="53">
        <f t="shared" si="227"/>
        <v>62801.46685567747</v>
      </c>
      <c r="V16" s="53">
        <f t="shared" si="227"/>
        <v>63115.001871814638</v>
      </c>
      <c r="W16" s="53">
        <f t="shared" si="227"/>
        <v>63787.09058600905</v>
      </c>
      <c r="X16" s="53">
        <f t="shared" si="227"/>
        <v>64815.475941581346</v>
      </c>
      <c r="Y16" s="53">
        <f t="shared" si="227"/>
        <v>66080.11003656208</v>
      </c>
      <c r="Z16" s="53">
        <f t="shared" si="227"/>
        <v>67522.259323623308</v>
      </c>
      <c r="AA16" s="54">
        <f t="shared" si="227"/>
        <v>69324.803944108251</v>
      </c>
      <c r="AB16" s="53">
        <f t="shared" si="227"/>
        <v>69673.986483885848</v>
      </c>
      <c r="AC16" s="53">
        <f t="shared" si="227"/>
        <v>71614.017675599462</v>
      </c>
      <c r="AD16" s="53">
        <f t="shared" si="227"/>
        <v>72828.433794119221</v>
      </c>
      <c r="AE16" s="53">
        <f t="shared" si="227"/>
        <v>74412.297274199504</v>
      </c>
      <c r="AF16" s="53">
        <f t="shared" si="227"/>
        <v>76547.79473735363</v>
      </c>
      <c r="AG16" s="53">
        <f t="shared" si="227"/>
        <v>79319.166105275508</v>
      </c>
      <c r="AH16" s="53">
        <f t="shared" si="227"/>
        <v>82346.272548490742</v>
      </c>
      <c r="AI16" s="53">
        <f t="shared" si="227"/>
        <v>85966.850881092425</v>
      </c>
      <c r="AJ16" s="53">
        <f t="shared" si="227"/>
        <v>90024.638585567343</v>
      </c>
      <c r="AK16" s="53">
        <f t="shared" si="227"/>
        <v>94172.900422237857</v>
      </c>
      <c r="AL16" s="53">
        <f t="shared" si="227"/>
        <v>98264.280535458543</v>
      </c>
      <c r="AM16" s="54">
        <f t="shared" si="227"/>
        <v>102687.7404967867</v>
      </c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4"/>
      <c r="AY16" s="53"/>
      <c r="AZ16" s="53"/>
      <c r="BA16" s="53"/>
      <c r="BB16" s="53"/>
      <c r="BC16" s="53"/>
      <c r="BD16" s="53"/>
      <c r="BE16" s="53"/>
      <c r="BF16" s="53"/>
      <c r="BG16" s="53"/>
      <c r="BH16" s="53"/>
      <c r="BI16" s="53"/>
      <c r="BJ16" s="54"/>
    </row>
    <row r="17" spans="1:62" x14ac:dyDescent="0.35">
      <c r="A17" s="2" t="str">
        <f>$A$14</f>
        <v>ENR - Stress Post-WriteOff</v>
      </c>
      <c r="B17" s="2" t="s">
        <v>158</v>
      </c>
      <c r="C17" s="55">
        <v>19204.151739359146</v>
      </c>
      <c r="D17" s="56">
        <f t="shared" ref="D17:AM17" si="228">D5</f>
        <v>20089.603841116816</v>
      </c>
      <c r="E17" s="56">
        <f t="shared" si="228"/>
        <v>20678.004038967825</v>
      </c>
      <c r="F17" s="56">
        <f t="shared" si="228"/>
        <v>21279.429785606124</v>
      </c>
      <c r="G17" s="56">
        <f t="shared" si="228"/>
        <v>21876.990005781758</v>
      </c>
      <c r="H17" s="56">
        <f t="shared" si="228"/>
        <v>22499.637773574093</v>
      </c>
      <c r="I17" s="56">
        <f t="shared" si="228"/>
        <v>21190.74807073547</v>
      </c>
      <c r="J17" s="56">
        <f t="shared" si="228"/>
        <v>21699.963470665683</v>
      </c>
      <c r="K17" s="56">
        <f t="shared" si="228"/>
        <v>22269.642113538059</v>
      </c>
      <c r="L17" s="56">
        <f t="shared" si="228"/>
        <v>19904.289315869606</v>
      </c>
      <c r="M17" s="56">
        <f t="shared" si="228"/>
        <v>20483.331194851879</v>
      </c>
      <c r="N17" s="56">
        <f t="shared" si="228"/>
        <v>18133.375433198205</v>
      </c>
      <c r="O17" s="57">
        <f t="shared" si="228"/>
        <v>18786.779263864355</v>
      </c>
      <c r="P17" s="56">
        <f t="shared" si="228"/>
        <v>18997.1510143956</v>
      </c>
      <c r="Q17" s="56">
        <f t="shared" si="228"/>
        <v>19239.466353564312</v>
      </c>
      <c r="R17" s="56">
        <f t="shared" si="228"/>
        <v>19479.292850746329</v>
      </c>
      <c r="S17" s="56">
        <f t="shared" si="228"/>
        <v>19756.185708359066</v>
      </c>
      <c r="T17" s="56">
        <f t="shared" si="228"/>
        <v>20052.9133269417</v>
      </c>
      <c r="U17" s="56">
        <f t="shared" si="228"/>
        <v>20373.131562739232</v>
      </c>
      <c r="V17" s="56">
        <f t="shared" si="228"/>
        <v>20753.254002126072</v>
      </c>
      <c r="W17" s="56">
        <f t="shared" si="228"/>
        <v>21301.765466864206</v>
      </c>
      <c r="X17" s="56">
        <f t="shared" si="228"/>
        <v>19062.670669208772</v>
      </c>
      <c r="Y17" s="56">
        <f t="shared" si="228"/>
        <v>19919.088188471454</v>
      </c>
      <c r="Z17" s="56">
        <f t="shared" si="228"/>
        <v>17918.109002383266</v>
      </c>
      <c r="AA17" s="57">
        <f t="shared" si="228"/>
        <v>19064.450525721099</v>
      </c>
      <c r="AB17" s="56">
        <f t="shared" si="228"/>
        <v>19625.877617859427</v>
      </c>
      <c r="AC17" s="56">
        <f t="shared" si="228"/>
        <v>20364.692096150891</v>
      </c>
      <c r="AD17" s="56">
        <f t="shared" si="228"/>
        <v>21245.725875119268</v>
      </c>
      <c r="AE17" s="56">
        <f t="shared" si="228"/>
        <v>22298.596122434672</v>
      </c>
      <c r="AF17" s="56">
        <f t="shared" si="228"/>
        <v>23573.635719040012</v>
      </c>
      <c r="AG17" s="56">
        <f t="shared" si="228"/>
        <v>24128.815278255872</v>
      </c>
      <c r="AH17" s="56">
        <f t="shared" si="228"/>
        <v>25797.845075483609</v>
      </c>
      <c r="AI17" s="56">
        <f t="shared" si="228"/>
        <v>27708.108679322497</v>
      </c>
      <c r="AJ17" s="56">
        <f t="shared" si="228"/>
        <v>26869.735539128724</v>
      </c>
      <c r="AK17" s="56">
        <f t="shared" si="228"/>
        <v>29072.50226009059</v>
      </c>
      <c r="AL17" s="56">
        <f t="shared" si="228"/>
        <v>28308.083336390115</v>
      </c>
      <c r="AM17" s="57">
        <f t="shared" si="228"/>
        <v>30668.489788218794</v>
      </c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AX17" s="57"/>
      <c r="AY17" s="56"/>
      <c r="AZ17" s="56"/>
      <c r="BA17" s="56"/>
      <c r="BB17" s="56"/>
      <c r="BC17" s="56"/>
      <c r="BD17" s="56"/>
      <c r="BE17" s="56"/>
      <c r="BF17" s="56"/>
      <c r="BG17" s="56"/>
      <c r="BH17" s="56"/>
      <c r="BI17" s="56"/>
      <c r="BJ17" s="57"/>
    </row>
    <row r="18" spans="1:62" x14ac:dyDescent="0.35">
      <c r="A18" s="3" t="str">
        <f>$A$14</f>
        <v>ENR - Stress Post-WriteOff</v>
      </c>
      <c r="B18" s="3" t="s">
        <v>159</v>
      </c>
      <c r="C18" s="58">
        <v>7547.0547629249413</v>
      </c>
      <c r="D18" s="59">
        <f t="shared" ref="D18:AM18" si="229">D6</f>
        <v>7499.2351045468185</v>
      </c>
      <c r="E18" s="59">
        <f t="shared" si="229"/>
        <v>7242.6472974920052</v>
      </c>
      <c r="F18" s="59">
        <f t="shared" si="229"/>
        <v>7008.5371121671214</v>
      </c>
      <c r="G18" s="59">
        <f t="shared" si="229"/>
        <v>6802.2110748837422</v>
      </c>
      <c r="H18" s="59">
        <f t="shared" si="229"/>
        <v>6617.3849360831255</v>
      </c>
      <c r="I18" s="59">
        <f t="shared" si="229"/>
        <v>6445.553009759582</v>
      </c>
      <c r="J18" s="59">
        <f t="shared" si="229"/>
        <v>6271.6308302370808</v>
      </c>
      <c r="K18" s="59">
        <f t="shared" si="229"/>
        <v>6082.4776299326941</v>
      </c>
      <c r="L18" s="59">
        <f t="shared" si="229"/>
        <v>5912.8715184529738</v>
      </c>
      <c r="M18" s="59">
        <f t="shared" si="229"/>
        <v>5740.1572158246772</v>
      </c>
      <c r="N18" s="59">
        <f t="shared" si="229"/>
        <v>5570.4093246657094</v>
      </c>
      <c r="O18" s="60">
        <f t="shared" si="229"/>
        <v>5442.6873472020416</v>
      </c>
      <c r="P18" s="59">
        <f t="shared" si="229"/>
        <v>5190.2924525084072</v>
      </c>
      <c r="Q18" s="59">
        <f t="shared" si="229"/>
        <v>4956.1475846878875</v>
      </c>
      <c r="R18" s="59">
        <f t="shared" si="229"/>
        <v>4737.3307588249563</v>
      </c>
      <c r="S18" s="59">
        <f t="shared" si="229"/>
        <v>4535.1909681156012</v>
      </c>
      <c r="T18" s="59">
        <f t="shared" si="229"/>
        <v>4350.1155757640936</v>
      </c>
      <c r="U18" s="59">
        <f t="shared" si="229"/>
        <v>4175.7587358515757</v>
      </c>
      <c r="V18" s="59">
        <f t="shared" si="229"/>
        <v>4056.9321216231278</v>
      </c>
      <c r="W18" s="59">
        <f t="shared" si="229"/>
        <v>3983.0696787759271</v>
      </c>
      <c r="X18" s="59">
        <f t="shared" si="229"/>
        <v>3965.2838865975741</v>
      </c>
      <c r="Y18" s="59">
        <f t="shared" si="229"/>
        <v>4004.6402669918225</v>
      </c>
      <c r="Z18" s="59">
        <f t="shared" si="229"/>
        <v>4092.8025825696668</v>
      </c>
      <c r="AA18" s="60">
        <f t="shared" si="229"/>
        <v>4312.9699345769468</v>
      </c>
      <c r="AB18" s="59">
        <f t="shared" si="229"/>
        <v>4298.7985229956621</v>
      </c>
      <c r="AC18" s="59">
        <f t="shared" si="229"/>
        <v>4336.0705080983262</v>
      </c>
      <c r="AD18" s="59">
        <f t="shared" si="229"/>
        <v>4442.6156179503905</v>
      </c>
      <c r="AE18" s="59">
        <f t="shared" si="229"/>
        <v>4640.6519198919486</v>
      </c>
      <c r="AF18" s="59">
        <f t="shared" si="229"/>
        <v>4935.3040090385084</v>
      </c>
      <c r="AG18" s="59">
        <f t="shared" si="229"/>
        <v>5323.3673879395601</v>
      </c>
      <c r="AH18" s="59">
        <f t="shared" si="229"/>
        <v>6048.1766797186792</v>
      </c>
      <c r="AI18" s="59">
        <f t="shared" si="229"/>
        <v>6726.4399821409334</v>
      </c>
      <c r="AJ18" s="59">
        <f t="shared" si="229"/>
        <v>7427.8130641786338</v>
      </c>
      <c r="AK18" s="59">
        <f t="shared" si="229"/>
        <v>8150.8118560658158</v>
      </c>
      <c r="AL18" s="59">
        <f t="shared" si="229"/>
        <v>8860.7142590767799</v>
      </c>
      <c r="AM18" s="60">
        <f t="shared" si="229"/>
        <v>9825.0279671444823</v>
      </c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60"/>
      <c r="AY18" s="59"/>
      <c r="AZ18" s="59"/>
      <c r="BA18" s="59"/>
      <c r="BB18" s="59"/>
      <c r="BC18" s="59"/>
      <c r="BD18" s="59"/>
      <c r="BE18" s="59"/>
      <c r="BF18" s="59"/>
      <c r="BG18" s="59"/>
      <c r="BH18" s="59"/>
      <c r="BI18" s="59"/>
      <c r="BJ18" s="60"/>
    </row>
    <row r="20" spans="1:62" x14ac:dyDescent="0.35">
      <c r="I20" s="231"/>
      <c r="J20" s="231"/>
      <c r="K20" s="231"/>
      <c r="L20" s="231"/>
      <c r="M20" s="231"/>
      <c r="N20" s="231"/>
      <c r="O20" s="231"/>
      <c r="P20" s="231"/>
      <c r="Q20" s="231"/>
      <c r="R20" s="231"/>
      <c r="S20" s="231"/>
      <c r="T20" s="231"/>
      <c r="U20" s="231"/>
      <c r="V20" s="231"/>
      <c r="W20" s="231"/>
      <c r="X20" s="231"/>
      <c r="Y20" s="231"/>
      <c r="Z20" s="231"/>
      <c r="AA20" s="231"/>
      <c r="AB20" s="231"/>
      <c r="AC20" s="231"/>
      <c r="AD20" s="231"/>
      <c r="AE20" s="231"/>
      <c r="AF20" s="231"/>
      <c r="AG20" s="231"/>
      <c r="AH20" s="231"/>
      <c r="AI20" s="231"/>
      <c r="AJ20" s="231"/>
      <c r="AK20" s="231"/>
      <c r="AL20" s="231"/>
    </row>
    <row r="21" spans="1:62" x14ac:dyDescent="0.35">
      <c r="A21" s="25" t="s">
        <v>260</v>
      </c>
      <c r="B21" s="4" t="s">
        <v>3</v>
      </c>
      <c r="C21" s="19">
        <f>C2</f>
        <v>45352</v>
      </c>
      <c r="D21" s="20">
        <f>EDATE(C21,1)</f>
        <v>45383</v>
      </c>
      <c r="E21" s="20">
        <f>EDATE(D21,1)</f>
        <v>45413</v>
      </c>
      <c r="F21" s="20">
        <f>EDATE(E21,1)</f>
        <v>45444</v>
      </c>
      <c r="G21" s="20">
        <f t="shared" ref="G21" si="230">EDATE(F21,1)</f>
        <v>45474</v>
      </c>
      <c r="H21" s="20">
        <f t="shared" ref="H21" si="231">EDATE(G21,1)</f>
        <v>45505</v>
      </c>
      <c r="I21" s="20">
        <f t="shared" ref="I21" si="232">EDATE(H21,1)</f>
        <v>45536</v>
      </c>
      <c r="J21" s="20">
        <f t="shared" ref="J21" si="233">EDATE(I21,1)</f>
        <v>45566</v>
      </c>
      <c r="K21" s="20">
        <f t="shared" ref="K21" si="234">EDATE(J21,1)</f>
        <v>45597</v>
      </c>
      <c r="L21" s="20">
        <f t="shared" ref="L21" si="235">EDATE(K21,1)</f>
        <v>45627</v>
      </c>
      <c r="M21" s="20">
        <f t="shared" ref="M21" si="236">EDATE(L21,1)</f>
        <v>45658</v>
      </c>
      <c r="N21" s="20">
        <f t="shared" ref="N21" si="237">EDATE(M21,1)</f>
        <v>45689</v>
      </c>
      <c r="O21" s="21">
        <f t="shared" ref="O21" si="238">EDATE(N21,1)</f>
        <v>45717</v>
      </c>
      <c r="P21" s="20">
        <f t="shared" ref="P21" si="239">EDATE(O21,1)</f>
        <v>45748</v>
      </c>
      <c r="Q21" s="20">
        <f t="shared" ref="Q21" si="240">EDATE(P21,1)</f>
        <v>45778</v>
      </c>
      <c r="R21" s="20">
        <f t="shared" ref="R21" si="241">EDATE(Q21,1)</f>
        <v>45809</v>
      </c>
      <c r="S21" s="20">
        <f t="shared" ref="S21" si="242">EDATE(R21,1)</f>
        <v>45839</v>
      </c>
      <c r="T21" s="20">
        <f t="shared" ref="T21" si="243">EDATE(S21,1)</f>
        <v>45870</v>
      </c>
      <c r="U21" s="20">
        <f t="shared" ref="U21" si="244">EDATE(T21,1)</f>
        <v>45901</v>
      </c>
      <c r="V21" s="20">
        <f t="shared" ref="V21" si="245">EDATE(U21,1)</f>
        <v>45931</v>
      </c>
      <c r="W21" s="20">
        <f t="shared" ref="W21" si="246">EDATE(V21,1)</f>
        <v>45962</v>
      </c>
      <c r="X21" s="20">
        <f t="shared" ref="X21" si="247">EDATE(W21,1)</f>
        <v>45992</v>
      </c>
      <c r="Y21" s="20">
        <f t="shared" ref="Y21" si="248">EDATE(X21,1)</f>
        <v>46023</v>
      </c>
      <c r="Z21" s="20">
        <f t="shared" ref="Z21" si="249">EDATE(Y21,1)</f>
        <v>46054</v>
      </c>
      <c r="AA21" s="21">
        <f t="shared" ref="AA21" si="250">EDATE(Z21,1)</f>
        <v>46082</v>
      </c>
      <c r="AB21" s="20">
        <f t="shared" ref="AB21" si="251">EDATE(AA21,1)</f>
        <v>46113</v>
      </c>
      <c r="AC21" s="20">
        <f t="shared" ref="AC21" si="252">EDATE(AB21,1)</f>
        <v>46143</v>
      </c>
      <c r="AD21" s="20">
        <f t="shared" ref="AD21" si="253">EDATE(AC21,1)</f>
        <v>46174</v>
      </c>
      <c r="AE21" s="20">
        <f t="shared" ref="AE21" si="254">EDATE(AD21,1)</f>
        <v>46204</v>
      </c>
      <c r="AF21" s="20">
        <f t="shared" ref="AF21" si="255">EDATE(AE21,1)</f>
        <v>46235</v>
      </c>
      <c r="AG21" s="20">
        <f t="shared" ref="AG21" si="256">EDATE(AF21,1)</f>
        <v>46266</v>
      </c>
      <c r="AH21" s="20">
        <f t="shared" ref="AH21" si="257">EDATE(AG21,1)</f>
        <v>46296</v>
      </c>
      <c r="AI21" s="20">
        <f t="shared" ref="AI21" si="258">EDATE(AH21,1)</f>
        <v>46327</v>
      </c>
      <c r="AJ21" s="20">
        <f t="shared" ref="AJ21" si="259">EDATE(AI21,1)</f>
        <v>46357</v>
      </c>
      <c r="AK21" s="20">
        <f t="shared" ref="AK21" si="260">EDATE(AJ21,1)</f>
        <v>46388</v>
      </c>
      <c r="AL21" s="20">
        <f t="shared" ref="AL21" si="261">EDATE(AK21,1)</f>
        <v>46419</v>
      </c>
      <c r="AM21" s="21">
        <f t="shared" ref="AM21" si="262">EDATE(AL21,1)</f>
        <v>46447</v>
      </c>
    </row>
    <row r="22" spans="1:62" x14ac:dyDescent="0.35">
      <c r="A22" s="15" t="s">
        <v>260</v>
      </c>
      <c r="B22" s="15" t="s">
        <v>157</v>
      </c>
      <c r="C22" s="16">
        <f>SUM(C23:C25)</f>
        <v>52026.135628996468</v>
      </c>
      <c r="D22" s="17">
        <f t="shared" ref="D22:AM22" si="263">SUM(D23:D25)</f>
        <v>53122.125815351996</v>
      </c>
      <c r="E22" s="17">
        <f t="shared" si="263"/>
        <v>54537.357663136383</v>
      </c>
      <c r="F22" s="17">
        <f t="shared" si="263"/>
        <v>56131.077956348076</v>
      </c>
      <c r="G22" s="17">
        <f t="shared" si="263"/>
        <v>57882.285814306131</v>
      </c>
      <c r="H22" s="17">
        <f t="shared" si="263"/>
        <v>59903.92163520991</v>
      </c>
      <c r="I22" s="17">
        <f t="shared" si="263"/>
        <v>62171.724108479808</v>
      </c>
      <c r="J22" s="17">
        <f t="shared" si="263"/>
        <v>64281.553740035597</v>
      </c>
      <c r="K22" s="17">
        <f t="shared" si="263"/>
        <v>66819.502661620645</v>
      </c>
      <c r="L22" s="17">
        <f t="shared" si="263"/>
        <v>69659.502041674525</v>
      </c>
      <c r="M22" s="17">
        <f t="shared" si="263"/>
        <v>72546.099697516183</v>
      </c>
      <c r="N22" s="17">
        <f t="shared" si="263"/>
        <v>75386.351684501729</v>
      </c>
      <c r="O22" s="18">
        <f t="shared" si="263"/>
        <v>78457.532984202116</v>
      </c>
      <c r="P22" s="17">
        <f t="shared" si="263"/>
        <v>79519.981139796422</v>
      </c>
      <c r="Q22" s="17">
        <f t="shared" si="263"/>
        <v>80956.827117634137</v>
      </c>
      <c r="R22" s="17">
        <f t="shared" si="263"/>
        <v>82624.562289331021</v>
      </c>
      <c r="S22" s="17">
        <f t="shared" si="263"/>
        <v>84420.557639227103</v>
      </c>
      <c r="T22" s="17">
        <f t="shared" si="263"/>
        <v>86618.50569523219</v>
      </c>
      <c r="U22" s="17">
        <f t="shared" si="263"/>
        <v>89116.611439742264</v>
      </c>
      <c r="V22" s="17">
        <f t="shared" si="263"/>
        <v>91456.307372413838</v>
      </c>
      <c r="W22" s="17">
        <f t="shared" si="263"/>
        <v>94293.670887324784</v>
      </c>
      <c r="X22" s="17">
        <f t="shared" si="263"/>
        <v>97508.76547126098</v>
      </c>
      <c r="Y22" s="17">
        <f t="shared" si="263"/>
        <v>100838.6126031715</v>
      </c>
      <c r="Z22" s="17">
        <f t="shared" si="263"/>
        <v>104111.31454869072</v>
      </c>
      <c r="AA22" s="18">
        <f t="shared" si="263"/>
        <v>107662.78619623838</v>
      </c>
      <c r="AB22" s="17">
        <f t="shared" si="263"/>
        <v>108590.62344738512</v>
      </c>
      <c r="AC22" s="17">
        <f t="shared" si="263"/>
        <v>111090.54813952436</v>
      </c>
      <c r="AD22" s="17">
        <f t="shared" si="263"/>
        <v>112758.54533353513</v>
      </c>
      <c r="AE22" s="17">
        <f t="shared" si="263"/>
        <v>114652.41540832316</v>
      </c>
      <c r="AF22" s="17">
        <f t="shared" si="263"/>
        <v>116957.82026474871</v>
      </c>
      <c r="AG22" s="17">
        <f t="shared" si="263"/>
        <v>119640.4579319203</v>
      </c>
      <c r="AH22" s="17">
        <f t="shared" si="263"/>
        <v>122144.02098364236</v>
      </c>
      <c r="AI22" s="17">
        <f t="shared" si="263"/>
        <v>125253.07717721196</v>
      </c>
      <c r="AJ22" s="17">
        <f t="shared" si="263"/>
        <v>128812.10211765191</v>
      </c>
      <c r="AK22" s="17">
        <f t="shared" si="263"/>
        <v>132474.85432067487</v>
      </c>
      <c r="AL22" s="17">
        <f t="shared" si="263"/>
        <v>136093.94402657251</v>
      </c>
      <c r="AM22" s="18">
        <f t="shared" si="263"/>
        <v>140058.07690881961</v>
      </c>
    </row>
    <row r="23" spans="1:62" x14ac:dyDescent="0.35">
      <c r="A23" s="1" t="s">
        <v>260</v>
      </c>
      <c r="B23" s="1" t="s">
        <v>257</v>
      </c>
      <c r="C23" s="52">
        <v>49926.434086095069</v>
      </c>
      <c r="D23" s="53">
        <v>51026.303686413157</v>
      </c>
      <c r="E23" s="53">
        <v>52405.091454949434</v>
      </c>
      <c r="F23" s="53">
        <v>53952.405556691199</v>
      </c>
      <c r="G23" s="53">
        <v>55666.833339548291</v>
      </c>
      <c r="H23" s="53">
        <v>57644.166449661585</v>
      </c>
      <c r="I23" s="53">
        <v>59858.106672825714</v>
      </c>
      <c r="J23" s="53">
        <v>61941.161240372523</v>
      </c>
      <c r="K23" s="53">
        <v>64446.678875414029</v>
      </c>
      <c r="L23" s="53">
        <v>67257.326294573766</v>
      </c>
      <c r="M23" s="53">
        <v>70124.641755537785</v>
      </c>
      <c r="N23" s="53">
        <v>72943.78639335648</v>
      </c>
      <c r="O23" s="54">
        <v>75992.241126788504</v>
      </c>
      <c r="P23" s="53">
        <v>76977.917686667497</v>
      </c>
      <c r="Q23" s="53">
        <v>78335.85673198571</v>
      </c>
      <c r="R23" s="53">
        <v>79920.236703225499</v>
      </c>
      <c r="S23" s="53">
        <v>81705.303611411466</v>
      </c>
      <c r="T23" s="53">
        <v>83839.500067903806</v>
      </c>
      <c r="U23" s="53">
        <v>86274.463697432308</v>
      </c>
      <c r="V23" s="53">
        <v>88558.073740215536</v>
      </c>
      <c r="W23" s="53">
        <v>91360.159984513361</v>
      </c>
      <c r="X23" s="53">
        <v>94539.974956029706</v>
      </c>
      <c r="Y23" s="53">
        <v>97856.95531823863</v>
      </c>
      <c r="Z23" s="53">
        <v>101110.15020551776</v>
      </c>
      <c r="AA23" s="54">
        <v>104640.86122014732</v>
      </c>
      <c r="AB23" s="53">
        <v>105521.84176736329</v>
      </c>
      <c r="AC23" s="53">
        <v>107921.07019510401</v>
      </c>
      <c r="AD23" s="53">
        <v>109486.31436147408</v>
      </c>
      <c r="AE23" s="53">
        <v>111310.54131162743</v>
      </c>
      <c r="AF23" s="53">
        <v>113549.32869611496</v>
      </c>
      <c r="AG23" s="53">
        <v>116160.27224346284</v>
      </c>
      <c r="AH23" s="53">
        <v>118619.98751962955</v>
      </c>
      <c r="AI23" s="53">
        <v>121695.24051959718</v>
      </c>
      <c r="AJ23" s="53">
        <v>125228.06525997436</v>
      </c>
      <c r="AK23" s="53">
        <v>128892.9514722872</v>
      </c>
      <c r="AL23" s="53">
        <v>132512.00812438989</v>
      </c>
      <c r="AM23" s="54">
        <v>136480.08129256865</v>
      </c>
    </row>
    <row r="24" spans="1:62" x14ac:dyDescent="0.35">
      <c r="A24" s="2" t="s">
        <v>260</v>
      </c>
      <c r="B24" s="2" t="s">
        <v>258</v>
      </c>
      <c r="C24" s="55">
        <v>1210.9404438330791</v>
      </c>
      <c r="D24" s="56">
        <v>1215.3444151398844</v>
      </c>
      <c r="E24" s="56">
        <v>1240.3447733026828</v>
      </c>
      <c r="F24" s="56">
        <v>1276.7547062265608</v>
      </c>
      <c r="G24" s="56">
        <v>1306.0727503425064</v>
      </c>
      <c r="H24" s="56">
        <v>1336.7554454456167</v>
      </c>
      <c r="I24" s="56">
        <v>1368.0904582346811</v>
      </c>
      <c r="J24" s="56">
        <v>1389.1192617790887</v>
      </c>
      <c r="K24" s="56">
        <v>1404.5152529431953</v>
      </c>
      <c r="L24" s="56">
        <v>1417.0016248653956</v>
      </c>
      <c r="M24" s="56">
        <v>1418.6537338252065</v>
      </c>
      <c r="N24" s="56">
        <v>1421.7476340951071</v>
      </c>
      <c r="O24" s="57">
        <v>1429.0642531095859</v>
      </c>
      <c r="P24" s="56">
        <v>1480.0201971826514</v>
      </c>
      <c r="Q24" s="56">
        <v>1542.834033565465</v>
      </c>
      <c r="R24" s="56">
        <v>1609.5090113396211</v>
      </c>
      <c r="S24" s="56">
        <v>1660.7034455078526</v>
      </c>
      <c r="T24" s="56">
        <v>1709.1525843817535</v>
      </c>
      <c r="U24" s="56">
        <v>1752.462101837476</v>
      </c>
      <c r="V24" s="56">
        <v>1779.2897718848221</v>
      </c>
      <c r="W24" s="56">
        <v>1796.1945957960709</v>
      </c>
      <c r="X24" s="56">
        <v>1806.7372301824334</v>
      </c>
      <c r="Y24" s="56">
        <v>1798.3449052549652</v>
      </c>
      <c r="Z24" s="56">
        <v>1793.8543005329311</v>
      </c>
      <c r="AA24" s="57">
        <v>1795.9475257622189</v>
      </c>
      <c r="AB24" s="56">
        <v>1865.7298994036107</v>
      </c>
      <c r="AC24" s="56">
        <v>1934.351860742941</v>
      </c>
      <c r="AD24" s="56">
        <v>2007.006705651514</v>
      </c>
      <c r="AE24" s="56">
        <v>2068.010292962711</v>
      </c>
      <c r="AF24" s="56">
        <v>2122.7442874305698</v>
      </c>
      <c r="AG24" s="56">
        <v>2170.580335013648</v>
      </c>
      <c r="AH24" s="56">
        <v>2198.131769734815</v>
      </c>
      <c r="AI24" s="56">
        <v>2207.5345801148214</v>
      </c>
      <c r="AJ24" s="56">
        <v>2211.2140379816465</v>
      </c>
      <c r="AK24" s="56">
        <v>2190.7802522078355</v>
      </c>
      <c r="AL24" s="56">
        <v>2175.423136858401</v>
      </c>
      <c r="AM24" s="57">
        <v>2167.2902340939727</v>
      </c>
    </row>
    <row r="25" spans="1:62" x14ac:dyDescent="0.35">
      <c r="A25" s="3" t="s">
        <v>260</v>
      </c>
      <c r="B25" s="3" t="s">
        <v>259</v>
      </c>
      <c r="C25" s="58">
        <v>888.76109906832028</v>
      </c>
      <c r="D25" s="59">
        <v>880.47771379895369</v>
      </c>
      <c r="E25" s="59">
        <v>891.92143488426836</v>
      </c>
      <c r="F25" s="59">
        <v>901.91769343031888</v>
      </c>
      <c r="G25" s="59">
        <v>909.37972441532884</v>
      </c>
      <c r="H25" s="59">
        <v>922.99974010270387</v>
      </c>
      <c r="I25" s="59">
        <v>945.52697741940847</v>
      </c>
      <c r="J25" s="59">
        <v>951.27323788398485</v>
      </c>
      <c r="K25" s="59">
        <v>968.30853326342094</v>
      </c>
      <c r="L25" s="59">
        <v>985.17412223535894</v>
      </c>
      <c r="M25" s="59">
        <v>1002.8042081531831</v>
      </c>
      <c r="N25" s="59">
        <v>1020.8176570501382</v>
      </c>
      <c r="O25" s="60">
        <v>1036.2276043040329</v>
      </c>
      <c r="P25" s="59">
        <v>1062.0432559462802</v>
      </c>
      <c r="Q25" s="59">
        <v>1078.1363520829609</v>
      </c>
      <c r="R25" s="59">
        <v>1094.8165747659114</v>
      </c>
      <c r="S25" s="59">
        <v>1054.5505823077783</v>
      </c>
      <c r="T25" s="59">
        <v>1069.8530429466332</v>
      </c>
      <c r="U25" s="59">
        <v>1089.6856404724867</v>
      </c>
      <c r="V25" s="59">
        <v>1118.9438603134838</v>
      </c>
      <c r="W25" s="59">
        <v>1137.316307015351</v>
      </c>
      <c r="X25" s="59">
        <v>1162.0532850488373</v>
      </c>
      <c r="Y25" s="59">
        <v>1183.3123796778941</v>
      </c>
      <c r="Z25" s="59">
        <v>1207.3100426400317</v>
      </c>
      <c r="AA25" s="60">
        <v>1225.9774503288313</v>
      </c>
      <c r="AB25" s="59">
        <v>1203.0517806182193</v>
      </c>
      <c r="AC25" s="59">
        <v>1235.1260836773968</v>
      </c>
      <c r="AD25" s="59">
        <v>1265.2242664095384</v>
      </c>
      <c r="AE25" s="59">
        <v>1273.8638037330079</v>
      </c>
      <c r="AF25" s="59">
        <v>1285.7472812031824</v>
      </c>
      <c r="AG25" s="59">
        <v>1309.6053534438215</v>
      </c>
      <c r="AH25" s="59">
        <v>1325.9016942780061</v>
      </c>
      <c r="AI25" s="59">
        <v>1350.3020774999666</v>
      </c>
      <c r="AJ25" s="59">
        <v>1372.8228196959039</v>
      </c>
      <c r="AK25" s="59">
        <v>1391.122596179835</v>
      </c>
      <c r="AL25" s="59">
        <v>1406.5127653242082</v>
      </c>
      <c r="AM25" s="60">
        <v>1410.7053821570087</v>
      </c>
    </row>
    <row r="27" spans="1:62" x14ac:dyDescent="0.35">
      <c r="A27" s="25" t="s">
        <v>261</v>
      </c>
      <c r="B27" s="4" t="s">
        <v>3</v>
      </c>
      <c r="C27" s="19">
        <f>C8</f>
        <v>45352</v>
      </c>
      <c r="D27" s="20">
        <f>EDATE(C27,1)</f>
        <v>45383</v>
      </c>
      <c r="E27" s="20">
        <f>EDATE(D27,1)</f>
        <v>45413</v>
      </c>
      <c r="F27" s="20">
        <f>EDATE(E27,1)</f>
        <v>45444</v>
      </c>
      <c r="G27" s="20">
        <f t="shared" ref="G27" si="264">EDATE(F27,1)</f>
        <v>45474</v>
      </c>
      <c r="H27" s="20">
        <f t="shared" ref="H27" si="265">EDATE(G27,1)</f>
        <v>45505</v>
      </c>
      <c r="I27" s="20">
        <f t="shared" ref="I27" si="266">EDATE(H27,1)</f>
        <v>45536</v>
      </c>
      <c r="J27" s="20">
        <f t="shared" ref="J27" si="267">EDATE(I27,1)</f>
        <v>45566</v>
      </c>
      <c r="K27" s="20">
        <f t="shared" ref="K27" si="268">EDATE(J27,1)</f>
        <v>45597</v>
      </c>
      <c r="L27" s="20">
        <f t="shared" ref="L27" si="269">EDATE(K27,1)</f>
        <v>45627</v>
      </c>
      <c r="M27" s="20">
        <f t="shared" ref="M27" si="270">EDATE(L27,1)</f>
        <v>45658</v>
      </c>
      <c r="N27" s="20">
        <f t="shared" ref="N27" si="271">EDATE(M27,1)</f>
        <v>45689</v>
      </c>
      <c r="O27" s="21">
        <f t="shared" ref="O27" si="272">EDATE(N27,1)</f>
        <v>45717</v>
      </c>
      <c r="P27" s="20">
        <f t="shared" ref="P27" si="273">EDATE(O27,1)</f>
        <v>45748</v>
      </c>
      <c r="Q27" s="20">
        <f t="shared" ref="Q27" si="274">EDATE(P27,1)</f>
        <v>45778</v>
      </c>
      <c r="R27" s="20">
        <f t="shared" ref="R27" si="275">EDATE(Q27,1)</f>
        <v>45809</v>
      </c>
      <c r="S27" s="20">
        <f t="shared" ref="S27" si="276">EDATE(R27,1)</f>
        <v>45839</v>
      </c>
      <c r="T27" s="20">
        <f t="shared" ref="T27" si="277">EDATE(S27,1)</f>
        <v>45870</v>
      </c>
      <c r="U27" s="20">
        <f t="shared" ref="U27" si="278">EDATE(T27,1)</f>
        <v>45901</v>
      </c>
      <c r="V27" s="20">
        <f t="shared" ref="V27" si="279">EDATE(U27,1)</f>
        <v>45931</v>
      </c>
      <c r="W27" s="20">
        <f t="shared" ref="W27" si="280">EDATE(V27,1)</f>
        <v>45962</v>
      </c>
      <c r="X27" s="20">
        <f t="shared" ref="X27" si="281">EDATE(W27,1)</f>
        <v>45992</v>
      </c>
      <c r="Y27" s="20">
        <f t="shared" ref="Y27" si="282">EDATE(X27,1)</f>
        <v>46023</v>
      </c>
      <c r="Z27" s="20">
        <f t="shared" ref="Z27" si="283">EDATE(Y27,1)</f>
        <v>46054</v>
      </c>
      <c r="AA27" s="21">
        <f t="shared" ref="AA27" si="284">EDATE(Z27,1)</f>
        <v>46082</v>
      </c>
      <c r="AB27" s="20">
        <f t="shared" ref="AB27" si="285">EDATE(AA27,1)</f>
        <v>46113</v>
      </c>
      <c r="AC27" s="20">
        <f t="shared" ref="AC27" si="286">EDATE(AB27,1)</f>
        <v>46143</v>
      </c>
      <c r="AD27" s="20">
        <f t="shared" ref="AD27" si="287">EDATE(AC27,1)</f>
        <v>46174</v>
      </c>
      <c r="AE27" s="20">
        <f t="shared" ref="AE27" si="288">EDATE(AD27,1)</f>
        <v>46204</v>
      </c>
      <c r="AF27" s="20">
        <f t="shared" ref="AF27" si="289">EDATE(AE27,1)</f>
        <v>46235</v>
      </c>
      <c r="AG27" s="20">
        <f t="shared" ref="AG27" si="290">EDATE(AF27,1)</f>
        <v>46266</v>
      </c>
      <c r="AH27" s="20">
        <f t="shared" ref="AH27" si="291">EDATE(AG27,1)</f>
        <v>46296</v>
      </c>
      <c r="AI27" s="20">
        <f t="shared" ref="AI27" si="292">EDATE(AH27,1)</f>
        <v>46327</v>
      </c>
      <c r="AJ27" s="20">
        <f t="shared" ref="AJ27" si="293">EDATE(AI27,1)</f>
        <v>46357</v>
      </c>
      <c r="AK27" s="20">
        <f t="shared" ref="AK27" si="294">EDATE(AJ27,1)</f>
        <v>46388</v>
      </c>
      <c r="AL27" s="20">
        <f t="shared" ref="AL27" si="295">EDATE(AK27,1)</f>
        <v>46419</v>
      </c>
      <c r="AM27" s="21">
        <f t="shared" ref="AM27" si="296">EDATE(AL27,1)</f>
        <v>46447</v>
      </c>
    </row>
    <row r="28" spans="1:62" x14ac:dyDescent="0.35">
      <c r="A28" s="15" t="s">
        <v>261</v>
      </c>
      <c r="B28" s="15" t="s">
        <v>158</v>
      </c>
      <c r="C28" s="16">
        <f>SUM(C29:C31)</f>
        <v>19204.151739359146</v>
      </c>
      <c r="D28" s="17">
        <f t="shared" ref="D28:AM28" si="297">SUM(D29:D31)</f>
        <v>19852.382525258636</v>
      </c>
      <c r="E28" s="17">
        <f t="shared" si="297"/>
        <v>20619.083853420918</v>
      </c>
      <c r="F28" s="17">
        <f t="shared" si="297"/>
        <v>19514.623175547731</v>
      </c>
      <c r="G28" s="17">
        <f t="shared" si="297"/>
        <v>20461.874564878537</v>
      </c>
      <c r="H28" s="17">
        <f t="shared" si="297"/>
        <v>21525.575329686973</v>
      </c>
      <c r="I28" s="17">
        <f t="shared" si="297"/>
        <v>20739.460220896093</v>
      </c>
      <c r="J28" s="17">
        <f t="shared" si="297"/>
        <v>21885.919031153495</v>
      </c>
      <c r="K28" s="17">
        <f t="shared" si="297"/>
        <v>23209.773268979588</v>
      </c>
      <c r="L28" s="17">
        <f t="shared" si="297"/>
        <v>21707.215355682954</v>
      </c>
      <c r="M28" s="17">
        <f t="shared" si="297"/>
        <v>23211.35519479627</v>
      </c>
      <c r="N28" s="17">
        <f t="shared" si="297"/>
        <v>21812.747575996029</v>
      </c>
      <c r="O28" s="18">
        <f t="shared" si="297"/>
        <v>23500.450646729885</v>
      </c>
      <c r="P28" s="17">
        <f t="shared" si="297"/>
        <v>24315.756412761082</v>
      </c>
      <c r="Q28" s="17">
        <f t="shared" si="297"/>
        <v>25271.391036590077</v>
      </c>
      <c r="R28" s="17">
        <f t="shared" si="297"/>
        <v>23863.708298063855</v>
      </c>
      <c r="S28" s="17">
        <f t="shared" si="297"/>
        <v>25062.899061104774</v>
      </c>
      <c r="T28" s="17">
        <f t="shared" si="297"/>
        <v>26387.313380458108</v>
      </c>
      <c r="U28" s="17">
        <f t="shared" si="297"/>
        <v>25396.755451963749</v>
      </c>
      <c r="V28" s="17">
        <f t="shared" si="297"/>
        <v>26841.456994980294</v>
      </c>
      <c r="W28" s="17">
        <f t="shared" si="297"/>
        <v>28514.175528588748</v>
      </c>
      <c r="X28" s="17">
        <f t="shared" si="297"/>
        <v>27404.885552551634</v>
      </c>
      <c r="Y28" s="17">
        <f t="shared" si="297"/>
        <v>29315.981659931447</v>
      </c>
      <c r="Z28" s="17">
        <f t="shared" si="297"/>
        <v>28265.072790779908</v>
      </c>
      <c r="AA28" s="18">
        <f t="shared" si="297"/>
        <v>30322.580152624301</v>
      </c>
      <c r="AB28" s="17">
        <f t="shared" si="297"/>
        <v>31235.808587323801</v>
      </c>
      <c r="AC28" s="17">
        <f t="shared" si="297"/>
        <v>32312.83896977792</v>
      </c>
      <c r="AD28" s="17">
        <f t="shared" si="297"/>
        <v>30556.771655443572</v>
      </c>
      <c r="AE28" s="17">
        <f t="shared" si="297"/>
        <v>31906.784346289282</v>
      </c>
      <c r="AF28" s="17">
        <f t="shared" si="297"/>
        <v>33410.3879316288</v>
      </c>
      <c r="AG28" s="17">
        <f t="shared" si="297"/>
        <v>32124.717911760865</v>
      </c>
      <c r="AH28" s="17">
        <f t="shared" si="297"/>
        <v>33761.615423892094</v>
      </c>
      <c r="AI28" s="17">
        <f t="shared" si="297"/>
        <v>35635.370190117668</v>
      </c>
      <c r="AJ28" s="17">
        <f t="shared" si="297"/>
        <v>34756.224437262972</v>
      </c>
      <c r="AK28" s="17">
        <f t="shared" si="297"/>
        <v>36918.598828743663</v>
      </c>
      <c r="AL28" s="17">
        <f t="shared" si="297"/>
        <v>36109.231457043752</v>
      </c>
      <c r="AM28" s="18">
        <f t="shared" si="297"/>
        <v>38420.322271242687</v>
      </c>
    </row>
    <row r="29" spans="1:62" x14ac:dyDescent="0.35">
      <c r="A29" s="1" t="s">
        <v>261</v>
      </c>
      <c r="B29" s="1" t="s">
        <v>257</v>
      </c>
      <c r="C29" s="52">
        <v>17745.965624562046</v>
      </c>
      <c r="D29" s="53">
        <v>18383.286205826902</v>
      </c>
      <c r="E29" s="53">
        <v>19142.006256820026</v>
      </c>
      <c r="F29" s="53">
        <v>18028.023900269585</v>
      </c>
      <c r="G29" s="53">
        <v>18980.574968018405</v>
      </c>
      <c r="H29" s="53">
        <v>20050.669382169639</v>
      </c>
      <c r="I29" s="53">
        <v>19267.701820808681</v>
      </c>
      <c r="J29" s="53">
        <v>20432.441183128267</v>
      </c>
      <c r="K29" s="53">
        <v>21770.749964964514</v>
      </c>
      <c r="L29" s="53">
        <v>20313.407993209934</v>
      </c>
      <c r="M29" s="53">
        <v>21871.208714990338</v>
      </c>
      <c r="N29" s="53">
        <v>20491.702423160947</v>
      </c>
      <c r="O29" s="54">
        <v>22196.172098238421</v>
      </c>
      <c r="P29" s="53">
        <v>23003.261739155616</v>
      </c>
      <c r="Q29" s="53">
        <v>23951.067491574733</v>
      </c>
      <c r="R29" s="53">
        <v>22546.180816567889</v>
      </c>
      <c r="S29" s="53">
        <v>23740.592356763846</v>
      </c>
      <c r="T29" s="53">
        <v>25068.334180563466</v>
      </c>
      <c r="U29" s="53">
        <v>24085.736681547744</v>
      </c>
      <c r="V29" s="53">
        <v>25526.257342552442</v>
      </c>
      <c r="W29" s="53">
        <v>27200.789687194629</v>
      </c>
      <c r="X29" s="53">
        <v>26098.668145786934</v>
      </c>
      <c r="Y29" s="53">
        <v>28022.240658638249</v>
      </c>
      <c r="Z29" s="53">
        <v>26982.754535420278</v>
      </c>
      <c r="AA29" s="54">
        <v>29044.895111926548</v>
      </c>
      <c r="AB29" s="53">
        <v>29935.351959372249</v>
      </c>
      <c r="AC29" s="53">
        <v>30984.882246114557</v>
      </c>
      <c r="AD29" s="53">
        <v>29203.504506752539</v>
      </c>
      <c r="AE29" s="53">
        <v>30536.334968062918</v>
      </c>
      <c r="AF29" s="53">
        <v>32021.570508436238</v>
      </c>
      <c r="AG29" s="53">
        <v>30717.774918082065</v>
      </c>
      <c r="AH29" s="53">
        <v>32346.397173045611</v>
      </c>
      <c r="AI29" s="53">
        <v>34219.293224118912</v>
      </c>
      <c r="AJ29" s="53">
        <v>33338.751117387626</v>
      </c>
      <c r="AK29" s="53">
        <v>35508.252127254229</v>
      </c>
      <c r="AL29" s="53">
        <v>34705.711944773822</v>
      </c>
      <c r="AM29" s="54">
        <v>37020.176385593768</v>
      </c>
    </row>
    <row r="30" spans="1:62" x14ac:dyDescent="0.35">
      <c r="A30" s="2" t="s">
        <v>261</v>
      </c>
      <c r="B30" s="2" t="s">
        <v>258</v>
      </c>
      <c r="C30" s="55">
        <v>827.77286744907713</v>
      </c>
      <c r="D30" s="56">
        <v>838.78034767633255</v>
      </c>
      <c r="E30" s="56">
        <v>839.89021111358079</v>
      </c>
      <c r="F30" s="56">
        <v>841.52497612588218</v>
      </c>
      <c r="G30" s="56">
        <v>834.38475981530792</v>
      </c>
      <c r="H30" s="56">
        <v>826.44661669191032</v>
      </c>
      <c r="I30" s="56">
        <v>824.8528635076816</v>
      </c>
      <c r="J30" s="56">
        <v>807.1630823181863</v>
      </c>
      <c r="K30" s="56">
        <v>793.86611512105276</v>
      </c>
      <c r="L30" s="56">
        <v>782.48454847468338</v>
      </c>
      <c r="M30" s="56">
        <v>763.27976934798005</v>
      </c>
      <c r="N30" s="56">
        <v>749.11041748857554</v>
      </c>
      <c r="O30" s="57">
        <v>738.14491940080597</v>
      </c>
      <c r="P30" s="56">
        <v>748.76083045340101</v>
      </c>
      <c r="Q30" s="56">
        <v>762.31593353703875</v>
      </c>
      <c r="R30" s="56">
        <v>778.46765374395909</v>
      </c>
      <c r="S30" s="56">
        <v>786.2848044292557</v>
      </c>
      <c r="T30" s="56">
        <v>791.39247080131736</v>
      </c>
      <c r="U30" s="56">
        <v>796.40164291304632</v>
      </c>
      <c r="V30" s="56">
        <v>796.58803736122536</v>
      </c>
      <c r="W30" s="56">
        <v>792.36288969558632</v>
      </c>
      <c r="X30" s="56">
        <v>787.80024648061453</v>
      </c>
      <c r="Y30" s="56">
        <v>777.08295231250827</v>
      </c>
      <c r="Z30" s="56">
        <v>767.98578446159104</v>
      </c>
      <c r="AA30" s="57">
        <v>762.65861971934714</v>
      </c>
      <c r="AB30" s="56">
        <v>783.63809827877844</v>
      </c>
      <c r="AC30" s="56">
        <v>809.44625765852197</v>
      </c>
      <c r="AD30" s="56">
        <v>837.98339205517493</v>
      </c>
      <c r="AE30" s="56">
        <v>855.67766394541945</v>
      </c>
      <c r="AF30" s="56">
        <v>869.01042947886833</v>
      </c>
      <c r="AG30" s="56">
        <v>881.18394627763519</v>
      </c>
      <c r="AH30" s="56">
        <v>886.84769158709423</v>
      </c>
      <c r="AI30" s="56">
        <v>885.934201406228</v>
      </c>
      <c r="AJ30" s="56">
        <v>883.65317564299176</v>
      </c>
      <c r="AK30" s="56">
        <v>873.50216050095537</v>
      </c>
      <c r="AL30" s="56">
        <v>865.45724369392769</v>
      </c>
      <c r="AM30" s="57">
        <v>861.78519487866083</v>
      </c>
    </row>
    <row r="31" spans="1:62" x14ac:dyDescent="0.35">
      <c r="A31" s="3" t="s">
        <v>261</v>
      </c>
      <c r="B31" s="3" t="s">
        <v>259</v>
      </c>
      <c r="C31" s="58">
        <v>630.41324734802379</v>
      </c>
      <c r="D31" s="59">
        <v>630.31597175540026</v>
      </c>
      <c r="E31" s="59">
        <v>637.18738548731199</v>
      </c>
      <c r="F31" s="59">
        <v>645.07429915226226</v>
      </c>
      <c r="G31" s="59">
        <v>646.91483704482528</v>
      </c>
      <c r="H31" s="59">
        <v>648.45933082542115</v>
      </c>
      <c r="I31" s="59">
        <v>646.90553657973169</v>
      </c>
      <c r="J31" s="59">
        <v>646.31476570704058</v>
      </c>
      <c r="K31" s="59">
        <v>645.15718889401876</v>
      </c>
      <c r="L31" s="59">
        <v>611.32281399833744</v>
      </c>
      <c r="M31" s="59">
        <v>576.86671045795083</v>
      </c>
      <c r="N31" s="59">
        <v>571.93473534650457</v>
      </c>
      <c r="O31" s="60">
        <v>566.13362909065677</v>
      </c>
      <c r="P31" s="59">
        <v>563.73384315206579</v>
      </c>
      <c r="Q31" s="59">
        <v>558.00761147830519</v>
      </c>
      <c r="R31" s="59">
        <v>539.05982775200664</v>
      </c>
      <c r="S31" s="59">
        <v>536.02189991167199</v>
      </c>
      <c r="T31" s="59">
        <v>527.58672909332495</v>
      </c>
      <c r="U31" s="59">
        <v>514.61712750295783</v>
      </c>
      <c r="V31" s="59">
        <v>518.61161506662279</v>
      </c>
      <c r="W31" s="59">
        <v>521.02295169853369</v>
      </c>
      <c r="X31" s="59">
        <v>518.41716028408393</v>
      </c>
      <c r="Y31" s="59">
        <v>516.65804898069109</v>
      </c>
      <c r="Z31" s="59">
        <v>514.33247089804149</v>
      </c>
      <c r="AA31" s="60">
        <v>515.02642097840658</v>
      </c>
      <c r="AB31" s="59">
        <v>516.81852967277439</v>
      </c>
      <c r="AC31" s="59">
        <v>518.51046600484131</v>
      </c>
      <c r="AD31" s="59">
        <v>515.28375663585803</v>
      </c>
      <c r="AE31" s="59">
        <v>514.77171428094539</v>
      </c>
      <c r="AF31" s="59">
        <v>519.80699371369633</v>
      </c>
      <c r="AG31" s="59">
        <v>525.75904740116448</v>
      </c>
      <c r="AH31" s="59">
        <v>528.37055925938853</v>
      </c>
      <c r="AI31" s="59">
        <v>530.14276459252505</v>
      </c>
      <c r="AJ31" s="59">
        <v>533.82014423235591</v>
      </c>
      <c r="AK31" s="59">
        <v>536.84454098848096</v>
      </c>
      <c r="AL31" s="59">
        <v>538.062268576002</v>
      </c>
      <c r="AM31" s="60">
        <v>538.36069077025252</v>
      </c>
    </row>
  </sheetData>
  <conditionalFormatting sqref="C22:AM22">
    <cfRule type="expression" dxfId="23" priority="4">
      <formula>C$1="SL2"</formula>
    </cfRule>
    <cfRule type="expression" dxfId="22" priority="5">
      <formula>C$1="SL3"</formula>
    </cfRule>
    <cfRule type="expression" dxfId="21" priority="6">
      <formula>C$1="SL1"</formula>
    </cfRule>
  </conditionalFormatting>
  <conditionalFormatting sqref="C28:AM28">
    <cfRule type="expression" dxfId="20" priority="1">
      <formula>C$1="SL2"</formula>
    </cfRule>
    <cfRule type="expression" dxfId="19" priority="2">
      <formula>C$1="SL3"</formula>
    </cfRule>
    <cfRule type="expression" dxfId="18" priority="3">
      <formula>C$1="SL1"</formula>
    </cfRule>
  </conditionalFormatting>
  <conditionalFormatting sqref="C3:BJ3">
    <cfRule type="expression" dxfId="17" priority="13">
      <formula>C$1="SL2"</formula>
    </cfRule>
    <cfRule type="expression" dxfId="16" priority="14">
      <formula>C$1="SL3"</formula>
    </cfRule>
    <cfRule type="expression" dxfId="15" priority="16">
      <formula>C$1="SL1"</formula>
    </cfRule>
  </conditionalFormatting>
  <conditionalFormatting sqref="C9:BJ9">
    <cfRule type="expression" dxfId="14" priority="10">
      <formula>C$1="SL2"</formula>
    </cfRule>
    <cfRule type="expression" dxfId="13" priority="11">
      <formula>C$1="SL3"</formula>
    </cfRule>
    <cfRule type="expression" dxfId="12" priority="12">
      <formula>C$1="SL1"</formula>
    </cfRule>
  </conditionalFormatting>
  <conditionalFormatting sqref="C15:BJ15">
    <cfRule type="expression" dxfId="11" priority="7">
      <formula>C$1="SL2"</formula>
    </cfRule>
    <cfRule type="expression" dxfId="10" priority="8">
      <formula>C$1="SL3"</formula>
    </cfRule>
    <cfRule type="expression" dxfId="9" priority="9">
      <formula>C$1="SL1"</formula>
    </cfRule>
  </conditionalFormatting>
  <hyperlinks>
    <hyperlink ref="A1" location="Index!C5" display="Back - Index"/>
  </hyperlinks>
  <pageMargins left="0.7" right="0.7" top="0.75" bottom="0.75" header="0.3" footer="0.3"/>
  <pageSetup orientation="portrait" horizontalDpi="0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BK19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J5" sqref="J5"/>
    </sheetView>
  </sheetViews>
  <sheetFormatPr defaultRowHeight="14.5" x14ac:dyDescent="0.35"/>
  <cols>
    <col min="1" max="1" width="17" bestFit="1" customWidth="1"/>
    <col min="2" max="2" width="16.54296875" bestFit="1" customWidth="1"/>
    <col min="3" max="38" width="10.54296875" bestFit="1" customWidth="1"/>
    <col min="40" max="62" width="0" hidden="1" customWidth="1"/>
  </cols>
  <sheetData>
    <row r="1" spans="1:63" x14ac:dyDescent="0.35">
      <c r="A1" s="122" t="s">
        <v>117</v>
      </c>
      <c r="C1" s="28" t="str">
        <f>LOOKUP(C2,'Input-Stress Parameters'!$C$9:$BJ$9,'Input-Stress Parameters'!$C$11:$BJ$11)</f>
        <v>N</v>
      </c>
      <c r="D1" s="28" t="str">
        <f>LOOKUP(D2,'Input-Stress Parameters'!$C$9:$BJ$9,'Input-Stress Parameters'!$C$11:$BJ$11)</f>
        <v>SL1</v>
      </c>
      <c r="E1" s="28" t="str">
        <f>LOOKUP(E2,'Input-Stress Parameters'!$C$9:$BJ$9,'Input-Stress Parameters'!$C$11:$BJ$11)</f>
        <v>SL1</v>
      </c>
      <c r="F1" s="28" t="str">
        <f>LOOKUP(F2,'Input-Stress Parameters'!$C$9:$BJ$9,'Input-Stress Parameters'!$C$11:$BJ$11)</f>
        <v>SL1</v>
      </c>
      <c r="G1" s="28" t="str">
        <f>LOOKUP(G2,'Input-Stress Parameters'!$C$9:$BJ$9,'Input-Stress Parameters'!$C$11:$BJ$11)</f>
        <v>SL1</v>
      </c>
      <c r="H1" s="28" t="str">
        <f>LOOKUP(H2,'Input-Stress Parameters'!$C$9:$BJ$9,'Input-Stress Parameters'!$C$11:$BJ$11)</f>
        <v>SL1</v>
      </c>
      <c r="I1" s="28" t="str">
        <f>LOOKUP(I2,'Input-Stress Parameters'!$C$9:$BJ$9,'Input-Stress Parameters'!$C$11:$BJ$11)</f>
        <v>SL1</v>
      </c>
      <c r="J1" s="28" t="str">
        <f>LOOKUP(J2,'Input-Stress Parameters'!$C$9:$BJ$9,'Input-Stress Parameters'!$C$11:$BJ$11)</f>
        <v>SL2</v>
      </c>
      <c r="K1" s="28" t="str">
        <f>LOOKUP(K2,'Input-Stress Parameters'!$C$9:$BJ$9,'Input-Stress Parameters'!$C$11:$BJ$11)</f>
        <v>SL2</v>
      </c>
      <c r="L1" s="28" t="str">
        <f>LOOKUP(L2,'Input-Stress Parameters'!$C$9:$BJ$9,'Input-Stress Parameters'!$C$11:$BJ$11)</f>
        <v>SL2</v>
      </c>
      <c r="M1" s="28" t="str">
        <f>LOOKUP(M2,'Input-Stress Parameters'!$C$9:$BJ$9,'Input-Stress Parameters'!$C$11:$BJ$11)</f>
        <v>SL2</v>
      </c>
      <c r="N1" s="28" t="str">
        <f>LOOKUP(N2,'Input-Stress Parameters'!$C$9:$BJ$9,'Input-Stress Parameters'!$C$11:$BJ$11)</f>
        <v>SL2</v>
      </c>
      <c r="O1" s="28" t="str">
        <f>LOOKUP(O2,'Input-Stress Parameters'!$C$9:$BJ$9,'Input-Stress Parameters'!$C$11:$BJ$11)</f>
        <v>SL2</v>
      </c>
      <c r="P1" s="28" t="str">
        <f>LOOKUP(P2,'Input-Stress Parameters'!$C$9:$BJ$9,'Input-Stress Parameters'!$C$11:$BJ$11)</f>
        <v>SL2</v>
      </c>
      <c r="Q1" s="28" t="str">
        <f>LOOKUP(Q2,'Input-Stress Parameters'!$C$9:$BJ$9,'Input-Stress Parameters'!$C$11:$BJ$11)</f>
        <v>SL2</v>
      </c>
      <c r="R1" s="28" t="str">
        <f>LOOKUP(R2,'Input-Stress Parameters'!$C$9:$BJ$9,'Input-Stress Parameters'!$C$11:$BJ$11)</f>
        <v>SL2</v>
      </c>
      <c r="S1" s="28" t="str">
        <f>LOOKUP(S2,'Input-Stress Parameters'!$C$9:$BJ$9,'Input-Stress Parameters'!$C$11:$BJ$11)</f>
        <v>SL2</v>
      </c>
      <c r="T1" s="28" t="str">
        <f>LOOKUP(T2,'Input-Stress Parameters'!$C$9:$BJ$9,'Input-Stress Parameters'!$C$11:$BJ$11)</f>
        <v>SL2</v>
      </c>
      <c r="U1" s="28" t="str">
        <f>LOOKUP(U2,'Input-Stress Parameters'!$C$9:$BJ$9,'Input-Stress Parameters'!$C$11:$BJ$11)</f>
        <v>SL2</v>
      </c>
      <c r="V1" s="28" t="str">
        <f>LOOKUP(V2,'Input-Stress Parameters'!$C$9:$BJ$9,'Input-Stress Parameters'!$C$11:$BJ$11)</f>
        <v>SL3</v>
      </c>
      <c r="W1" s="28" t="str">
        <f>LOOKUP(W2,'Input-Stress Parameters'!$C$9:$BJ$9,'Input-Stress Parameters'!$C$11:$BJ$11)</f>
        <v>SL3</v>
      </c>
      <c r="X1" s="28" t="str">
        <f>LOOKUP(X2,'Input-Stress Parameters'!$C$9:$BJ$9,'Input-Stress Parameters'!$C$11:$BJ$11)</f>
        <v>SL3</v>
      </c>
      <c r="Y1" s="28" t="str">
        <f>LOOKUP(Y2,'Input-Stress Parameters'!$C$9:$BJ$9,'Input-Stress Parameters'!$C$11:$BJ$11)</f>
        <v>SL3</v>
      </c>
      <c r="Z1" s="28" t="str">
        <f>LOOKUP(Z2,'Input-Stress Parameters'!$C$9:$BJ$9,'Input-Stress Parameters'!$C$11:$BJ$11)</f>
        <v>SL3</v>
      </c>
      <c r="AA1" s="28" t="str">
        <f>LOOKUP(AA2,'Input-Stress Parameters'!$C$9:$BJ$9,'Input-Stress Parameters'!$C$11:$BJ$11)</f>
        <v>SL3</v>
      </c>
      <c r="AB1" s="28" t="str">
        <f>LOOKUP(AB2,'Input-Stress Parameters'!$C$9:$BJ$9,'Input-Stress Parameters'!$C$11:$BJ$11)</f>
        <v>SL3</v>
      </c>
      <c r="AC1" s="28" t="str">
        <f>LOOKUP(AC2,'Input-Stress Parameters'!$C$9:$BJ$9,'Input-Stress Parameters'!$C$11:$BJ$11)</f>
        <v>SL3</v>
      </c>
      <c r="AD1" s="28" t="str">
        <f>LOOKUP(AD2,'Input-Stress Parameters'!$C$9:$BJ$9,'Input-Stress Parameters'!$C$11:$BJ$11)</f>
        <v>SL3</v>
      </c>
      <c r="AE1" s="28" t="str">
        <f>LOOKUP(AE2,'Input-Stress Parameters'!$C$9:$BJ$9,'Input-Stress Parameters'!$C$11:$BJ$11)</f>
        <v>SL3</v>
      </c>
      <c r="AF1" s="28" t="str">
        <f>LOOKUP(AF2,'Input-Stress Parameters'!$C$9:$BJ$9,'Input-Stress Parameters'!$C$11:$BJ$11)</f>
        <v>SL3</v>
      </c>
      <c r="AG1" s="28" t="str">
        <f>LOOKUP(AG2,'Input-Stress Parameters'!$C$9:$BJ$9,'Input-Stress Parameters'!$C$11:$BJ$11)</f>
        <v>SL3</v>
      </c>
      <c r="AH1" s="28" t="str">
        <f>LOOKUP(AH2,'Input-Stress Parameters'!$C$9:$BJ$9,'Input-Stress Parameters'!$C$11:$BJ$11)</f>
        <v>N</v>
      </c>
      <c r="AI1" s="28" t="str">
        <f>LOOKUP(AI2,'Input-Stress Parameters'!$C$9:$BJ$9,'Input-Stress Parameters'!$C$11:$BJ$11)</f>
        <v>N</v>
      </c>
      <c r="AJ1" s="28" t="str">
        <f>LOOKUP(AJ2,'Input-Stress Parameters'!$C$9:$BJ$9,'Input-Stress Parameters'!$C$11:$BJ$11)</f>
        <v>N</v>
      </c>
      <c r="AK1" s="28" t="str">
        <f>LOOKUP(AK2,'Input-Stress Parameters'!$C$9:$BJ$9,'Input-Stress Parameters'!$C$11:$BJ$11)</f>
        <v>N</v>
      </c>
      <c r="AL1" s="28" t="str">
        <f>LOOKUP(AL2,'Input-Stress Parameters'!$C$9:$BJ$9,'Input-Stress Parameters'!$C$11:$BJ$11)</f>
        <v>N</v>
      </c>
      <c r="AM1" s="28" t="str">
        <f>LOOKUP(AM2,'Input-Stress Parameters'!$C$9:$BJ$9,'Input-Stress Parameters'!$C$11:$BJ$11)</f>
        <v>N</v>
      </c>
      <c r="AN1" s="28" t="str">
        <f>LOOKUP(AN2,'Input-Stress Parameters'!$C$9:$BJ$9,'Input-Stress Parameters'!$C$11:$BJ$11)</f>
        <v>N</v>
      </c>
      <c r="AO1" s="28" t="str">
        <f>LOOKUP(AO2,'Input-Stress Parameters'!$C$9:$BJ$9,'Input-Stress Parameters'!$C$11:$BJ$11)</f>
        <v>N</v>
      </c>
      <c r="AP1" s="28" t="str">
        <f>LOOKUP(AP2,'Input-Stress Parameters'!$C$9:$BJ$9,'Input-Stress Parameters'!$C$11:$BJ$11)</f>
        <v>N</v>
      </c>
      <c r="AQ1" s="28" t="str">
        <f>LOOKUP(AQ2,'Input-Stress Parameters'!$C$9:$BJ$9,'Input-Stress Parameters'!$C$11:$BJ$11)</f>
        <v>N</v>
      </c>
      <c r="AR1" s="28" t="str">
        <f>LOOKUP(AR2,'Input-Stress Parameters'!$C$9:$BJ$9,'Input-Stress Parameters'!$C$11:$BJ$11)</f>
        <v>N</v>
      </c>
      <c r="AS1" s="28" t="str">
        <f>LOOKUP(AS2,'Input-Stress Parameters'!$C$9:$BJ$9,'Input-Stress Parameters'!$C$11:$BJ$11)</f>
        <v>N</v>
      </c>
      <c r="AT1" s="28" t="str">
        <f>LOOKUP(AT2,'Input-Stress Parameters'!$C$9:$BJ$9,'Input-Stress Parameters'!$C$11:$BJ$11)</f>
        <v>N</v>
      </c>
      <c r="AU1" s="28" t="str">
        <f>LOOKUP(AU2,'Input-Stress Parameters'!$C$9:$BJ$9,'Input-Stress Parameters'!$C$11:$BJ$11)</f>
        <v>N</v>
      </c>
      <c r="AV1" s="28" t="str">
        <f>LOOKUP(AV2,'Input-Stress Parameters'!$C$9:$BJ$9,'Input-Stress Parameters'!$C$11:$BJ$11)</f>
        <v>N</v>
      </c>
      <c r="AW1" s="28" t="str">
        <f>LOOKUP(AW2,'Input-Stress Parameters'!$C$9:$BJ$9,'Input-Stress Parameters'!$C$11:$BJ$11)</f>
        <v>N</v>
      </c>
      <c r="AX1" s="28" t="str">
        <f>LOOKUP(AX2,'Input-Stress Parameters'!$C$9:$BJ$9,'Input-Stress Parameters'!$C$11:$BJ$11)</f>
        <v>N</v>
      </c>
      <c r="AY1" s="28" t="str">
        <f>LOOKUP(AY2,'Input-Stress Parameters'!$C$9:$BJ$9,'Input-Stress Parameters'!$C$11:$BJ$11)</f>
        <v>N</v>
      </c>
      <c r="AZ1" s="28" t="str">
        <f>LOOKUP(AZ2,'Input-Stress Parameters'!$C$9:$BJ$9,'Input-Stress Parameters'!$C$11:$BJ$11)</f>
        <v>N</v>
      </c>
      <c r="BA1" s="28" t="str">
        <f>LOOKUP(BA2,'Input-Stress Parameters'!$C$9:$BJ$9,'Input-Stress Parameters'!$C$11:$BJ$11)</f>
        <v>N</v>
      </c>
      <c r="BB1" s="28" t="str">
        <f>LOOKUP(BB2,'Input-Stress Parameters'!$C$9:$BJ$9,'Input-Stress Parameters'!$C$11:$BJ$11)</f>
        <v>N</v>
      </c>
      <c r="BC1" s="28" t="str">
        <f>LOOKUP(BC2,'Input-Stress Parameters'!$C$9:$BJ$9,'Input-Stress Parameters'!$C$11:$BJ$11)</f>
        <v>N</v>
      </c>
      <c r="BD1" s="28" t="str">
        <f>LOOKUP(BD2,'Input-Stress Parameters'!$C$9:$BJ$9,'Input-Stress Parameters'!$C$11:$BJ$11)</f>
        <v>N</v>
      </c>
      <c r="BE1" s="28" t="str">
        <f>LOOKUP(BE2,'Input-Stress Parameters'!$C$9:$BJ$9,'Input-Stress Parameters'!$C$11:$BJ$11)</f>
        <v>N</v>
      </c>
      <c r="BF1" s="28" t="str">
        <f>LOOKUP(BF2,'Input-Stress Parameters'!$C$9:$BJ$9,'Input-Stress Parameters'!$C$11:$BJ$11)</f>
        <v>N</v>
      </c>
      <c r="BG1" s="28" t="str">
        <f>LOOKUP(BG2,'Input-Stress Parameters'!$C$9:$BJ$9,'Input-Stress Parameters'!$C$11:$BJ$11)</f>
        <v>N</v>
      </c>
      <c r="BH1" s="28" t="str">
        <f>LOOKUP(BH2,'Input-Stress Parameters'!$C$9:$BJ$9,'Input-Stress Parameters'!$C$11:$BJ$11)</f>
        <v>N</v>
      </c>
      <c r="BI1" s="28" t="str">
        <f>LOOKUP(BI2,'Input-Stress Parameters'!$C$9:$BJ$9,'Input-Stress Parameters'!$C$11:$BJ$11)</f>
        <v>N</v>
      </c>
      <c r="BJ1" s="28" t="str">
        <f>LOOKUP(BJ2,'Input-Stress Parameters'!$C$9:$BJ$9,'Input-Stress Parameters'!$C$11:$BJ$11)</f>
        <v>N</v>
      </c>
    </row>
    <row r="2" spans="1:63" x14ac:dyDescent="0.35">
      <c r="A2" s="25" t="s">
        <v>11</v>
      </c>
      <c r="B2" s="4" t="s">
        <v>3</v>
      </c>
      <c r="C2" s="19">
        <f>'Input-Stress Parameters'!C2</f>
        <v>45352</v>
      </c>
      <c r="D2" s="20">
        <f>EDATE(C2,1)</f>
        <v>45383</v>
      </c>
      <c r="E2" s="20">
        <f>EDATE(D2,1)</f>
        <v>45413</v>
      </c>
      <c r="F2" s="20">
        <f>EDATE(E2,1)</f>
        <v>45444</v>
      </c>
      <c r="G2" s="20">
        <f t="shared" ref="G2:AL2" si="0">EDATE(F2,1)</f>
        <v>45474</v>
      </c>
      <c r="H2" s="20">
        <f t="shared" si="0"/>
        <v>45505</v>
      </c>
      <c r="I2" s="20">
        <f t="shared" si="0"/>
        <v>45536</v>
      </c>
      <c r="J2" s="20">
        <f t="shared" si="0"/>
        <v>45566</v>
      </c>
      <c r="K2" s="20">
        <f t="shared" si="0"/>
        <v>45597</v>
      </c>
      <c r="L2" s="20">
        <f t="shared" si="0"/>
        <v>45627</v>
      </c>
      <c r="M2" s="20">
        <f t="shared" si="0"/>
        <v>45658</v>
      </c>
      <c r="N2" s="20">
        <f t="shared" si="0"/>
        <v>45689</v>
      </c>
      <c r="O2" s="21">
        <f t="shared" si="0"/>
        <v>45717</v>
      </c>
      <c r="P2" s="20">
        <f t="shared" si="0"/>
        <v>45748</v>
      </c>
      <c r="Q2" s="20">
        <f t="shared" si="0"/>
        <v>45778</v>
      </c>
      <c r="R2" s="20">
        <f t="shared" si="0"/>
        <v>45809</v>
      </c>
      <c r="S2" s="20">
        <f t="shared" si="0"/>
        <v>45839</v>
      </c>
      <c r="T2" s="20">
        <f t="shared" si="0"/>
        <v>45870</v>
      </c>
      <c r="U2" s="20">
        <f t="shared" si="0"/>
        <v>45901</v>
      </c>
      <c r="V2" s="20">
        <f t="shared" si="0"/>
        <v>45931</v>
      </c>
      <c r="W2" s="20">
        <f t="shared" si="0"/>
        <v>45962</v>
      </c>
      <c r="X2" s="20">
        <f t="shared" si="0"/>
        <v>45992</v>
      </c>
      <c r="Y2" s="20">
        <f t="shared" si="0"/>
        <v>46023</v>
      </c>
      <c r="Z2" s="20">
        <f t="shared" si="0"/>
        <v>46054</v>
      </c>
      <c r="AA2" s="21">
        <f t="shared" si="0"/>
        <v>46082</v>
      </c>
      <c r="AB2" s="20">
        <f t="shared" si="0"/>
        <v>46113</v>
      </c>
      <c r="AC2" s="20">
        <f t="shared" si="0"/>
        <v>46143</v>
      </c>
      <c r="AD2" s="20">
        <f t="shared" si="0"/>
        <v>46174</v>
      </c>
      <c r="AE2" s="20">
        <f t="shared" si="0"/>
        <v>46204</v>
      </c>
      <c r="AF2" s="20">
        <f t="shared" si="0"/>
        <v>46235</v>
      </c>
      <c r="AG2" s="20">
        <f t="shared" si="0"/>
        <v>46266</v>
      </c>
      <c r="AH2" s="20">
        <f t="shared" si="0"/>
        <v>46296</v>
      </c>
      <c r="AI2" s="20">
        <f t="shared" si="0"/>
        <v>46327</v>
      </c>
      <c r="AJ2" s="20">
        <f t="shared" si="0"/>
        <v>46357</v>
      </c>
      <c r="AK2" s="20">
        <f t="shared" si="0"/>
        <v>46388</v>
      </c>
      <c r="AL2" s="20">
        <f t="shared" si="0"/>
        <v>46419</v>
      </c>
      <c r="AM2" s="21">
        <f t="shared" ref="AM2" si="1">EDATE(AL2,1)</f>
        <v>46447</v>
      </c>
      <c r="AN2" s="20">
        <f t="shared" ref="AN2" si="2">EDATE(AM2,1)</f>
        <v>46478</v>
      </c>
      <c r="AO2" s="20">
        <f t="shared" ref="AO2" si="3">EDATE(AN2,1)</f>
        <v>46508</v>
      </c>
      <c r="AP2" s="20">
        <f t="shared" ref="AP2" si="4">EDATE(AO2,1)</f>
        <v>46539</v>
      </c>
      <c r="AQ2" s="20">
        <f t="shared" ref="AQ2" si="5">EDATE(AP2,1)</f>
        <v>46569</v>
      </c>
      <c r="AR2" s="20">
        <f t="shared" ref="AR2" si="6">EDATE(AQ2,1)</f>
        <v>46600</v>
      </c>
      <c r="AS2" s="20">
        <f t="shared" ref="AS2" si="7">EDATE(AR2,1)</f>
        <v>46631</v>
      </c>
      <c r="AT2" s="20">
        <f t="shared" ref="AT2" si="8">EDATE(AS2,1)</f>
        <v>46661</v>
      </c>
      <c r="AU2" s="20">
        <f t="shared" ref="AU2" si="9">EDATE(AT2,1)</f>
        <v>46692</v>
      </c>
      <c r="AV2" s="20">
        <f t="shared" ref="AV2" si="10">EDATE(AU2,1)</f>
        <v>46722</v>
      </c>
      <c r="AW2" s="20">
        <f t="shared" ref="AW2" si="11">EDATE(AV2,1)</f>
        <v>46753</v>
      </c>
      <c r="AX2" s="21">
        <f t="shared" ref="AX2" si="12">EDATE(AW2,1)</f>
        <v>46784</v>
      </c>
      <c r="AY2" s="20">
        <f t="shared" ref="AY2" si="13">EDATE(AX2,1)</f>
        <v>46813</v>
      </c>
      <c r="AZ2" s="20">
        <f t="shared" ref="AZ2" si="14">EDATE(AY2,1)</f>
        <v>46844</v>
      </c>
      <c r="BA2" s="20">
        <f t="shared" ref="BA2" si="15">EDATE(AZ2,1)</f>
        <v>46874</v>
      </c>
      <c r="BB2" s="20">
        <f t="shared" ref="BB2" si="16">EDATE(BA2,1)</f>
        <v>46905</v>
      </c>
      <c r="BC2" s="20">
        <f t="shared" ref="BC2" si="17">EDATE(BB2,1)</f>
        <v>46935</v>
      </c>
      <c r="BD2" s="20">
        <f t="shared" ref="BD2" si="18">EDATE(BC2,1)</f>
        <v>46966</v>
      </c>
      <c r="BE2" s="20">
        <f t="shared" ref="BE2" si="19">EDATE(BD2,1)</f>
        <v>46997</v>
      </c>
      <c r="BF2" s="20">
        <f t="shared" ref="BF2" si="20">EDATE(BE2,1)</f>
        <v>47027</v>
      </c>
      <c r="BG2" s="20">
        <f t="shared" ref="BG2" si="21">EDATE(BF2,1)</f>
        <v>47058</v>
      </c>
      <c r="BH2" s="20">
        <f t="shared" ref="BH2" si="22">EDATE(BG2,1)</f>
        <v>47088</v>
      </c>
      <c r="BI2" s="20">
        <f t="shared" ref="BI2" si="23">EDATE(BH2,1)</f>
        <v>47119</v>
      </c>
      <c r="BJ2" s="21">
        <f t="shared" ref="BJ2" si="24">EDATE(BI2,1)</f>
        <v>47150</v>
      </c>
    </row>
    <row r="3" spans="1:63" x14ac:dyDescent="0.35">
      <c r="A3" s="15" t="str">
        <f>$A$2</f>
        <v>GWO - Plan</v>
      </c>
      <c r="B3" s="15" t="s">
        <v>188</v>
      </c>
      <c r="C3" s="16">
        <f>SUM(C4:C6)</f>
        <v>66.31761060686307</v>
      </c>
      <c r="D3" s="17">
        <f t="shared" ref="D3:BJ3" si="25">SUM(D4:D6)</f>
        <v>58.280029137327794</v>
      </c>
      <c r="E3" s="17">
        <f t="shared" si="25"/>
        <v>33.734083249568087</v>
      </c>
      <c r="F3" s="17">
        <f t="shared" si="25"/>
        <v>39.460786038252451</v>
      </c>
      <c r="G3" s="17">
        <f t="shared" si="25"/>
        <v>37.144067233132176</v>
      </c>
      <c r="H3" s="17">
        <f t="shared" si="25"/>
        <v>38.522038424804563</v>
      </c>
      <c r="I3" s="17">
        <f t="shared" si="25"/>
        <v>31.964472462626265</v>
      </c>
      <c r="J3" s="17">
        <f t="shared" si="25"/>
        <v>50.814669025122775</v>
      </c>
      <c r="K3" s="17">
        <f t="shared" si="25"/>
        <v>34.107947369610159</v>
      </c>
      <c r="L3" s="17">
        <f t="shared" si="25"/>
        <v>65.692465195749989</v>
      </c>
      <c r="M3" s="17">
        <f t="shared" si="25"/>
        <v>78.279721294805455</v>
      </c>
      <c r="N3" s="17">
        <f t="shared" si="25"/>
        <v>38.69233953460067</v>
      </c>
      <c r="O3" s="18">
        <f t="shared" si="25"/>
        <v>41.657109769743592</v>
      </c>
      <c r="P3" s="17">
        <f t="shared" si="25"/>
        <v>43.817628987370227</v>
      </c>
      <c r="Q3" s="17">
        <f t="shared" si="25"/>
        <v>54.780687249369365</v>
      </c>
      <c r="R3" s="17">
        <f t="shared" si="25"/>
        <v>73.848612168320741</v>
      </c>
      <c r="S3" s="17">
        <f t="shared" si="25"/>
        <v>106.9743682490689</v>
      </c>
      <c r="T3" s="17">
        <f t="shared" si="25"/>
        <v>54.197162486581746</v>
      </c>
      <c r="U3" s="17">
        <f t="shared" si="25"/>
        <v>58.557080439461998</v>
      </c>
      <c r="V3" s="17">
        <f t="shared" si="25"/>
        <v>30.563164235181773</v>
      </c>
      <c r="W3" s="17">
        <f t="shared" si="25"/>
        <v>43.902066104307593</v>
      </c>
      <c r="X3" s="17">
        <f t="shared" si="25"/>
        <v>45.60494633296392</v>
      </c>
      <c r="Y3" s="17">
        <f t="shared" si="25"/>
        <v>47.126590991117979</v>
      </c>
      <c r="Z3" s="17">
        <f t="shared" si="25"/>
        <v>43.212592885909402</v>
      </c>
      <c r="AA3" s="18">
        <f t="shared" si="25"/>
        <v>43.171567632055542</v>
      </c>
      <c r="AB3" s="17">
        <f t="shared" si="25"/>
        <v>98.49158095923481</v>
      </c>
      <c r="AC3" s="17">
        <f t="shared" si="25"/>
        <v>54.547408487498529</v>
      </c>
      <c r="AD3" s="17">
        <f t="shared" si="25"/>
        <v>65.104629629035003</v>
      </c>
      <c r="AE3" s="17">
        <f t="shared" si="25"/>
        <v>74.507246543145413</v>
      </c>
      <c r="AF3" s="17">
        <f t="shared" si="25"/>
        <v>67.811049272366205</v>
      </c>
      <c r="AG3" s="17">
        <f t="shared" si="25"/>
        <v>59.190192066565075</v>
      </c>
      <c r="AH3" s="17">
        <f t="shared" si="25"/>
        <v>61.874647171629491</v>
      </c>
      <c r="AI3" s="17">
        <f t="shared" si="25"/>
        <v>57.902019112013619</v>
      </c>
      <c r="AJ3" s="17">
        <f t="shared" si="25"/>
        <v>58.080342788217635</v>
      </c>
      <c r="AK3" s="17">
        <f t="shared" si="25"/>
        <v>61.481196631717793</v>
      </c>
      <c r="AL3" s="17">
        <f t="shared" si="25"/>
        <v>63.688654311977473</v>
      </c>
      <c r="AM3" s="18">
        <f t="shared" si="25"/>
        <v>67.615793691936517</v>
      </c>
      <c r="AN3" s="17">
        <f t="shared" si="25"/>
        <v>0</v>
      </c>
      <c r="AO3" s="17">
        <f t="shared" si="25"/>
        <v>0</v>
      </c>
      <c r="AP3" s="17">
        <f t="shared" si="25"/>
        <v>0</v>
      </c>
      <c r="AQ3" s="17">
        <f t="shared" si="25"/>
        <v>0</v>
      </c>
      <c r="AR3" s="17">
        <f t="shared" si="25"/>
        <v>0</v>
      </c>
      <c r="AS3" s="17">
        <f t="shared" si="25"/>
        <v>0</v>
      </c>
      <c r="AT3" s="17">
        <f t="shared" si="25"/>
        <v>0</v>
      </c>
      <c r="AU3" s="17">
        <f t="shared" si="25"/>
        <v>0</v>
      </c>
      <c r="AV3" s="17">
        <f t="shared" si="25"/>
        <v>0</v>
      </c>
      <c r="AW3" s="17">
        <f t="shared" si="25"/>
        <v>0</v>
      </c>
      <c r="AX3" s="18">
        <f t="shared" si="25"/>
        <v>0</v>
      </c>
      <c r="AY3" s="17">
        <f t="shared" si="25"/>
        <v>0</v>
      </c>
      <c r="AZ3" s="17">
        <f t="shared" si="25"/>
        <v>0</v>
      </c>
      <c r="BA3" s="17">
        <f t="shared" si="25"/>
        <v>0</v>
      </c>
      <c r="BB3" s="17">
        <f t="shared" si="25"/>
        <v>0</v>
      </c>
      <c r="BC3" s="17">
        <f t="shared" si="25"/>
        <v>0</v>
      </c>
      <c r="BD3" s="17">
        <f t="shared" si="25"/>
        <v>0</v>
      </c>
      <c r="BE3" s="17">
        <f t="shared" si="25"/>
        <v>0</v>
      </c>
      <c r="BF3" s="17">
        <f t="shared" si="25"/>
        <v>0</v>
      </c>
      <c r="BG3" s="17">
        <f t="shared" si="25"/>
        <v>0</v>
      </c>
      <c r="BH3" s="17">
        <f t="shared" si="25"/>
        <v>0</v>
      </c>
      <c r="BI3" s="17">
        <f t="shared" si="25"/>
        <v>0</v>
      </c>
      <c r="BJ3" s="18">
        <f t="shared" si="25"/>
        <v>0</v>
      </c>
    </row>
    <row r="4" spans="1:63" x14ac:dyDescent="0.35">
      <c r="A4" s="1" t="str">
        <f t="shared" ref="A4:A6" si="26">$A$2</f>
        <v>GWO - Plan</v>
      </c>
      <c r="B4" s="1" t="s">
        <v>157</v>
      </c>
      <c r="C4" s="52">
        <v>27.583751918216553</v>
      </c>
      <c r="D4" s="53">
        <v>41.364333390057979</v>
      </c>
      <c r="E4" s="53">
        <v>16.612729509651523</v>
      </c>
      <c r="F4" s="53">
        <v>22.733167972583935</v>
      </c>
      <c r="G4" s="53">
        <v>17.815778169340653</v>
      </c>
      <c r="H4" s="53">
        <v>21.977914717867009</v>
      </c>
      <c r="I4" s="53">
        <v>15.819071103875526</v>
      </c>
      <c r="J4" s="53">
        <v>29.97582872372082</v>
      </c>
      <c r="K4" s="53">
        <v>19.206647080296822</v>
      </c>
      <c r="L4" s="53">
        <v>18.353950714252619</v>
      </c>
      <c r="M4" s="53">
        <v>20.849443828113877</v>
      </c>
      <c r="N4" s="53">
        <v>20.229415405083707</v>
      </c>
      <c r="O4" s="54">
        <v>22.305642396437925</v>
      </c>
      <c r="P4" s="53">
        <v>23.255779605927561</v>
      </c>
      <c r="Q4" s="53">
        <v>31.32335631188316</v>
      </c>
      <c r="R4" s="53">
        <v>35.38731171665998</v>
      </c>
      <c r="S4" s="53">
        <v>87.331001862597603</v>
      </c>
      <c r="T4" s="53">
        <v>27.756556032405314</v>
      </c>
      <c r="U4" s="53">
        <v>27.158682398296783</v>
      </c>
      <c r="V4" s="53">
        <v>19.353831306172637</v>
      </c>
      <c r="W4" s="53">
        <v>31.04803240349802</v>
      </c>
      <c r="X4" s="53">
        <v>26.81504543027231</v>
      </c>
      <c r="Y4" s="53">
        <v>29.364476760381063</v>
      </c>
      <c r="Z4" s="53">
        <v>25.508181099213996</v>
      </c>
      <c r="AA4" s="54">
        <v>28.959587290569331</v>
      </c>
      <c r="AB4" s="53">
        <v>78.688464792818195</v>
      </c>
      <c r="AC4" s="53">
        <v>34.264814114448939</v>
      </c>
      <c r="AD4" s="53">
        <v>38.356580476874754</v>
      </c>
      <c r="AE4" s="53">
        <v>52.461736602409182</v>
      </c>
      <c r="AF4" s="53">
        <v>50.158910297968944</v>
      </c>
      <c r="AG4" s="53">
        <v>41.639087735956622</v>
      </c>
      <c r="AH4" s="53">
        <v>43.258965642747384</v>
      </c>
      <c r="AI4" s="53">
        <v>37.640120917786959</v>
      </c>
      <c r="AJ4" s="53">
        <v>39.448116014575795</v>
      </c>
      <c r="AK4" s="53">
        <v>42.3884930008334</v>
      </c>
      <c r="AL4" s="53">
        <v>43.740300886410978</v>
      </c>
      <c r="AM4" s="54">
        <v>47.199752897967137</v>
      </c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4"/>
      <c r="AY4" s="53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4"/>
    </row>
    <row r="5" spans="1:63" x14ac:dyDescent="0.35">
      <c r="A5" s="2" t="str">
        <f t="shared" si="26"/>
        <v>GWO - Plan</v>
      </c>
      <c r="B5" s="2" t="s">
        <v>158</v>
      </c>
      <c r="C5" s="55">
        <v>38.733858688646514</v>
      </c>
      <c r="D5" s="56">
        <v>16.915695747269815</v>
      </c>
      <c r="E5" s="56">
        <v>17.121353739916561</v>
      </c>
      <c r="F5" s="56">
        <v>16.727618065668516</v>
      </c>
      <c r="G5" s="56">
        <v>19.328289063791519</v>
      </c>
      <c r="H5" s="56">
        <v>16.544123706937551</v>
      </c>
      <c r="I5" s="56">
        <v>16.145401358750739</v>
      </c>
      <c r="J5" s="56">
        <v>20.838840301401955</v>
      </c>
      <c r="K5" s="56">
        <v>14.90130028931334</v>
      </c>
      <c r="L5" s="56">
        <v>47.33851448149737</v>
      </c>
      <c r="M5" s="56">
        <v>57.430277466691571</v>
      </c>
      <c r="N5" s="56">
        <v>18.462924129516963</v>
      </c>
      <c r="O5" s="57">
        <v>19.351467373305667</v>
      </c>
      <c r="P5" s="56">
        <v>20.56184938144267</v>
      </c>
      <c r="Q5" s="56">
        <v>23.457330937486208</v>
      </c>
      <c r="R5" s="56">
        <v>38.461300451660762</v>
      </c>
      <c r="S5" s="56">
        <v>19.643366386471307</v>
      </c>
      <c r="T5" s="56">
        <v>26.440606454176429</v>
      </c>
      <c r="U5" s="56">
        <v>31.398398041165215</v>
      </c>
      <c r="V5" s="56">
        <v>11.209332929009138</v>
      </c>
      <c r="W5" s="56">
        <v>12.85403370080957</v>
      </c>
      <c r="X5" s="56">
        <v>18.789900902691606</v>
      </c>
      <c r="Y5" s="56">
        <v>17.76211423073692</v>
      </c>
      <c r="Z5" s="56">
        <v>17.70441178669541</v>
      </c>
      <c r="AA5" s="57">
        <v>14.211980341486214</v>
      </c>
      <c r="AB5" s="56">
        <v>19.803116166416615</v>
      </c>
      <c r="AC5" s="56">
        <v>20.282594373049587</v>
      </c>
      <c r="AD5" s="56">
        <v>26.748049152160249</v>
      </c>
      <c r="AE5" s="56">
        <v>22.045509940736224</v>
      </c>
      <c r="AF5" s="56">
        <v>17.652138974397268</v>
      </c>
      <c r="AG5" s="56">
        <v>17.551104330608453</v>
      </c>
      <c r="AH5" s="56">
        <v>18.615681528882106</v>
      </c>
      <c r="AI5" s="56">
        <v>20.261898194226664</v>
      </c>
      <c r="AJ5" s="56">
        <v>18.632226773641843</v>
      </c>
      <c r="AK5" s="56">
        <v>19.092703630884394</v>
      </c>
      <c r="AL5" s="56">
        <v>19.948353425566491</v>
      </c>
      <c r="AM5" s="57">
        <v>20.41604079396938</v>
      </c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7"/>
      <c r="AY5" s="56"/>
      <c r="AZ5" s="56"/>
      <c r="BA5" s="56"/>
      <c r="BB5" s="56"/>
      <c r="BC5" s="56"/>
      <c r="BD5" s="56"/>
      <c r="BE5" s="56"/>
      <c r="BF5" s="56"/>
      <c r="BG5" s="56"/>
      <c r="BH5" s="56"/>
      <c r="BI5" s="56"/>
      <c r="BJ5" s="57"/>
    </row>
    <row r="6" spans="1:63" x14ac:dyDescent="0.35">
      <c r="A6" s="3" t="str">
        <f t="shared" si="26"/>
        <v>GWO - Plan</v>
      </c>
      <c r="B6" s="3" t="s">
        <v>159</v>
      </c>
      <c r="C6" s="58">
        <v>0</v>
      </c>
      <c r="D6" s="59">
        <v>0</v>
      </c>
      <c r="E6" s="59">
        <v>0</v>
      </c>
      <c r="F6" s="59">
        <v>0</v>
      </c>
      <c r="G6" s="59">
        <v>0</v>
      </c>
      <c r="H6" s="59">
        <v>0</v>
      </c>
      <c r="I6" s="59">
        <v>0</v>
      </c>
      <c r="J6" s="59">
        <v>0</v>
      </c>
      <c r="K6" s="59">
        <v>0</v>
      </c>
      <c r="L6" s="59">
        <v>0</v>
      </c>
      <c r="M6" s="59">
        <v>0</v>
      </c>
      <c r="N6" s="59">
        <v>0</v>
      </c>
      <c r="O6" s="60">
        <v>0</v>
      </c>
      <c r="P6" s="59">
        <v>0</v>
      </c>
      <c r="Q6" s="59">
        <v>0</v>
      </c>
      <c r="R6" s="59">
        <v>0</v>
      </c>
      <c r="S6" s="59">
        <v>0</v>
      </c>
      <c r="T6" s="59">
        <v>0</v>
      </c>
      <c r="U6" s="59">
        <v>0</v>
      </c>
      <c r="V6" s="59">
        <v>0</v>
      </c>
      <c r="W6" s="59">
        <v>0</v>
      </c>
      <c r="X6" s="59">
        <v>0</v>
      </c>
      <c r="Y6" s="59">
        <v>0</v>
      </c>
      <c r="Z6" s="59">
        <v>0</v>
      </c>
      <c r="AA6" s="60">
        <v>0</v>
      </c>
      <c r="AB6" s="59">
        <v>0</v>
      </c>
      <c r="AC6" s="59">
        <v>0</v>
      </c>
      <c r="AD6" s="59">
        <v>0</v>
      </c>
      <c r="AE6" s="59">
        <v>0</v>
      </c>
      <c r="AF6" s="59">
        <v>0</v>
      </c>
      <c r="AG6" s="59">
        <v>0</v>
      </c>
      <c r="AH6" s="59">
        <v>0</v>
      </c>
      <c r="AI6" s="59">
        <v>0</v>
      </c>
      <c r="AJ6" s="59">
        <v>0</v>
      </c>
      <c r="AK6" s="59">
        <v>0</v>
      </c>
      <c r="AL6" s="59">
        <v>0</v>
      </c>
      <c r="AM6" s="60">
        <v>0</v>
      </c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60"/>
      <c r="AY6" s="59"/>
      <c r="AZ6" s="59"/>
      <c r="BA6" s="59"/>
      <c r="BB6" s="59"/>
      <c r="BC6" s="59"/>
      <c r="BD6" s="59"/>
      <c r="BE6" s="59"/>
      <c r="BF6" s="59"/>
      <c r="BG6" s="59"/>
      <c r="BH6" s="59"/>
      <c r="BI6" s="59"/>
      <c r="BJ6" s="60"/>
    </row>
    <row r="8" spans="1:63" x14ac:dyDescent="0.35">
      <c r="A8" s="25" t="s">
        <v>12</v>
      </c>
      <c r="B8" s="4" t="s">
        <v>3</v>
      </c>
      <c r="C8" s="19">
        <f>$C$2</f>
        <v>45352</v>
      </c>
      <c r="D8" s="20">
        <f>EDATE(C8,1)</f>
        <v>45383</v>
      </c>
      <c r="E8" s="20">
        <f>EDATE(D8,1)</f>
        <v>45413</v>
      </c>
      <c r="F8" s="20">
        <f>EDATE(E8,1)</f>
        <v>45444</v>
      </c>
      <c r="G8" s="20">
        <f t="shared" ref="G8:AL8" si="27">EDATE(F8,1)</f>
        <v>45474</v>
      </c>
      <c r="H8" s="20">
        <f t="shared" si="27"/>
        <v>45505</v>
      </c>
      <c r="I8" s="20">
        <f t="shared" si="27"/>
        <v>45536</v>
      </c>
      <c r="J8" s="20">
        <f t="shared" si="27"/>
        <v>45566</v>
      </c>
      <c r="K8" s="20">
        <f t="shared" si="27"/>
        <v>45597</v>
      </c>
      <c r="L8" s="20">
        <f t="shared" si="27"/>
        <v>45627</v>
      </c>
      <c r="M8" s="20">
        <f t="shared" si="27"/>
        <v>45658</v>
      </c>
      <c r="N8" s="20">
        <f t="shared" si="27"/>
        <v>45689</v>
      </c>
      <c r="O8" s="21">
        <f t="shared" si="27"/>
        <v>45717</v>
      </c>
      <c r="P8" s="20">
        <f t="shared" si="27"/>
        <v>45748</v>
      </c>
      <c r="Q8" s="20">
        <f t="shared" si="27"/>
        <v>45778</v>
      </c>
      <c r="R8" s="20">
        <f t="shared" si="27"/>
        <v>45809</v>
      </c>
      <c r="S8" s="20">
        <f t="shared" si="27"/>
        <v>45839</v>
      </c>
      <c r="T8" s="20">
        <f t="shared" si="27"/>
        <v>45870</v>
      </c>
      <c r="U8" s="20">
        <f t="shared" si="27"/>
        <v>45901</v>
      </c>
      <c r="V8" s="20">
        <f t="shared" si="27"/>
        <v>45931</v>
      </c>
      <c r="W8" s="20">
        <f t="shared" si="27"/>
        <v>45962</v>
      </c>
      <c r="X8" s="20">
        <f t="shared" si="27"/>
        <v>45992</v>
      </c>
      <c r="Y8" s="20">
        <f t="shared" si="27"/>
        <v>46023</v>
      </c>
      <c r="Z8" s="20">
        <f t="shared" si="27"/>
        <v>46054</v>
      </c>
      <c r="AA8" s="21">
        <f t="shared" si="27"/>
        <v>46082</v>
      </c>
      <c r="AB8" s="20">
        <f t="shared" si="27"/>
        <v>46113</v>
      </c>
      <c r="AC8" s="20">
        <f t="shared" si="27"/>
        <v>46143</v>
      </c>
      <c r="AD8" s="20">
        <f t="shared" si="27"/>
        <v>46174</v>
      </c>
      <c r="AE8" s="20">
        <f t="shared" si="27"/>
        <v>46204</v>
      </c>
      <c r="AF8" s="20">
        <f t="shared" si="27"/>
        <v>46235</v>
      </c>
      <c r="AG8" s="20">
        <f t="shared" si="27"/>
        <v>46266</v>
      </c>
      <c r="AH8" s="20">
        <f t="shared" si="27"/>
        <v>46296</v>
      </c>
      <c r="AI8" s="20">
        <f t="shared" si="27"/>
        <v>46327</v>
      </c>
      <c r="AJ8" s="20">
        <f t="shared" si="27"/>
        <v>46357</v>
      </c>
      <c r="AK8" s="20">
        <f t="shared" si="27"/>
        <v>46388</v>
      </c>
      <c r="AL8" s="20">
        <f t="shared" si="27"/>
        <v>46419</v>
      </c>
      <c r="AM8" s="21">
        <f t="shared" ref="AM8" si="28">EDATE(AL8,1)</f>
        <v>46447</v>
      </c>
      <c r="AN8" s="20">
        <f t="shared" ref="AN8" si="29">EDATE(AM8,1)</f>
        <v>46478</v>
      </c>
      <c r="AO8" s="20">
        <f t="shared" ref="AO8" si="30">EDATE(AN8,1)</f>
        <v>46508</v>
      </c>
      <c r="AP8" s="20">
        <f t="shared" ref="AP8" si="31">EDATE(AO8,1)</f>
        <v>46539</v>
      </c>
      <c r="AQ8" s="20">
        <f t="shared" ref="AQ8" si="32">EDATE(AP8,1)</f>
        <v>46569</v>
      </c>
      <c r="AR8" s="20">
        <f t="shared" ref="AR8" si="33">EDATE(AQ8,1)</f>
        <v>46600</v>
      </c>
      <c r="AS8" s="20">
        <f t="shared" ref="AS8" si="34">EDATE(AR8,1)</f>
        <v>46631</v>
      </c>
      <c r="AT8" s="20">
        <f t="shared" ref="AT8" si="35">EDATE(AS8,1)</f>
        <v>46661</v>
      </c>
      <c r="AU8" s="20">
        <f t="shared" ref="AU8" si="36">EDATE(AT8,1)</f>
        <v>46692</v>
      </c>
      <c r="AV8" s="20">
        <f t="shared" ref="AV8" si="37">EDATE(AU8,1)</f>
        <v>46722</v>
      </c>
      <c r="AW8" s="20">
        <f t="shared" ref="AW8" si="38">EDATE(AV8,1)</f>
        <v>46753</v>
      </c>
      <c r="AX8" s="21">
        <f t="shared" ref="AX8" si="39">EDATE(AW8,1)</f>
        <v>46784</v>
      </c>
      <c r="AY8" s="20">
        <f t="shared" ref="AY8" si="40">EDATE(AX8,1)</f>
        <v>46813</v>
      </c>
      <c r="AZ8" s="20">
        <f t="shared" ref="AZ8" si="41">EDATE(AY8,1)</f>
        <v>46844</v>
      </c>
      <c r="BA8" s="20">
        <f t="shared" ref="BA8" si="42">EDATE(AZ8,1)</f>
        <v>46874</v>
      </c>
      <c r="BB8" s="20">
        <f t="shared" ref="BB8" si="43">EDATE(BA8,1)</f>
        <v>46905</v>
      </c>
      <c r="BC8" s="20">
        <f t="shared" ref="BC8" si="44">EDATE(BB8,1)</f>
        <v>46935</v>
      </c>
      <c r="BD8" s="20">
        <f t="shared" ref="BD8" si="45">EDATE(BC8,1)</f>
        <v>46966</v>
      </c>
      <c r="BE8" s="20">
        <f t="shared" ref="BE8" si="46">EDATE(BD8,1)</f>
        <v>46997</v>
      </c>
      <c r="BF8" s="20">
        <f t="shared" ref="BF8" si="47">EDATE(BE8,1)</f>
        <v>47027</v>
      </c>
      <c r="BG8" s="20">
        <f t="shared" ref="BG8" si="48">EDATE(BF8,1)</f>
        <v>47058</v>
      </c>
      <c r="BH8" s="20">
        <f t="shared" ref="BH8" si="49">EDATE(BG8,1)</f>
        <v>47088</v>
      </c>
      <c r="BI8" s="20">
        <f t="shared" ref="BI8" si="50">EDATE(BH8,1)</f>
        <v>47119</v>
      </c>
      <c r="BJ8" s="21">
        <f t="shared" ref="BJ8" si="51">EDATE(BI8,1)</f>
        <v>47150</v>
      </c>
    </row>
    <row r="9" spans="1:63" x14ac:dyDescent="0.35">
      <c r="A9" s="15" t="str">
        <f>$A$8</f>
        <v>Recovery - Plan</v>
      </c>
      <c r="B9" s="15" t="s">
        <v>188</v>
      </c>
      <c r="C9" s="16">
        <f>SUM(C10:C12)</f>
        <v>0</v>
      </c>
      <c r="D9" s="17">
        <f t="shared" ref="D9" si="52">SUM(D10:D12)</f>
        <v>6.6720789916981964</v>
      </c>
      <c r="E9" s="17">
        <f t="shared" ref="E9" si="53">SUM(E10:E12)</f>
        <v>7.858079824747386</v>
      </c>
      <c r="F9" s="17">
        <f t="shared" ref="F9" si="54">SUM(F10:F12)</f>
        <v>8.5641899017122327</v>
      </c>
      <c r="G9" s="17">
        <f t="shared" ref="G9" si="55">SUM(G10:G12)</f>
        <v>7.1718729564548536</v>
      </c>
      <c r="H9" s="17">
        <f t="shared" ref="H9" si="56">SUM(H10:H12)</f>
        <v>5.6377825996516879</v>
      </c>
      <c r="I9" s="17">
        <f t="shared" ref="I9" si="57">SUM(I10:I12)</f>
        <v>5.629150335553474</v>
      </c>
      <c r="J9" s="17">
        <f t="shared" ref="J9" si="58">SUM(J10:J12)</f>
        <v>7.613916341131711</v>
      </c>
      <c r="K9" s="17">
        <f t="shared" ref="K9" si="59">SUM(K10:K12)</f>
        <v>7.6988445086673245</v>
      </c>
      <c r="L9" s="17">
        <f t="shared" ref="L9" si="60">SUM(L10:L12)</f>
        <v>7.7692645212976892</v>
      </c>
      <c r="M9" s="17">
        <f t="shared" ref="M9" si="61">SUM(M10:M12)</f>
        <v>7.9693145243437531</v>
      </c>
      <c r="N9" s="17">
        <f t="shared" ref="N9" si="62">SUM(N10:N12)</f>
        <v>10.257401318218434</v>
      </c>
      <c r="O9" s="18">
        <f t="shared" ref="O9" si="63">SUM(O10:O12)</f>
        <v>11.56046527568644</v>
      </c>
      <c r="P9" s="17">
        <f t="shared" ref="P9" si="64">SUM(P10:P12)</f>
        <v>7.2811815045351906</v>
      </c>
      <c r="Q9" s="17">
        <f t="shared" ref="Q9" si="65">SUM(Q10:Q12)</f>
        <v>7.3054314136549614</v>
      </c>
      <c r="R9" s="17">
        <f t="shared" ref="R9" si="66">SUM(R10:R12)</f>
        <v>7.3910959914532626</v>
      </c>
      <c r="S9" s="17">
        <f t="shared" ref="S9" si="67">SUM(S10:S12)</f>
        <v>7.6192420996859536</v>
      </c>
      <c r="T9" s="17">
        <f t="shared" ref="T9" si="68">SUM(T10:T12)</f>
        <v>8.1875732153918452</v>
      </c>
      <c r="U9" s="17">
        <f t="shared" ref="U9" si="69">SUM(U10:U12)</f>
        <v>8.7814598316070658</v>
      </c>
      <c r="V9" s="17">
        <f t="shared" ref="V9" si="70">SUM(V10:V12)</f>
        <v>12.325778586744288</v>
      </c>
      <c r="W9" s="17">
        <f t="shared" ref="W9" si="71">SUM(W10:W12)</f>
        <v>12.474494426400689</v>
      </c>
      <c r="X9" s="17">
        <f t="shared" ref="X9" si="72">SUM(X10:X12)</f>
        <v>12.511256045615818</v>
      </c>
      <c r="Y9" s="17">
        <f t="shared" ref="Y9" si="73">SUM(Y10:Y12)</f>
        <v>12.427649385857983</v>
      </c>
      <c r="Z9" s="17">
        <f t="shared" ref="Z9" si="74">SUM(Z10:Z12)</f>
        <v>12.390434931927203</v>
      </c>
      <c r="AA9" s="18">
        <f t="shared" ref="AA9" si="75">SUM(AA10:AA12)</f>
        <v>12.342092480284759</v>
      </c>
      <c r="AB9" s="17">
        <f t="shared" ref="AB9" si="76">SUM(AB10:AB12)</f>
        <v>8.9078775347942365</v>
      </c>
      <c r="AC9" s="17">
        <f t="shared" ref="AC9" si="77">SUM(AC10:AC12)</f>
        <v>9.0446334149015133</v>
      </c>
      <c r="AD9" s="17">
        <f t="shared" ref="AD9" si="78">SUM(AD10:AD12)</f>
        <v>9.2265138672183671</v>
      </c>
      <c r="AE9" s="17">
        <f t="shared" ref="AE9" si="79">SUM(AE10:AE12)</f>
        <v>9.4998541305285933</v>
      </c>
      <c r="AF9" s="17">
        <f t="shared" ref="AF9" si="80">SUM(AF10:AF12)</f>
        <v>9.6753525661519006</v>
      </c>
      <c r="AG9" s="17">
        <f t="shared" ref="AG9" si="81">SUM(AG10:AG12)</f>
        <v>9.8942039204440135</v>
      </c>
      <c r="AH9" s="17">
        <f t="shared" ref="AH9" si="82">SUM(AH10:AH12)</f>
        <v>13.067451524870179</v>
      </c>
      <c r="AI9" s="17">
        <f t="shared" ref="AI9" si="83">SUM(AI10:AI12)</f>
        <v>13.163769417431551</v>
      </c>
      <c r="AJ9" s="17">
        <f t="shared" ref="AJ9" si="84">SUM(AJ10:AJ12)</f>
        <v>13.176973826948704</v>
      </c>
      <c r="AK9" s="17">
        <f t="shared" ref="AK9" si="85">SUM(AK10:AK12)</f>
        <v>13.649693017426296</v>
      </c>
      <c r="AL9" s="17">
        <f t="shared" ref="AL9" si="86">SUM(AL10:AL12)</f>
        <v>14.587486826084579</v>
      </c>
      <c r="AM9" s="18">
        <f t="shared" ref="AM9" si="87">SUM(AM10:AM12)</f>
        <v>14.537555438988861</v>
      </c>
      <c r="AN9" s="17">
        <f t="shared" ref="AN9" si="88">SUM(AN10:AN12)</f>
        <v>0</v>
      </c>
      <c r="AO9" s="17">
        <f t="shared" ref="AO9" si="89">SUM(AO10:AO12)</f>
        <v>0</v>
      </c>
      <c r="AP9" s="17">
        <f t="shared" ref="AP9" si="90">SUM(AP10:AP12)</f>
        <v>0</v>
      </c>
      <c r="AQ9" s="17">
        <f t="shared" ref="AQ9" si="91">SUM(AQ10:AQ12)</f>
        <v>0</v>
      </c>
      <c r="AR9" s="17">
        <f t="shared" ref="AR9" si="92">SUM(AR10:AR12)</f>
        <v>0</v>
      </c>
      <c r="AS9" s="17">
        <f t="shared" ref="AS9" si="93">SUM(AS10:AS12)</f>
        <v>0</v>
      </c>
      <c r="AT9" s="17">
        <f t="shared" ref="AT9" si="94">SUM(AT10:AT12)</f>
        <v>0</v>
      </c>
      <c r="AU9" s="17">
        <f t="shared" ref="AU9" si="95">SUM(AU10:AU12)</f>
        <v>0</v>
      </c>
      <c r="AV9" s="17">
        <f t="shared" ref="AV9" si="96">SUM(AV10:AV12)</f>
        <v>0</v>
      </c>
      <c r="AW9" s="17">
        <f t="shared" ref="AW9" si="97">SUM(AW10:AW12)</f>
        <v>0</v>
      </c>
      <c r="AX9" s="18">
        <f t="shared" ref="AX9" si="98">SUM(AX10:AX12)</f>
        <v>0</v>
      </c>
      <c r="AY9" s="17">
        <f t="shared" ref="AY9" si="99">SUM(AY10:AY12)</f>
        <v>0</v>
      </c>
      <c r="AZ9" s="17">
        <f t="shared" ref="AZ9" si="100">SUM(AZ10:AZ12)</f>
        <v>0</v>
      </c>
      <c r="BA9" s="17">
        <f t="shared" ref="BA9" si="101">SUM(BA10:BA12)</f>
        <v>0</v>
      </c>
      <c r="BB9" s="17">
        <f t="shared" ref="BB9" si="102">SUM(BB10:BB12)</f>
        <v>0</v>
      </c>
      <c r="BC9" s="17">
        <f t="shared" ref="BC9" si="103">SUM(BC10:BC12)</f>
        <v>0</v>
      </c>
      <c r="BD9" s="17">
        <f t="shared" ref="BD9" si="104">SUM(BD10:BD12)</f>
        <v>0</v>
      </c>
      <c r="BE9" s="17">
        <f t="shared" ref="BE9" si="105">SUM(BE10:BE12)</f>
        <v>0</v>
      </c>
      <c r="BF9" s="17">
        <f t="shared" ref="BF9" si="106">SUM(BF10:BF12)</f>
        <v>0</v>
      </c>
      <c r="BG9" s="17">
        <f t="shared" ref="BG9" si="107">SUM(BG10:BG12)</f>
        <v>0</v>
      </c>
      <c r="BH9" s="17">
        <f t="shared" ref="BH9" si="108">SUM(BH10:BH12)</f>
        <v>0</v>
      </c>
      <c r="BI9" s="17">
        <f t="shared" ref="BI9" si="109">SUM(BI10:BI12)</f>
        <v>0</v>
      </c>
      <c r="BJ9" s="18">
        <f t="shared" ref="BJ9" si="110">SUM(BJ10:BJ12)</f>
        <v>0</v>
      </c>
      <c r="BK9" s="231"/>
    </row>
    <row r="10" spans="1:63" x14ac:dyDescent="0.35">
      <c r="A10" s="1" t="str">
        <f>$A$8</f>
        <v>Recovery - Plan</v>
      </c>
      <c r="B10" s="1" t="s">
        <v>157</v>
      </c>
      <c r="C10" s="52">
        <v>0</v>
      </c>
      <c r="D10" s="53">
        <v>4.7391024320248416</v>
      </c>
      <c r="E10" s="53">
        <v>5.5109059344453728</v>
      </c>
      <c r="F10" s="53">
        <v>5.9818371823222041</v>
      </c>
      <c r="G10" s="53">
        <v>5.0651862586084135</v>
      </c>
      <c r="H10" s="53">
        <v>4.007662788337008</v>
      </c>
      <c r="I10" s="53">
        <v>3.9796820588495367</v>
      </c>
      <c r="J10" s="53">
        <v>5.3074547844263256</v>
      </c>
      <c r="K10" s="53">
        <v>5.3477670701143412</v>
      </c>
      <c r="L10" s="53">
        <v>5.369824720536764</v>
      </c>
      <c r="M10" s="53">
        <v>5.3801340159544058</v>
      </c>
      <c r="N10" s="53">
        <v>6.735939543252516</v>
      </c>
      <c r="O10" s="54">
        <v>7.3935949147638702</v>
      </c>
      <c r="P10" s="53">
        <v>4.5274921604775988</v>
      </c>
      <c r="Q10" s="53">
        <v>4.4947128771431561</v>
      </c>
      <c r="R10" s="53">
        <v>4.4986363413779431</v>
      </c>
      <c r="S10" s="53">
        <v>4.5549688673560293</v>
      </c>
      <c r="T10" s="53">
        <v>4.949124958016796</v>
      </c>
      <c r="U10" s="53">
        <v>5.3582839616311819</v>
      </c>
      <c r="V10" s="53">
        <v>7.2552639852258443</v>
      </c>
      <c r="W10" s="53">
        <v>7.3004037670217583</v>
      </c>
      <c r="X10" s="53">
        <v>7.3078568634788565</v>
      </c>
      <c r="Y10" s="53">
        <v>7.2632295996124139</v>
      </c>
      <c r="Z10" s="53">
        <v>7.2437963283540583</v>
      </c>
      <c r="AA10" s="54">
        <v>7.1910023325744987</v>
      </c>
      <c r="AB10" s="53">
        <v>5.4394451027162631</v>
      </c>
      <c r="AC10" s="53">
        <v>5.5876987817979122</v>
      </c>
      <c r="AD10" s="53">
        <v>5.7636582207112932</v>
      </c>
      <c r="AE10" s="53">
        <v>5.9688947732998363</v>
      </c>
      <c r="AF10" s="53">
        <v>6.0573731793833385</v>
      </c>
      <c r="AG10" s="53">
        <v>6.2046962142540218</v>
      </c>
      <c r="AH10" s="53">
        <v>7.8529737841997536</v>
      </c>
      <c r="AI10" s="53">
        <v>7.944185316294627</v>
      </c>
      <c r="AJ10" s="53">
        <v>7.9538360027088508</v>
      </c>
      <c r="AK10" s="53">
        <v>8.1801869702479557</v>
      </c>
      <c r="AL10" s="53">
        <v>9.1307196237244206</v>
      </c>
      <c r="AM10" s="54">
        <v>9.0975916366183665</v>
      </c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4"/>
      <c r="AY10" s="53"/>
      <c r="AZ10" s="53"/>
      <c r="BA10" s="53"/>
      <c r="BB10" s="53"/>
      <c r="BC10" s="53"/>
      <c r="BD10" s="53"/>
      <c r="BE10" s="53"/>
      <c r="BF10" s="53"/>
      <c r="BG10" s="53"/>
      <c r="BH10" s="53"/>
      <c r="BI10" s="53"/>
      <c r="BJ10" s="54"/>
      <c r="BK10" s="231"/>
    </row>
    <row r="11" spans="1:63" x14ac:dyDescent="0.35">
      <c r="A11" s="2" t="str">
        <f>$A$8</f>
        <v>Recovery - Plan</v>
      </c>
      <c r="B11" s="2" t="s">
        <v>158</v>
      </c>
      <c r="C11" s="55">
        <v>0</v>
      </c>
      <c r="D11" s="56">
        <v>1.9329765596733544</v>
      </c>
      <c r="E11" s="56">
        <v>2.3471738903020132</v>
      </c>
      <c r="F11" s="56">
        <v>2.5823527193900291</v>
      </c>
      <c r="G11" s="56">
        <v>2.1066866978464396</v>
      </c>
      <c r="H11" s="56">
        <v>1.6301198113146795</v>
      </c>
      <c r="I11" s="56">
        <v>1.649468276703937</v>
      </c>
      <c r="J11" s="56">
        <v>2.3064615567053854</v>
      </c>
      <c r="K11" s="56">
        <v>2.3510774385529833</v>
      </c>
      <c r="L11" s="56">
        <v>2.3994398007609257</v>
      </c>
      <c r="M11" s="56">
        <v>2.5891805083893478</v>
      </c>
      <c r="N11" s="56">
        <v>3.5214617749659176</v>
      </c>
      <c r="O11" s="57">
        <v>4.1668703609225695</v>
      </c>
      <c r="P11" s="56">
        <v>2.7536893440575918</v>
      </c>
      <c r="Q11" s="56">
        <v>2.8107185365118048</v>
      </c>
      <c r="R11" s="56">
        <v>2.8924596500753199</v>
      </c>
      <c r="S11" s="56">
        <v>3.0642732323299242</v>
      </c>
      <c r="T11" s="56">
        <v>3.2384482573750488</v>
      </c>
      <c r="U11" s="56">
        <v>3.423175869975883</v>
      </c>
      <c r="V11" s="56">
        <v>5.0705146015184441</v>
      </c>
      <c r="W11" s="56">
        <v>5.1740906593789298</v>
      </c>
      <c r="X11" s="56">
        <v>5.2033991821369616</v>
      </c>
      <c r="Y11" s="56">
        <v>5.1644197862455679</v>
      </c>
      <c r="Z11" s="56">
        <v>5.1466386035731446</v>
      </c>
      <c r="AA11" s="57">
        <v>5.15109014771026</v>
      </c>
      <c r="AB11" s="56">
        <v>3.4684324320779734</v>
      </c>
      <c r="AC11" s="56">
        <v>3.4569346331036015</v>
      </c>
      <c r="AD11" s="56">
        <v>3.4628556465070734</v>
      </c>
      <c r="AE11" s="56">
        <v>3.5309593572287579</v>
      </c>
      <c r="AF11" s="56">
        <v>3.617979386768563</v>
      </c>
      <c r="AG11" s="56">
        <v>3.6895077061899917</v>
      </c>
      <c r="AH11" s="56">
        <v>5.2144777406704268</v>
      </c>
      <c r="AI11" s="56">
        <v>5.2195841011369239</v>
      </c>
      <c r="AJ11" s="56">
        <v>5.2231378242398518</v>
      </c>
      <c r="AK11" s="56">
        <v>5.4695060471783403</v>
      </c>
      <c r="AL11" s="56">
        <v>5.456767202360159</v>
      </c>
      <c r="AM11" s="57">
        <v>5.4399638023704942</v>
      </c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7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7"/>
      <c r="BK11" s="231"/>
    </row>
    <row r="12" spans="1:63" x14ac:dyDescent="0.35">
      <c r="A12" s="3" t="str">
        <f>$A$8</f>
        <v>Recovery - Plan</v>
      </c>
      <c r="B12" s="3" t="s">
        <v>159</v>
      </c>
      <c r="C12" s="58">
        <v>0</v>
      </c>
      <c r="D12" s="59">
        <v>0</v>
      </c>
      <c r="E12" s="59">
        <v>0</v>
      </c>
      <c r="F12" s="59">
        <v>0</v>
      </c>
      <c r="G12" s="59">
        <v>0</v>
      </c>
      <c r="H12" s="59">
        <v>0</v>
      </c>
      <c r="I12" s="59">
        <v>0</v>
      </c>
      <c r="J12" s="59">
        <v>0</v>
      </c>
      <c r="K12" s="59">
        <v>0</v>
      </c>
      <c r="L12" s="59">
        <v>0</v>
      </c>
      <c r="M12" s="59">
        <v>0</v>
      </c>
      <c r="N12" s="59">
        <v>0</v>
      </c>
      <c r="O12" s="60">
        <v>0</v>
      </c>
      <c r="P12" s="59">
        <v>0</v>
      </c>
      <c r="Q12" s="59">
        <v>0</v>
      </c>
      <c r="R12" s="59">
        <v>0</v>
      </c>
      <c r="S12" s="59">
        <v>0</v>
      </c>
      <c r="T12" s="59">
        <v>0</v>
      </c>
      <c r="U12" s="59">
        <v>0</v>
      </c>
      <c r="V12" s="59">
        <v>0</v>
      </c>
      <c r="W12" s="59">
        <v>0</v>
      </c>
      <c r="X12" s="59">
        <v>0</v>
      </c>
      <c r="Y12" s="59">
        <v>0</v>
      </c>
      <c r="Z12" s="59">
        <v>0</v>
      </c>
      <c r="AA12" s="60">
        <v>0</v>
      </c>
      <c r="AB12" s="59">
        <v>0</v>
      </c>
      <c r="AC12" s="59">
        <v>0</v>
      </c>
      <c r="AD12" s="59">
        <v>0</v>
      </c>
      <c r="AE12" s="59">
        <v>0</v>
      </c>
      <c r="AF12" s="59">
        <v>0</v>
      </c>
      <c r="AG12" s="59">
        <v>0</v>
      </c>
      <c r="AH12" s="59">
        <v>0</v>
      </c>
      <c r="AI12" s="59">
        <v>0</v>
      </c>
      <c r="AJ12" s="59">
        <v>0</v>
      </c>
      <c r="AK12" s="59">
        <v>0</v>
      </c>
      <c r="AL12" s="59">
        <v>0</v>
      </c>
      <c r="AM12" s="60">
        <v>0</v>
      </c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60"/>
      <c r="AY12" s="59"/>
      <c r="AZ12" s="59"/>
      <c r="BA12" s="59"/>
      <c r="BB12" s="59"/>
      <c r="BC12" s="59"/>
      <c r="BD12" s="59"/>
      <c r="BE12" s="59"/>
      <c r="BF12" s="59"/>
      <c r="BG12" s="59"/>
      <c r="BH12" s="59"/>
      <c r="BI12" s="59"/>
      <c r="BJ12" s="60"/>
    </row>
    <row r="14" spans="1:63" x14ac:dyDescent="0.35">
      <c r="A14" s="25" t="s">
        <v>254</v>
      </c>
      <c r="B14" s="4" t="s">
        <v>3</v>
      </c>
      <c r="C14" s="19">
        <f>$C$2</f>
        <v>45352</v>
      </c>
      <c r="D14" s="20">
        <f>EDATE(C14,1)</f>
        <v>45383</v>
      </c>
      <c r="E14" s="20">
        <f>EDATE(D14,1)</f>
        <v>45413</v>
      </c>
      <c r="F14" s="20">
        <f>EDATE(E14,1)</f>
        <v>45444</v>
      </c>
      <c r="G14" s="20">
        <f t="shared" ref="G14:AL14" si="111">EDATE(F14,1)</f>
        <v>45474</v>
      </c>
      <c r="H14" s="20">
        <f t="shared" si="111"/>
        <v>45505</v>
      </c>
      <c r="I14" s="20">
        <f t="shared" si="111"/>
        <v>45536</v>
      </c>
      <c r="J14" s="20">
        <f t="shared" si="111"/>
        <v>45566</v>
      </c>
      <c r="K14" s="20">
        <f t="shared" si="111"/>
        <v>45597</v>
      </c>
      <c r="L14" s="20">
        <f t="shared" si="111"/>
        <v>45627</v>
      </c>
      <c r="M14" s="20">
        <f t="shared" si="111"/>
        <v>45658</v>
      </c>
      <c r="N14" s="20">
        <f t="shared" si="111"/>
        <v>45689</v>
      </c>
      <c r="O14" s="21">
        <f t="shared" si="111"/>
        <v>45717</v>
      </c>
      <c r="P14" s="20">
        <f t="shared" si="111"/>
        <v>45748</v>
      </c>
      <c r="Q14" s="20">
        <f t="shared" si="111"/>
        <v>45778</v>
      </c>
      <c r="R14" s="20">
        <f t="shared" si="111"/>
        <v>45809</v>
      </c>
      <c r="S14" s="20">
        <f t="shared" si="111"/>
        <v>45839</v>
      </c>
      <c r="T14" s="20">
        <f t="shared" si="111"/>
        <v>45870</v>
      </c>
      <c r="U14" s="20">
        <f t="shared" si="111"/>
        <v>45901</v>
      </c>
      <c r="V14" s="20">
        <f t="shared" si="111"/>
        <v>45931</v>
      </c>
      <c r="W14" s="20">
        <f t="shared" si="111"/>
        <v>45962</v>
      </c>
      <c r="X14" s="20">
        <f t="shared" si="111"/>
        <v>45992</v>
      </c>
      <c r="Y14" s="20">
        <f t="shared" si="111"/>
        <v>46023</v>
      </c>
      <c r="Z14" s="20">
        <f t="shared" si="111"/>
        <v>46054</v>
      </c>
      <c r="AA14" s="21">
        <f t="shared" si="111"/>
        <v>46082</v>
      </c>
      <c r="AB14" s="20">
        <f t="shared" si="111"/>
        <v>46113</v>
      </c>
      <c r="AC14" s="20">
        <f t="shared" si="111"/>
        <v>46143</v>
      </c>
      <c r="AD14" s="20">
        <f t="shared" si="111"/>
        <v>46174</v>
      </c>
      <c r="AE14" s="20">
        <f t="shared" si="111"/>
        <v>46204</v>
      </c>
      <c r="AF14" s="20">
        <f t="shared" si="111"/>
        <v>46235</v>
      </c>
      <c r="AG14" s="20">
        <f t="shared" si="111"/>
        <v>46266</v>
      </c>
      <c r="AH14" s="20">
        <f t="shared" si="111"/>
        <v>46296</v>
      </c>
      <c r="AI14" s="20">
        <f t="shared" si="111"/>
        <v>46327</v>
      </c>
      <c r="AJ14" s="20">
        <f t="shared" si="111"/>
        <v>46357</v>
      </c>
      <c r="AK14" s="20">
        <f t="shared" si="111"/>
        <v>46388</v>
      </c>
      <c r="AL14" s="20">
        <f t="shared" si="111"/>
        <v>46419</v>
      </c>
      <c r="AM14" s="21">
        <f t="shared" ref="AM14" si="112">EDATE(AL14,1)</f>
        <v>46447</v>
      </c>
      <c r="AN14" s="20">
        <f t="shared" ref="AN14" si="113">EDATE(AM14,1)</f>
        <v>46478</v>
      </c>
      <c r="AO14" s="20">
        <f t="shared" ref="AO14" si="114">EDATE(AN14,1)</f>
        <v>46508</v>
      </c>
      <c r="AP14" s="20">
        <f t="shared" ref="AP14" si="115">EDATE(AO14,1)</f>
        <v>46539</v>
      </c>
      <c r="AQ14" s="20">
        <f t="shared" ref="AQ14" si="116">EDATE(AP14,1)</f>
        <v>46569</v>
      </c>
      <c r="AR14" s="20">
        <f t="shared" ref="AR14" si="117">EDATE(AQ14,1)</f>
        <v>46600</v>
      </c>
      <c r="AS14" s="20">
        <f t="shared" ref="AS14" si="118">EDATE(AR14,1)</f>
        <v>46631</v>
      </c>
      <c r="AT14" s="20">
        <f t="shared" ref="AT14" si="119">EDATE(AS14,1)</f>
        <v>46661</v>
      </c>
      <c r="AU14" s="20">
        <f t="shared" ref="AU14" si="120">EDATE(AT14,1)</f>
        <v>46692</v>
      </c>
      <c r="AV14" s="20">
        <f t="shared" ref="AV14" si="121">EDATE(AU14,1)</f>
        <v>46722</v>
      </c>
      <c r="AW14" s="20">
        <f t="shared" ref="AW14" si="122">EDATE(AV14,1)</f>
        <v>46753</v>
      </c>
      <c r="AX14" s="21">
        <f t="shared" ref="AX14" si="123">EDATE(AW14,1)</f>
        <v>46784</v>
      </c>
      <c r="AY14" s="20">
        <f t="shared" ref="AY14" si="124">EDATE(AX14,1)</f>
        <v>46813</v>
      </c>
      <c r="AZ14" s="20">
        <f t="shared" ref="AZ14" si="125">EDATE(AY14,1)</f>
        <v>46844</v>
      </c>
      <c r="BA14" s="20">
        <f t="shared" ref="BA14" si="126">EDATE(AZ14,1)</f>
        <v>46874</v>
      </c>
      <c r="BB14" s="20">
        <f t="shared" ref="BB14" si="127">EDATE(BA14,1)</f>
        <v>46905</v>
      </c>
      <c r="BC14" s="20">
        <f t="shared" ref="BC14" si="128">EDATE(BB14,1)</f>
        <v>46935</v>
      </c>
      <c r="BD14" s="20">
        <f t="shared" ref="BD14" si="129">EDATE(BC14,1)</f>
        <v>46966</v>
      </c>
      <c r="BE14" s="20">
        <f t="shared" ref="BE14" si="130">EDATE(BD14,1)</f>
        <v>46997</v>
      </c>
      <c r="BF14" s="20">
        <f t="shared" ref="BF14" si="131">EDATE(BE14,1)</f>
        <v>47027</v>
      </c>
      <c r="BG14" s="20">
        <f t="shared" ref="BG14" si="132">EDATE(BF14,1)</f>
        <v>47058</v>
      </c>
      <c r="BH14" s="20">
        <f t="shared" ref="BH14" si="133">EDATE(BG14,1)</f>
        <v>47088</v>
      </c>
      <c r="BI14" s="20">
        <f t="shared" ref="BI14" si="134">EDATE(BH14,1)</f>
        <v>47119</v>
      </c>
      <c r="BJ14" s="21">
        <f t="shared" ref="BJ14" si="135">EDATE(BI14,1)</f>
        <v>47150</v>
      </c>
    </row>
    <row r="15" spans="1:63" x14ac:dyDescent="0.35">
      <c r="A15" s="15" t="str">
        <f>$A$14</f>
        <v>ECL(Model) - Plan</v>
      </c>
      <c r="B15" s="15" t="s">
        <v>188</v>
      </c>
      <c r="C15" s="16">
        <f>SUM(C16:C18)</f>
        <v>-3.4131771536513753</v>
      </c>
      <c r="D15" s="17">
        <f t="shared" ref="D15" si="136">SUM(D16:D18)</f>
        <v>15.649297849704809</v>
      </c>
      <c r="E15" s="17">
        <f t="shared" ref="E15" si="137">SUM(E16:E18)</f>
        <v>28.05451405571668</v>
      </c>
      <c r="F15" s="17">
        <f t="shared" ref="F15" si="138">SUM(F16:F18)</f>
        <v>19.548763842469185</v>
      </c>
      <c r="G15" s="17">
        <f t="shared" ref="G15" si="139">SUM(G16:G18)</f>
        <v>22.666554066627796</v>
      </c>
      <c r="H15" s="17">
        <f t="shared" ref="H15" si="140">SUM(H16:H18)</f>
        <v>28.038831271910638</v>
      </c>
      <c r="I15" s="17">
        <f t="shared" ref="I15" si="141">SUM(I16:I18)</f>
        <v>24.086210925892672</v>
      </c>
      <c r="J15" s="17">
        <f t="shared" ref="J15" si="142">SUM(J16:J18)</f>
        <v>18.443133520122899</v>
      </c>
      <c r="K15" s="17">
        <f t="shared" ref="K15" si="143">SUM(K16:K18)</f>
        <v>27.327107332708295</v>
      </c>
      <c r="L15" s="17">
        <f t="shared" ref="L15" si="144">SUM(L16:L18)</f>
        <v>3.8212655388962702</v>
      </c>
      <c r="M15" s="17">
        <f t="shared" ref="M15" si="145">SUM(M16:M18)</f>
        <v>16.636219092895686</v>
      </c>
      <c r="N15" s="17">
        <f t="shared" ref="N15" si="146">SUM(N16:N18)</f>
        <v>14.22450511119763</v>
      </c>
      <c r="O15" s="18">
        <f t="shared" ref="O15" si="147">SUM(O16:O18)</f>
        <v>-6.0044725947780506</v>
      </c>
      <c r="P15" s="17">
        <f t="shared" ref="P15" si="148">SUM(P16:P18)</f>
        <v>31.993861066478644</v>
      </c>
      <c r="Q15" s="17">
        <f t="shared" ref="Q15" si="149">SUM(Q16:Q18)</f>
        <v>31.308652327062916</v>
      </c>
      <c r="R15" s="17">
        <f t="shared" ref="R15" si="150">SUM(R16:R18)</f>
        <v>16.204044926214053</v>
      </c>
      <c r="S15" s="17">
        <f t="shared" ref="S15" si="151">SUM(S16:S18)</f>
        <v>6.8835246224599729</v>
      </c>
      <c r="T15" s="17">
        <f t="shared" ref="T15" si="152">SUM(T16:T18)</f>
        <v>31.389086412551137</v>
      </c>
      <c r="U15" s="17">
        <f t="shared" ref="U15" si="153">SUM(U16:U18)</f>
        <v>21.182176832785103</v>
      </c>
      <c r="V15" s="17">
        <f t="shared" ref="V15" si="154">SUM(V16:V18)</f>
        <v>35.726137188348616</v>
      </c>
      <c r="W15" s="17">
        <f t="shared" ref="W15" si="155">SUM(W16:W18)</f>
        <v>33.831692422177113</v>
      </c>
      <c r="X15" s="17">
        <f t="shared" ref="X15" si="156">SUM(X16:X18)</f>
        <v>22.770221028555071</v>
      </c>
      <c r="Y15" s="17">
        <f t="shared" ref="Y15" si="157">SUM(Y16:Y18)</f>
        <v>34.489645956662599</v>
      </c>
      <c r="Z15" s="17">
        <f t="shared" ref="Z15" si="158">SUM(Z16:Z18)</f>
        <v>21.658764088625048</v>
      </c>
      <c r="AA15" s="18">
        <f t="shared" ref="AA15" si="159">SUM(AA16:AA18)</f>
        <v>30.291361479249119</v>
      </c>
      <c r="AB15" s="17">
        <f t="shared" ref="AB15" si="160">SUM(AB16:AB18)</f>
        <v>19.02127210556236</v>
      </c>
      <c r="AC15" s="17">
        <f t="shared" ref="AC15" si="161">SUM(AC16:AC18)</f>
        <v>49.29421672445045</v>
      </c>
      <c r="AD15" s="17">
        <f t="shared" ref="AD15" si="162">SUM(AD16:AD18)</f>
        <v>29.042287752227708</v>
      </c>
      <c r="AE15" s="17">
        <f t="shared" ref="AE15" si="163">SUM(AE16:AE18)</f>
        <v>32.881507286888393</v>
      </c>
      <c r="AF15" s="17">
        <f t="shared" ref="AF15" si="164">SUM(AF16:AF18)</f>
        <v>38.926133105598524</v>
      </c>
      <c r="AG15" s="17">
        <f t="shared" ref="AG15" si="165">SUM(AG16:AG18)</f>
        <v>31.324281784916195</v>
      </c>
      <c r="AH15" s="17">
        <f t="shared" ref="AH15" si="166">SUM(AH16:AH18)</f>
        <v>31.975830235804523</v>
      </c>
      <c r="AI15" s="17">
        <f t="shared" ref="AI15" si="167">SUM(AI16:AI18)</f>
        <v>37.490262283715936</v>
      </c>
      <c r="AJ15" s="17">
        <f t="shared" ref="AJ15" si="168">SUM(AJ16:AJ18)</f>
        <v>26.433595361231909</v>
      </c>
      <c r="AK15" s="17">
        <f t="shared" ref="AK15" si="169">SUM(AK16:AK18)</f>
        <v>36.743066303981323</v>
      </c>
      <c r="AL15" s="17">
        <f t="shared" ref="AL15" si="170">SUM(AL16:AL18)</f>
        <v>21.464137296715478</v>
      </c>
      <c r="AM15" s="18">
        <f t="shared" ref="AM15" si="171">SUM(AM16:AM18)</f>
        <v>38.985384283351323</v>
      </c>
      <c r="AN15" s="17">
        <f t="shared" ref="AN15" si="172">SUM(AN16:AN18)</f>
        <v>0</v>
      </c>
      <c r="AO15" s="17">
        <f t="shared" ref="AO15" si="173">SUM(AO16:AO18)</f>
        <v>0</v>
      </c>
      <c r="AP15" s="17">
        <f t="shared" ref="AP15" si="174">SUM(AP16:AP18)</f>
        <v>0</v>
      </c>
      <c r="AQ15" s="17">
        <f t="shared" ref="AQ15" si="175">SUM(AQ16:AQ18)</f>
        <v>0</v>
      </c>
      <c r="AR15" s="17">
        <f t="shared" ref="AR15" si="176">SUM(AR16:AR18)</f>
        <v>0</v>
      </c>
      <c r="AS15" s="17">
        <f t="shared" ref="AS15" si="177">SUM(AS16:AS18)</f>
        <v>0</v>
      </c>
      <c r="AT15" s="17">
        <f t="shared" ref="AT15" si="178">SUM(AT16:AT18)</f>
        <v>0</v>
      </c>
      <c r="AU15" s="17">
        <f t="shared" ref="AU15" si="179">SUM(AU16:AU18)</f>
        <v>0</v>
      </c>
      <c r="AV15" s="17">
        <f t="shared" ref="AV15" si="180">SUM(AV16:AV18)</f>
        <v>0</v>
      </c>
      <c r="AW15" s="17">
        <f t="shared" ref="AW15" si="181">SUM(AW16:AW18)</f>
        <v>0</v>
      </c>
      <c r="AX15" s="18">
        <f t="shared" ref="AX15" si="182">SUM(AX16:AX18)</f>
        <v>0</v>
      </c>
      <c r="AY15" s="17">
        <f t="shared" ref="AY15" si="183">SUM(AY16:AY18)</f>
        <v>0</v>
      </c>
      <c r="AZ15" s="17">
        <f t="shared" ref="AZ15" si="184">SUM(AZ16:AZ18)</f>
        <v>0</v>
      </c>
      <c r="BA15" s="17">
        <f t="shared" ref="BA15" si="185">SUM(BA16:BA18)</f>
        <v>0</v>
      </c>
      <c r="BB15" s="17">
        <f t="shared" ref="BB15" si="186">SUM(BB16:BB18)</f>
        <v>0</v>
      </c>
      <c r="BC15" s="17">
        <f t="shared" ref="BC15" si="187">SUM(BC16:BC18)</f>
        <v>0</v>
      </c>
      <c r="BD15" s="17">
        <f t="shared" ref="BD15" si="188">SUM(BD16:BD18)</f>
        <v>0</v>
      </c>
      <c r="BE15" s="17">
        <f t="shared" ref="BE15" si="189">SUM(BE16:BE18)</f>
        <v>0</v>
      </c>
      <c r="BF15" s="17">
        <f t="shared" ref="BF15" si="190">SUM(BF16:BF18)</f>
        <v>0</v>
      </c>
      <c r="BG15" s="17">
        <f t="shared" ref="BG15" si="191">SUM(BG16:BG18)</f>
        <v>0</v>
      </c>
      <c r="BH15" s="17">
        <f t="shared" ref="BH15" si="192">SUM(BH16:BH18)</f>
        <v>0</v>
      </c>
      <c r="BI15" s="17">
        <f t="shared" ref="BI15" si="193">SUM(BI16:BI18)</f>
        <v>0</v>
      </c>
      <c r="BJ15" s="18">
        <f t="shared" ref="BJ15" si="194">SUM(BJ16:BJ18)</f>
        <v>0</v>
      </c>
    </row>
    <row r="16" spans="1:63" x14ac:dyDescent="0.35">
      <c r="A16" s="1" t="str">
        <f>$A$14</f>
        <v>ECL(Model) - Plan</v>
      </c>
      <c r="B16" s="1" t="s">
        <v>157</v>
      </c>
      <c r="C16" s="52">
        <v>12.241770357643304</v>
      </c>
      <c r="D16" s="53">
        <v>10.071500662905237</v>
      </c>
      <c r="E16" s="53">
        <v>20.325586742699443</v>
      </c>
      <c r="F16" s="53">
        <v>20.831298024391913</v>
      </c>
      <c r="G16" s="53">
        <v>17.229070213251816</v>
      </c>
      <c r="H16" s="53">
        <v>21.171105818232036</v>
      </c>
      <c r="I16" s="53">
        <v>26.3175637848409</v>
      </c>
      <c r="J16" s="53">
        <v>14.001267159032409</v>
      </c>
      <c r="K16" s="53">
        <v>20.85055075471837</v>
      </c>
      <c r="L16" s="53">
        <v>22.548888121558775</v>
      </c>
      <c r="M16" s="53">
        <v>21.721940417143742</v>
      </c>
      <c r="N16" s="53">
        <v>22.34026480517673</v>
      </c>
      <c r="O16" s="54">
        <v>-4.2208460485614978</v>
      </c>
      <c r="P16" s="53">
        <v>27.659899601640063</v>
      </c>
      <c r="Q16" s="53">
        <v>26.198684918908612</v>
      </c>
      <c r="R16" s="53">
        <v>27.267261200499206</v>
      </c>
      <c r="S16" s="53">
        <v>-2.0159237317784573E-2</v>
      </c>
      <c r="T16" s="53">
        <v>24.863059264565436</v>
      </c>
      <c r="U16" s="53">
        <v>27.598394333307851</v>
      </c>
      <c r="V16" s="53">
        <v>25.101466934497012</v>
      </c>
      <c r="W16" s="53">
        <v>22.647284656530701</v>
      </c>
      <c r="X16" s="53">
        <v>26.996246846232907</v>
      </c>
      <c r="Y16" s="53">
        <v>23.676591365660215</v>
      </c>
      <c r="Z16" s="53">
        <v>25.642312044211167</v>
      </c>
      <c r="AA16" s="54">
        <v>14.48785391756951</v>
      </c>
      <c r="AB16" s="53">
        <v>11.16616004292996</v>
      </c>
      <c r="AC16" s="53">
        <v>39.167972382826747</v>
      </c>
      <c r="AD16" s="53">
        <v>34.537332366183819</v>
      </c>
      <c r="AE16" s="53">
        <v>22.946115708511115</v>
      </c>
      <c r="AF16" s="53">
        <v>25.428653563222497</v>
      </c>
      <c r="AG16" s="53">
        <v>31.340515251238457</v>
      </c>
      <c r="AH16" s="53">
        <v>20.102375671223854</v>
      </c>
      <c r="AI16" s="53">
        <v>24.919343633134304</v>
      </c>
      <c r="AJ16" s="53">
        <v>26.671043553183836</v>
      </c>
      <c r="AK16" s="53">
        <v>22.392057719791637</v>
      </c>
      <c r="AL16" s="53">
        <v>22.313370907583703</v>
      </c>
      <c r="AM16" s="54">
        <v>20.895881574576379</v>
      </c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4"/>
      <c r="AY16" s="53"/>
      <c r="AZ16" s="53"/>
      <c r="BA16" s="53"/>
      <c r="BB16" s="53"/>
      <c r="BC16" s="53"/>
      <c r="BD16" s="53"/>
      <c r="BE16" s="53"/>
      <c r="BF16" s="53"/>
      <c r="BG16" s="53"/>
      <c r="BH16" s="53"/>
      <c r="BI16" s="53"/>
      <c r="BJ16" s="54"/>
    </row>
    <row r="17" spans="1:62" x14ac:dyDescent="0.35">
      <c r="A17" s="2" t="str">
        <f>$A$14</f>
        <v>ECL(Model) - Plan</v>
      </c>
      <c r="B17" s="2" t="s">
        <v>158</v>
      </c>
      <c r="C17" s="55">
        <v>-17.918122777108408</v>
      </c>
      <c r="D17" s="56">
        <v>5.9273090825256531</v>
      </c>
      <c r="E17" s="56">
        <v>7.5517746262098058</v>
      </c>
      <c r="F17" s="56">
        <v>-1.9525299697632477</v>
      </c>
      <c r="G17" s="56">
        <v>4.0541847205134331</v>
      </c>
      <c r="H17" s="56">
        <v>4.8169300733053433</v>
      </c>
      <c r="I17" s="56">
        <v>-4.6546692723810565</v>
      </c>
      <c r="J17" s="56">
        <v>1.6699515660274074</v>
      </c>
      <c r="K17" s="56">
        <v>3.8826493195472267</v>
      </c>
      <c r="L17" s="56">
        <v>-21.659173176013098</v>
      </c>
      <c r="M17" s="56">
        <v>-8.3332323860597626</v>
      </c>
      <c r="N17" s="56">
        <v>-11.406831024795451</v>
      </c>
      <c r="O17" s="57">
        <v>-7.1323389326814777</v>
      </c>
      <c r="P17" s="56">
        <v>5.6314782873668605</v>
      </c>
      <c r="Q17" s="56">
        <v>5.7359038345136923</v>
      </c>
      <c r="R17" s="56">
        <v>-11.065732521634516</v>
      </c>
      <c r="S17" s="56">
        <v>6.018945010300456</v>
      </c>
      <c r="T17" s="56">
        <v>4.8157204941525151</v>
      </c>
      <c r="U17" s="56">
        <v>-8.6049473695863981</v>
      </c>
      <c r="V17" s="56">
        <v>7.9882406745356889</v>
      </c>
      <c r="W17" s="56">
        <v>8.7172850985497803</v>
      </c>
      <c r="X17" s="56">
        <v>-7.1229702947828173</v>
      </c>
      <c r="Y17" s="56">
        <v>7.5138907113372966</v>
      </c>
      <c r="Z17" s="56">
        <v>-7.3649733451420047</v>
      </c>
      <c r="AA17" s="57">
        <v>9.9920788432893346</v>
      </c>
      <c r="AB17" s="56">
        <v>9.8961396444075262</v>
      </c>
      <c r="AC17" s="56">
        <v>11.363907972596451</v>
      </c>
      <c r="AD17" s="56">
        <v>-5.0091543011492377</v>
      </c>
      <c r="AE17" s="56">
        <v>9.3816397866186207</v>
      </c>
      <c r="AF17" s="56">
        <v>11.970849649884144</v>
      </c>
      <c r="AG17" s="56">
        <v>-2.1171185651376163</v>
      </c>
      <c r="AH17" s="56">
        <v>9.2351919278503374</v>
      </c>
      <c r="AI17" s="56">
        <v>10.102080641822681</v>
      </c>
      <c r="AJ17" s="56">
        <v>-3.2200344441006337</v>
      </c>
      <c r="AK17" s="56">
        <v>10.887666105365383</v>
      </c>
      <c r="AL17" s="56">
        <v>-4.4263126309293739</v>
      </c>
      <c r="AM17" s="57">
        <v>11.716820241652499</v>
      </c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AX17" s="57"/>
      <c r="AY17" s="56"/>
      <c r="AZ17" s="56"/>
      <c r="BA17" s="56"/>
      <c r="BB17" s="56"/>
      <c r="BC17" s="56"/>
      <c r="BD17" s="56"/>
      <c r="BE17" s="56"/>
      <c r="BF17" s="56"/>
      <c r="BG17" s="56"/>
      <c r="BH17" s="56"/>
      <c r="BI17" s="56"/>
      <c r="BJ17" s="57"/>
    </row>
    <row r="18" spans="1:62" x14ac:dyDescent="0.35">
      <c r="A18" s="3" t="str">
        <f>$A$14</f>
        <v>ECL(Model) - Plan</v>
      </c>
      <c r="B18" s="3" t="s">
        <v>159</v>
      </c>
      <c r="C18" s="58">
        <v>2.2631752658137287</v>
      </c>
      <c r="D18" s="59">
        <v>-0.34951189572608143</v>
      </c>
      <c r="E18" s="59">
        <v>0.17715268680743179</v>
      </c>
      <c r="F18" s="59">
        <v>0.66999578784052005</v>
      </c>
      <c r="G18" s="59">
        <v>1.3832991328625468</v>
      </c>
      <c r="H18" s="59">
        <v>2.050795380373259</v>
      </c>
      <c r="I18" s="59">
        <v>2.4233164134328291</v>
      </c>
      <c r="J18" s="59">
        <v>2.7719147950630827</v>
      </c>
      <c r="K18" s="59">
        <v>2.5939072584426981</v>
      </c>
      <c r="L18" s="59">
        <v>2.9315505933505932</v>
      </c>
      <c r="M18" s="59">
        <v>3.2475110618117071</v>
      </c>
      <c r="N18" s="59">
        <v>3.2910713308163508</v>
      </c>
      <c r="O18" s="60">
        <v>5.3487123864649249</v>
      </c>
      <c r="P18" s="59">
        <v>-1.29751682252828</v>
      </c>
      <c r="Q18" s="59">
        <v>-0.62593642635938807</v>
      </c>
      <c r="R18" s="59">
        <v>2.5162473493622883E-3</v>
      </c>
      <c r="S18" s="59">
        <v>0.88473884947730141</v>
      </c>
      <c r="T18" s="59">
        <v>1.7103066538331859</v>
      </c>
      <c r="U18" s="59">
        <v>2.1887298690636499</v>
      </c>
      <c r="V18" s="59">
        <v>2.6364295793159158</v>
      </c>
      <c r="W18" s="59">
        <v>2.467122667096632</v>
      </c>
      <c r="X18" s="59">
        <v>2.8969444771049808</v>
      </c>
      <c r="Y18" s="59">
        <v>3.2991638796650875</v>
      </c>
      <c r="Z18" s="59">
        <v>3.3814253895558863</v>
      </c>
      <c r="AA18" s="60">
        <v>5.8114287183902746</v>
      </c>
      <c r="AB18" s="59">
        <v>-2.0410275817751256</v>
      </c>
      <c r="AC18" s="59">
        <v>-1.2376636309727473</v>
      </c>
      <c r="AD18" s="59">
        <v>-0.48589031280687323</v>
      </c>
      <c r="AE18" s="59">
        <v>0.55375179175865696</v>
      </c>
      <c r="AF18" s="59">
        <v>1.5266298924918829</v>
      </c>
      <c r="AG18" s="59">
        <v>2.100885098815354</v>
      </c>
      <c r="AH18" s="59">
        <v>2.6382626367303317</v>
      </c>
      <c r="AI18" s="59">
        <v>2.4688380087589508</v>
      </c>
      <c r="AJ18" s="59">
        <v>2.9825862521487068</v>
      </c>
      <c r="AK18" s="59">
        <v>3.4633424788243019</v>
      </c>
      <c r="AL18" s="59">
        <v>3.5770790200611486</v>
      </c>
      <c r="AM18" s="60">
        <v>6.3726824671224449</v>
      </c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60"/>
      <c r="AY18" s="59"/>
      <c r="AZ18" s="59"/>
      <c r="BA18" s="59"/>
      <c r="BB18" s="59"/>
      <c r="BC18" s="59"/>
      <c r="BD18" s="59"/>
      <c r="BE18" s="59"/>
      <c r="BF18" s="59"/>
      <c r="BG18" s="59"/>
      <c r="BH18" s="59"/>
      <c r="BI18" s="59"/>
      <c r="BJ18" s="60"/>
    </row>
    <row r="19" spans="1:62" x14ac:dyDescent="0.35">
      <c r="C19" s="231"/>
      <c r="D19" s="231"/>
      <c r="E19" s="231"/>
      <c r="F19" s="231"/>
      <c r="G19" s="231"/>
      <c r="H19" s="231"/>
      <c r="I19" s="231"/>
      <c r="J19" s="231"/>
      <c r="K19" s="231"/>
      <c r="L19" s="231"/>
      <c r="M19" s="231"/>
      <c r="N19" s="231"/>
      <c r="O19" s="231"/>
      <c r="P19" s="231"/>
      <c r="Q19" s="231"/>
      <c r="R19" s="231"/>
      <c r="S19" s="231"/>
      <c r="T19" s="231"/>
      <c r="U19" s="231"/>
      <c r="V19" s="231"/>
      <c r="W19" s="231"/>
      <c r="X19" s="231"/>
      <c r="Y19" s="231"/>
      <c r="Z19" s="231"/>
      <c r="AA19" s="231"/>
      <c r="AB19" s="231"/>
      <c r="AC19" s="231"/>
      <c r="AD19" s="231"/>
      <c r="AE19" s="231"/>
      <c r="AF19" s="231"/>
      <c r="AG19" s="231"/>
      <c r="AH19" s="231"/>
      <c r="AI19" s="231"/>
      <c r="AJ19" s="231"/>
      <c r="AK19" s="231"/>
      <c r="AL19" s="231"/>
    </row>
  </sheetData>
  <conditionalFormatting sqref="C3:BJ3">
    <cfRule type="expression" dxfId="8" priority="13">
      <formula>C$1="SL3"</formula>
    </cfRule>
    <cfRule type="expression" dxfId="7" priority="14">
      <formula>C$1="SL2"</formula>
    </cfRule>
    <cfRule type="expression" dxfId="6" priority="15">
      <formula>C$1="SL1"</formula>
    </cfRule>
  </conditionalFormatting>
  <conditionalFormatting sqref="C9:BJ9">
    <cfRule type="expression" dxfId="5" priority="4">
      <formula>C$1="SL3"</formula>
    </cfRule>
    <cfRule type="expression" dxfId="4" priority="5">
      <formula>C$1="SL2"</formula>
    </cfRule>
    <cfRule type="expression" dxfId="3" priority="6">
      <formula>C$1="SL1"</formula>
    </cfRule>
  </conditionalFormatting>
  <conditionalFormatting sqref="C15:BJ15">
    <cfRule type="expression" dxfId="2" priority="1">
      <formula>C$1="SL3"</formula>
    </cfRule>
    <cfRule type="expression" dxfId="1" priority="2">
      <formula>C$1="SL2"</formula>
    </cfRule>
    <cfRule type="expression" dxfId="0" priority="3">
      <formula>C$1="SL1"</formula>
    </cfRule>
  </conditionalFormatting>
  <hyperlinks>
    <hyperlink ref="A1" location="Index!C8" display="Back - Index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B3:K6"/>
  <sheetViews>
    <sheetView showGridLines="0" workbookViewId="0">
      <selection activeCell="B6" sqref="B6"/>
    </sheetView>
  </sheetViews>
  <sheetFormatPr defaultRowHeight="14.5" x14ac:dyDescent="0.35"/>
  <cols>
    <col min="2" max="2" width="17.81640625" customWidth="1"/>
  </cols>
  <sheetData>
    <row r="3" spans="2:11" x14ac:dyDescent="0.35">
      <c r="B3" t="s">
        <v>59</v>
      </c>
      <c r="C3" t="s">
        <v>58</v>
      </c>
      <c r="K3" t="s">
        <v>56</v>
      </c>
    </row>
    <row r="4" spans="2:11" x14ac:dyDescent="0.35">
      <c r="C4" s="38" t="s">
        <v>60</v>
      </c>
    </row>
    <row r="6" spans="2:11" x14ac:dyDescent="0.35">
      <c r="B6" t="s">
        <v>57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T27"/>
  <sheetViews>
    <sheetView showGridLines="0" workbookViewId="0">
      <selection activeCell="C4" sqref="C4"/>
    </sheetView>
  </sheetViews>
  <sheetFormatPr defaultRowHeight="14.5" x14ac:dyDescent="0.35"/>
  <cols>
    <col min="2" max="2" width="23.1796875" bestFit="1" customWidth="1"/>
  </cols>
  <sheetData>
    <row r="1" spans="1:20" x14ac:dyDescent="0.35">
      <c r="A1" s="121" t="s">
        <v>117</v>
      </c>
    </row>
    <row r="2" spans="1:20" x14ac:dyDescent="0.35">
      <c r="B2" s="114" t="s">
        <v>5</v>
      </c>
      <c r="T2" t="s">
        <v>47</v>
      </c>
    </row>
    <row r="3" spans="1:20" x14ac:dyDescent="0.35">
      <c r="B3" s="115" t="s">
        <v>88</v>
      </c>
    </row>
    <row r="4" spans="1:20" x14ac:dyDescent="0.35">
      <c r="B4" s="116" t="s">
        <v>89</v>
      </c>
    </row>
    <row r="5" spans="1:20" x14ac:dyDescent="0.35">
      <c r="B5" s="116" t="s">
        <v>90</v>
      </c>
    </row>
    <row r="6" spans="1:20" x14ac:dyDescent="0.35">
      <c r="B6" s="116" t="s">
        <v>91</v>
      </c>
    </row>
    <row r="7" spans="1:20" x14ac:dyDescent="0.35">
      <c r="B7" s="116" t="s">
        <v>92</v>
      </c>
    </row>
    <row r="8" spans="1:20" x14ac:dyDescent="0.35">
      <c r="B8" s="116" t="s">
        <v>93</v>
      </c>
    </row>
    <row r="9" spans="1:20" x14ac:dyDescent="0.35">
      <c r="B9" s="116" t="s">
        <v>94</v>
      </c>
    </row>
    <row r="10" spans="1:20" x14ac:dyDescent="0.35">
      <c r="B10" s="116" t="s">
        <v>95</v>
      </c>
    </row>
    <row r="11" spans="1:20" x14ac:dyDescent="0.35">
      <c r="B11" s="116" t="s">
        <v>96</v>
      </c>
    </row>
    <row r="12" spans="1:20" x14ac:dyDescent="0.35">
      <c r="B12" s="116" t="s">
        <v>97</v>
      </c>
    </row>
    <row r="13" spans="1:20" x14ac:dyDescent="0.35">
      <c r="B13" s="116" t="s">
        <v>98</v>
      </c>
    </row>
    <row r="14" spans="1:20" x14ac:dyDescent="0.35">
      <c r="B14" s="116" t="s">
        <v>99</v>
      </c>
    </row>
    <row r="15" spans="1:20" x14ac:dyDescent="0.35">
      <c r="B15" s="116" t="s">
        <v>100</v>
      </c>
    </row>
    <row r="16" spans="1:20" x14ac:dyDescent="0.35">
      <c r="B16" s="116" t="s">
        <v>101</v>
      </c>
    </row>
    <row r="17" spans="2:2" x14ac:dyDescent="0.35">
      <c r="B17" s="116" t="s">
        <v>102</v>
      </c>
    </row>
    <row r="18" spans="2:2" x14ac:dyDescent="0.35">
      <c r="B18" s="116" t="s">
        <v>103</v>
      </c>
    </row>
    <row r="19" spans="2:2" x14ac:dyDescent="0.35">
      <c r="B19" s="117" t="s">
        <v>104</v>
      </c>
    </row>
    <row r="20" spans="2:2" x14ac:dyDescent="0.35">
      <c r="B20" s="116" t="s">
        <v>105</v>
      </c>
    </row>
    <row r="21" spans="2:2" x14ac:dyDescent="0.35">
      <c r="B21" s="116" t="s">
        <v>106</v>
      </c>
    </row>
    <row r="22" spans="2:2" x14ac:dyDescent="0.35">
      <c r="B22" s="116" t="s">
        <v>107</v>
      </c>
    </row>
    <row r="23" spans="2:2" x14ac:dyDescent="0.35">
      <c r="B23" s="116" t="s">
        <v>108</v>
      </c>
    </row>
    <row r="24" spans="2:2" x14ac:dyDescent="0.35">
      <c r="B24" s="116" t="s">
        <v>109</v>
      </c>
    </row>
    <row r="25" spans="2:2" x14ac:dyDescent="0.35">
      <c r="B25" s="116" t="s">
        <v>110</v>
      </c>
    </row>
    <row r="26" spans="2:2" x14ac:dyDescent="0.35">
      <c r="B26" s="116" t="s">
        <v>111</v>
      </c>
    </row>
    <row r="27" spans="2:2" x14ac:dyDescent="0.35">
      <c r="B27" s="117" t="s">
        <v>112</v>
      </c>
    </row>
  </sheetData>
  <hyperlinks>
    <hyperlink ref="A1" location="Index!C16" display="Back - Index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Index</vt:lpstr>
      <vt:lpstr>Assumptions</vt:lpstr>
      <vt:lpstr>Summary-S</vt:lpstr>
      <vt:lpstr>Summary</vt:lpstr>
      <vt:lpstr>MOM Summary</vt:lpstr>
      <vt:lpstr>Output - CoC</vt:lpstr>
      <vt:lpstr>Input-Stress Parameters</vt:lpstr>
      <vt:lpstr>Input - Disbursals</vt:lpstr>
      <vt:lpstr>Input - ANR</vt:lpstr>
      <vt:lpstr>Input - FInancials</vt:lpstr>
      <vt:lpstr>Calculation - Stage dist</vt:lpstr>
      <vt:lpstr>Input - PDLGD</vt:lpstr>
      <vt:lpstr>Calculations - Parameters</vt:lpstr>
      <vt:lpstr>Input - NCL</vt:lpstr>
      <vt:lpstr>Calculation - NCL and ECL</vt:lpstr>
      <vt:lpstr>Input - GNPA</vt:lpstr>
      <vt:lpstr>Calculation - Stagewise ECL</vt:lpstr>
      <vt:lpstr>ECL BS</vt:lpstr>
      <vt:lpstr>ECL BS stagewise</vt:lpstr>
      <vt:lpstr>Calculation - GNPA</vt:lpstr>
      <vt:lpstr>Input - ENR</vt:lpstr>
      <vt:lpstr>Plan - CoC</vt:lpstr>
      <vt:lpstr>NCL ECL Formula</vt:lpstr>
      <vt:lpstr>Summary 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Milind Pawar</dc:creator>
  <cp:lastModifiedBy>Ashish Vijay</cp:lastModifiedBy>
  <dcterms:created xsi:type="dcterms:W3CDTF">2022-06-21T12:06:12Z</dcterms:created>
  <dcterms:modified xsi:type="dcterms:W3CDTF">2024-06-02T10:11:19Z</dcterms:modified>
</cp:coreProperties>
</file>